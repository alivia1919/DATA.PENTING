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24" i="31" l="1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K45" s="1"/>
  <c r="I54" i="31" s="1"/>
  <c r="BJ47" i="8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/>
  <c r="CM42"/>
  <c r="CP42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K12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AK11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AY9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9" i="6" l="1"/>
  <c r="CW29"/>
  <c r="CW22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E36" i="31" s="1"/>
  <c r="CR17" i="6"/>
  <c r="E26" i="31" s="1"/>
  <c r="CS17" i="6"/>
  <c r="CV17" s="1"/>
  <c r="F26" i="31" s="1"/>
  <c r="CR12" i="6"/>
  <c r="CS12"/>
  <c r="CV12" s="1"/>
  <c r="F21" i="31" s="1"/>
  <c r="D45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F44" i="31" s="1"/>
  <c r="CR35" i="6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E20" i="31" s="1"/>
  <c r="CR14" i="6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17"/>
  <c r="D17"/>
  <c r="D44"/>
  <c r="F29"/>
  <c r="D29"/>
  <c r="D22"/>
  <c r="D27"/>
  <c r="F27"/>
  <c r="D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C10" i="44"/>
  <c r="BJ43" i="8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H18" i="31" s="1"/>
  <c r="BI9" i="8"/>
  <c r="BH40"/>
  <c r="BI40"/>
  <c r="BG40"/>
  <c r="H49" i="31" s="1"/>
  <c r="BH36" i="8"/>
  <c r="BI36"/>
  <c r="BK36" s="1"/>
  <c r="I45" i="31" s="1"/>
  <c r="BG36" i="8"/>
  <c r="BH35"/>
  <c r="BI35"/>
  <c r="BG35"/>
  <c r="BH33"/>
  <c r="BI33"/>
  <c r="BK33" s="1"/>
  <c r="I42" i="31" s="1"/>
  <c r="BG33" i="8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H17" i="31" s="1"/>
  <c r="BI8" i="8"/>
  <c r="BH44"/>
  <c r="BI44"/>
  <c r="BG44"/>
  <c r="H53" i="31" s="1"/>
  <c r="BH43" i="8"/>
  <c r="BI43"/>
  <c r="BG43"/>
  <c r="BH41"/>
  <c r="BI41"/>
  <c r="BG41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J27"/>
  <c r="BJ25"/>
  <c r="BJ23"/>
  <c r="BJ21"/>
  <c r="BJ19"/>
  <c r="BJ17"/>
  <c r="BK17" s="1"/>
  <c r="I26" i="31" s="1"/>
  <c r="BJ15" i="8"/>
  <c r="BJ13"/>
  <c r="BJ11"/>
  <c r="BK40"/>
  <c r="I49" i="31" s="1"/>
  <c r="H45"/>
  <c r="H44"/>
  <c r="H31"/>
  <c r="BK43" i="8"/>
  <c r="I52" i="31" s="1"/>
  <c r="H52"/>
  <c r="H50"/>
  <c r="H43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BJ8" i="8"/>
  <c r="H16" i="31"/>
  <c r="BJ7" i="8"/>
  <c r="H15" i="31"/>
  <c r="CB24" i="45"/>
  <c r="CB22"/>
  <c r="CB20"/>
  <c r="CB18"/>
  <c r="CB16"/>
  <c r="CB25"/>
  <c r="CB23"/>
  <c r="CB21"/>
  <c r="CB19"/>
  <c r="CB17"/>
  <c r="CD15"/>
  <c r="K12" i="42"/>
  <c r="M12"/>
  <c r="BK41" i="8" l="1"/>
  <c r="I50" i="31" s="1"/>
  <c r="BK10" i="8"/>
  <c r="I19" i="31" s="1"/>
  <c r="BJ5" i="8"/>
  <c r="CS5" i="6"/>
  <c r="CV5" s="1"/>
  <c r="BK44" i="8"/>
  <c r="I53" i="31" s="1"/>
  <c r="BK37" i="8"/>
  <c r="I46" i="31" s="1"/>
  <c r="BK35" i="8"/>
  <c r="I44" i="31" s="1"/>
  <c r="BK34" i="8"/>
  <c r="I43" i="31" s="1"/>
  <c r="BK29" i="8"/>
  <c r="I38" i="31" s="1"/>
  <c r="V8" i="34"/>
  <c r="W8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<sst xmlns="http://schemas.openxmlformats.org/spreadsheetml/2006/main" count="2365" uniqueCount="576">
  <si>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</si>
  <si>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</si>
  <si>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</si>
  <si>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</si>
  <si>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</si>
  <si>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</si>
  <si>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</si>
  <si>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</si>
  <si>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</si>
  <si>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</si>
  <si>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</si>
  <si>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</si>
  <si>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</si>
  <si>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</si>
  <si>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</si>
  <si>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</si>
  <si>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</si>
  <si>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</si>
  <si>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</si>
  <si>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</si>
  <si>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</si>
  <si>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</si>
  <si>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</si>
  <si>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</si>
  <si>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</si>
  <si>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</si>
  <si>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</si>
  <si>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</si>
  <si>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</si>
  <si>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</si>
  <si>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</si>
  <si>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</si>
  <si>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</si>
  <si>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</si>
  <si>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</si>
  <si>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</si>
  <si>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</si>
  <si>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</si>
  <si>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</si>
  <si>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</si>
  <si>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</si>
  <si>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</si>
  <si>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</si>
  <si>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</si>
  <si>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</si>
  <si>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</si>
  <si>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</si>
  <si>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</si>
  <si>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</si>
  <si>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</si>
  <si>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</si>
  <si>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</si>
  <si>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</si>
  <si>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</si>
  <si>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</si>
  <si>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</si>
  <si>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</si>
  <si>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</si>
  <si>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</si>
  <si>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</si>
  <si>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</si>
  <si>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</si>
  <si>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</si>
  <si>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</si>
  <si>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</si>
  <si>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</si>
  <si>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</si>
  <si>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</si>
  <si>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</si>
  <si>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</si>
  <si>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</si>
  <si>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</si>
  <si>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</si>
  <si>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</si>
  <si>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</si>
  <si>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</si>
  <si>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</si>
  <si>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</si>
  <si>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</si>
  <si>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</si>
  <si>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</si>
  <si>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</si>
  <si>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</si>
  <si>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</si>
  <si>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</si>
  <si>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</si>
  <si>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</si>
  <si>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</si>
  <si>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</si>
  <si>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</si>
  <si>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</si>
  <si>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</si>
  <si>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</si>
  <si>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</si>
  <si>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</si>
  <si>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</si>
  <si>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</si>
  <si>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</si>
  <si>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</si>
  <si>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</si>
  <si>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</si>
  <si>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</si>
  <si>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</si>
  <si>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</si>
  <si>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</si>
  <si>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</si>
  <si>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</si>
  <si>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</si>
  <si>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</si>
  <si>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</si>
  <si>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</si>
  <si>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</si>
  <si>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</si>
  <si>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</si>
  <si>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</si>
  <si>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</si>
  <si>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</si>
  <si>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</si>
  <si>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</si>
  <si>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</si>
  <si>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</si>
  <si>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</si>
  <si>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</si>
  <si>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</si>
  <si>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</si>
  <si>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</si>
  <si>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</si>
  <si>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</si>
  <si>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</si>
  <si>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</si>
  <si>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</si>
  <si>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</si>
  <si>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</si>
  <si>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</si>
  <si>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</si>
  <si>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</si>
  <si>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</si>
  <si>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</si>
  <si>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</si>
  <si>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</si>
  <si>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</si>
  <si>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</si>
  <si>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</si>
  <si>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</si>
  <si>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</si>
  <si>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</si>
  <si>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</si>
  <si>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</si>
  <si>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</si>
  <si>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</si>
  <si>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</si>
  <si>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</si>
  <si>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</si>
  <si>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</si>
  <si>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</si>
  <si>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</si>
  <si>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</si>
  <si>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</si>
  <si>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</si>
  <si>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</si>
  <si>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</si>
  <si>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</si>
  <si>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</si>
  <si>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</si>
  <si>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</si>
  <si>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</si>
  <si>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</si>
  <si>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</si>
  <si>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</si>
  <si>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</si>
  <si>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</si>
  <si>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</si>
  <si>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</si>
  <si>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</si>
  <si>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</si>
  <si>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</si>
  <si>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</si>
  <si>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</si>
  <si>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</si>
  <si>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</si>
  <si>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</si>
  <si>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</si>
  <si>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</si>
  <si>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</si>
  <si>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</si>
  <si>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</si>
  <si>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</si>
  <si>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</si>
  <si>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</si>
  <si>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</si>
  <si>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</si>
  <si>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</si>
  <si>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</si>
  <si>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</si>
  <si>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</si>
  <si>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</si>
  <si>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</si>
  <si>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</si>
  <si>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</si>
  <si>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</si>
  <si>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</si>
  <si>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</si>
  <si>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</si>
  <si>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</si>
  <si>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</si>
  <si>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</si>
  <si>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</si>
  <si>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</si>
  <si>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</si>
  <si>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</si>
  <si>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</si>
  <si>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</si>
  <si>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</si>
  <si>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</si>
  <si>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</si>
  <si>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</si>
  <si>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</si>
  <si>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</si>
  <si>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</si>
  <si>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</si>
  <si>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</si>
  <si>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</si>
  <si>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</si>
  <si>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</si>
  <si>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</si>
  <si>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</si>
  <si>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</si>
  <si>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</si>
  <si>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</si>
  <si>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</si>
  <si>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</si>
  <si>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</si>
  <si>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</si>
  <si>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</si>
  <si>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</si>
  <si>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</si>
  <si>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</si>
  <si>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</si>
  <si>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</si>
  <si>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</si>
  <si>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</si>
  <si>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</si>
  <si>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</si>
  <si>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</si>
  <si>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</si>
  <si>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</si>
  <si>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</si>
  <si>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</si>
  <si>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</si>
  <si>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</si>
  <si>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</si>
  <si>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</si>
  <si>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</si>
  <si>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</si>
  <si>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</si>
  <si>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</si>
  <si>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</si>
  <si>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</si>
  <si>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</si>
  <si>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</si>
  <si>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</si>
  <si>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</si>
  <si>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</si>
  <si>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</si>
  <si>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</si>
  <si>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</si>
  <si>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</si>
  <si>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</si>
  <si>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</si>
  <si>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</si>
  <si>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</si>
  <si>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</si>
  <si>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</si>
  <si>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</si>
  <si>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</si>
  <si>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</si>
  <si>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</si>
  <si>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</si>
  <si>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</si>
  <si>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</si>
  <si>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</si>
  <si>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</si>
  <si>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</si>
  <si>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</si>
  <si>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</si>
  <si>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</si>
  <si>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</si>
  <si>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</si>
  <si>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</si>
  <si>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</si>
  <si>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</si>
  <si>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</si>
  <si>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</si>
  <si>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</si>
  <si>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</si>
  <si>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</si>
  <si>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</si>
  <si>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</si>
  <si>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</si>
  <si>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</si>
  <si>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</si>
  <si>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</si>
  <si>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</si>
  <si>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</si>
  <si>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</si>
  <si>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</si>
  <si>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</si>
  <si>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</si>
  <si>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</si>
  <si>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</si>
  <si>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</si>
  <si>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</si>
  <si>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</si>
  <si>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</si>
  <si>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</si>
  <si>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</si>
  <si>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</si>
  <si>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</si>
  <si>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</si>
  <si>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</si>
  <si>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</si>
  <si>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</si>
  <si>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</si>
  <si>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</si>
  <si>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</si>
  <si>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</si>
  <si>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</si>
  <si>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</si>
  <si>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</si>
  <si>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</si>
  <si>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</si>
  <si>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</si>
  <si>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</si>
  <si>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</si>
  <si>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</si>
  <si>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</si>
  <si>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</si>
  <si>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</si>
  <si>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</si>
  <si>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</si>
  <si>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</si>
  <si>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</si>
  <si>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</si>
  <si>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</si>
  <si>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</si>
  <si>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</si>
  <si>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</si>
  <si>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</si>
  <si>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</si>
  <si>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</si>
  <si>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</si>
  <si>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</si>
  <si>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</si>
  <si>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</si>
  <si>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</si>
  <si>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</si>
  <si>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</si>
  <si>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</si>
  <si>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</si>
  <si>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</si>
  <si>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</si>
  <si>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</si>
  <si>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</si>
  <si>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</si>
  <si>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</si>
  <si>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</si>
  <si>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</si>
  <si>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</si>
  <si>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</si>
  <si>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</si>
  <si>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</si>
  <si>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</si>
  <si>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</si>
  <si>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</si>
  <si>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</si>
  <si>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</si>
  <si>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</si>
  <si>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</si>
  <si>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</si>
  <si>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</si>
  <si>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</si>
  <si>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</si>
  <si>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</si>
  <si>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</si>
  <si>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</si>
  <si>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</si>
  <si>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</si>
  <si>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</si>
  <si>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</si>
  <si>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</si>
  <si>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</si>
  <si>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</si>
  <si>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</si>
  <si>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</si>
  <si>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</si>
  <si>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</si>
  <si>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</si>
  <si>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</si>
  <si>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</si>
  <si>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</si>
  <si>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</si>
  <si>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</si>
  <si>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</si>
  <si>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</si>
  <si>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</si>
  <si>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</si>
  <si>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</si>
  <si>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</si>
  <si>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</si>
  <si>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</si>
  <si>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</si>
  <si>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</si>
  <si>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</si>
  <si>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</si>
  <si>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</si>
  <si>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</si>
  <si>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</si>
  <si>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</si>
  <si>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</si>
  <si>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</si>
  <si>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</si>
  <si>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</si>
  <si>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</si>
  <si>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</si>
  <si>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</si>
  <si>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</si>
  <si>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</si>
  <si>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</si>
  <si>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</si>
  <si>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</si>
  <si>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</si>
  <si>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</si>
  <si>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</si>
  <si>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</si>
  <si>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</si>
  <si>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</si>
  <si>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</si>
  <si>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</si>
  <si>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</si>
  <si>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</si>
  <si>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</si>
  <si>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</si>
  <si>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</si>
  <si>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</si>
  <si>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</si>
  <si>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</si>
  <si>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</si>
  <si>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</si>
  <si>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</si>
  <si>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</si>
  <si>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</si>
  <si>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</si>
  <si>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</si>
  <si>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</si>
  <si>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</si>
  <si>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</si>
  <si>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</si>
  <si>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</si>
  <si>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</si>
  <si>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</si>
  <si>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</si>
  <si>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</si>
  <si>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</si>
  <si>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</si>
  <si>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</si>
  <si>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</si>
  <si>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</si>
  <si>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</si>
  <si>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</si>
  <si>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</si>
  <si>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</si>
  <si>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</si>
  <si>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</si>
  <si>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</si>
  <si>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</si>
  <si>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</si>
  <si>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</si>
  <si>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</si>
  <si>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</si>
  <si>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</si>
  <si>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</si>
  <si>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</si>
  <si>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</si>
  <si>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</si>
  <si>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</si>
  <si>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</si>
  <si>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</si>
  <si>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</si>
  <si>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</si>
  <si>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</si>
  <si>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</si>
  <si>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</si>
  <si>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</si>
  <si>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</si>
  <si>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</si>
  <si>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</si>
  <si>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</si>
  <si>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</si>
  <si>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</si>
  <si>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</si>
  <si>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</si>
  <si>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</si>
  <si>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</si>
  <si>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</si>
  <si>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</si>
  <si>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</si>
  <si>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</si>
  <si>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</si>
  <si>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</si>
  <si>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</si>
  <si>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</si>
  <si>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</si>
  <si>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</si>
  <si>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</si>
  <si>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</si>
  <si>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</si>
  <si>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</si>
  <si>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</si>
  <si>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</si>
  <si>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</si>
  <si>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</si>
  <si>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</si>
  <si>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</si>
  <si>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</si>
  <si>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</si>
  <si>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</si>
  <si>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</si>
  <si>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</si>
  <si>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</si>
  <si>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</si>
  <si>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</si>
  <si>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</si>
  <si>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</si>
  <si>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</si>
  <si>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</si>
  <si>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</si>
  <si>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</si>
  <si>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</si>
  <si>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</si>
  <si>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</si>
  <si>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</si>
  <si>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</si>
  <si>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</si>
  <si>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</si>
  <si>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</si>
  <si>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</si>
  <si>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</si>
  <si>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</si>
  <si>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</si>
  <si>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</si>
  <si>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</si>
  <si>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</si>
  <si>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</si>
  <si>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</si>
  <si>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</si>
  <si>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pengetahuan ski 1</t>
  </si>
  <si>
    <t>pengetahuan ski 2</t>
  </si>
  <si>
    <t>pengetahuan ski 3</t>
  </si>
  <si>
    <t>pengetahuan ski 4</t>
  </si>
  <si>
    <t>pengetahuan ski 5</t>
  </si>
  <si>
    <t>pengetahuan ski 6</t>
  </si>
  <si>
    <t>pengetahuan ski 7</t>
  </si>
  <si>
    <t>pengetahuan ski 8</t>
  </si>
  <si>
    <t>pengetahuan ski 9</t>
  </si>
  <si>
    <t>pengetahuan ski 10</t>
  </si>
  <si>
    <t>ketrampilan ski 1</t>
  </si>
  <si>
    <t>ketrampilan ski 2</t>
  </si>
  <si>
    <t>ketrampilan ski 3</t>
  </si>
  <si>
    <t>ketrampilan ski 4</t>
  </si>
  <si>
    <t>ketrampilan ski 5</t>
  </si>
  <si>
    <t>ketrampilan ski 6</t>
  </si>
  <si>
    <t>ketrampilan ski 7</t>
  </si>
  <si>
    <t>ketrampilan ski 8</t>
  </si>
  <si>
    <t>ketrampilan ski 9</t>
  </si>
  <si>
    <t>ketrampilan ski 10</t>
  </si>
  <si>
    <t>SKI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</si>
</sst>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4" fillId="35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34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A7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575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6" workbookViewId="0">
      <selection activeCell="B29" sqref="B29:B38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555</v>
      </c>
    </row>
    <row r="12" spans="1:2" ht="15.75">
      <c r="A12" s="415">
        <v>32</v>
      </c>
      <c r="B12" s="411" t="s">
        <v>556</v>
      </c>
    </row>
    <row r="13" spans="1:2" ht="15.75">
      <c r="A13" s="415">
        <v>33</v>
      </c>
      <c r="B13" s="411" t="s">
        <v>557</v>
      </c>
    </row>
    <row r="14" spans="1:2" ht="15.75">
      <c r="A14" s="416">
        <v>34</v>
      </c>
      <c r="B14" s="411" t="s">
        <v>558</v>
      </c>
    </row>
    <row r="15" spans="1:2" ht="15.75">
      <c r="A15" s="414">
        <v>35</v>
      </c>
      <c r="B15" s="411" t="s">
        <v>559</v>
      </c>
    </row>
    <row r="16" spans="1:2" ht="15.75">
      <c r="A16" s="415">
        <v>36</v>
      </c>
      <c r="B16" s="412" t="s">
        <v>560</v>
      </c>
    </row>
    <row r="17" spans="1:2" ht="15.75">
      <c r="A17" s="415">
        <v>37</v>
      </c>
      <c r="B17" s="413" t="s">
        <v>561</v>
      </c>
    </row>
    <row r="18" spans="1:2">
      <c r="A18" s="416">
        <v>38</v>
      </c>
      <c r="B18" s="277" t="s">
        <v>562</v>
      </c>
    </row>
    <row r="19" spans="1:2">
      <c r="A19" s="414">
        <v>39</v>
      </c>
      <c r="B19" s="277" t="s">
        <v>563</v>
      </c>
    </row>
    <row r="20" spans="1:2">
      <c r="A20" s="415">
        <v>310</v>
      </c>
      <c r="B20" s="277" t="s">
        <v>564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565</v>
      </c>
    </row>
    <row r="30" spans="1:2" ht="15.75">
      <c r="A30" s="278">
        <v>42</v>
      </c>
      <c r="B30" s="409" t="s">
        <v>566</v>
      </c>
    </row>
    <row r="31" spans="1:2" ht="15.75">
      <c r="A31" s="278">
        <v>43</v>
      </c>
      <c r="B31" s="409" t="s">
        <v>567</v>
      </c>
    </row>
    <row r="32" spans="1:2" ht="15.75">
      <c r="A32" s="278">
        <v>44</v>
      </c>
      <c r="B32" s="409" t="s">
        <v>568</v>
      </c>
    </row>
    <row r="33" spans="1:2" ht="15.75">
      <c r="A33" s="278">
        <v>45</v>
      </c>
      <c r="B33" s="409" t="s">
        <v>569</v>
      </c>
    </row>
    <row r="34" spans="1:2" ht="15.75">
      <c r="A34" s="278">
        <v>46</v>
      </c>
      <c r="B34" s="409" t="s">
        <v>570</v>
      </c>
    </row>
    <row r="35" spans="1:2" ht="15.75">
      <c r="A35" s="278">
        <v>47</v>
      </c>
      <c r="B35" s="410" t="s">
        <v>571</v>
      </c>
    </row>
    <row r="36" spans="1:2">
      <c r="A36" s="278">
        <v>48</v>
      </c>
      <c r="B36" s="279" t="s">
        <v>572</v>
      </c>
    </row>
    <row r="37" spans="1:2">
      <c r="A37" s="278">
        <v>49</v>
      </c>
      <c r="B37" s="279" t="s">
        <v>573</v>
      </c>
    </row>
    <row r="38" spans="1:2">
      <c r="A38" s="278">
        <v>410</v>
      </c>
      <c r="B38" s="279" t="s">
        <v>574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ski 7, dan perlu ditingkatkan dalam pengetahuan ski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ski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SKI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90</v>
      </c>
      <c r="D8" s="218">
        <f>IF('Input Nilai Pengetahuan'!U5="","",'Input Nilai Pengetahuan'!U5)</f>
        <v>70</v>
      </c>
      <c r="E8" s="218">
        <f>IF('Input Nilai Pengetahuan'!AC5="","",'Input Nilai Pengetahuan'!AC5)</f>
        <v>99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2">
        <f>IF(G8="","",AVERAGE(C8:F8))</f>
        <v>87.5</v>
      </c>
      <c r="I8" s="422">
        <f>IF(G8="","",((2*H8)+G8)/3)</f>
        <v>87.5</v>
      </c>
      <c r="J8" s="422">
        <f>IF(G8="","",ROUND(I8,0))</f>
        <v>88</v>
      </c>
      <c r="K8" s="420">
        <f>IF(J8="","",J8)</f>
        <v>88</v>
      </c>
      <c r="L8" s="420" t="str">
        <f>IF(G8="","",IF(K8&gt;=menu!$O$6,"A",IF(K8&gt;=menu!$O$7,"B",IF(K8&gt;=menu!$O$8,"C","D"))))</f>
        <v>B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85.5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36"/>
      <c r="E1" s="537"/>
      <c r="F1" s="537"/>
      <c r="G1" s="537"/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8"/>
    </row>
    <row r="2" spans="1:20" ht="15.75">
      <c r="D2" s="539" t="str">
        <f>UPPER('[1]Data Raport'!C3:F3)</f>
        <v/>
      </c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1"/>
    </row>
    <row r="3" spans="1:20" ht="9" customHeight="1">
      <c r="D3" s="542" t="str">
        <f>UPPER('[1]Data Raport'!C5:F5)</f>
        <v/>
      </c>
      <c r="E3" s="543"/>
      <c r="F3" s="543"/>
      <c r="G3" s="543"/>
      <c r="H3" s="543"/>
      <c r="I3" s="543"/>
      <c r="J3" s="543"/>
      <c r="K3" s="543"/>
      <c r="L3" s="543"/>
      <c r="M3" s="543"/>
      <c r="N3" s="543"/>
      <c r="O3" s="543"/>
      <c r="P3" s="543"/>
      <c r="Q3" s="543"/>
      <c r="R3" s="543"/>
      <c r="S3" s="544"/>
    </row>
    <row r="4" spans="1:20" ht="8.25" customHeight="1">
      <c r="D4" s="545" t="s">
        <v>284</v>
      </c>
      <c r="E4" s="546"/>
      <c r="F4" s="546"/>
      <c r="G4" s="546"/>
      <c r="H4" s="546"/>
      <c r="I4" s="546"/>
      <c r="J4" s="546"/>
      <c r="K4" s="546"/>
      <c r="L4" s="546"/>
      <c r="M4" s="546"/>
      <c r="N4" s="546"/>
      <c r="O4" s="546"/>
      <c r="P4" s="546"/>
      <c r="Q4" s="546"/>
      <c r="R4" s="546"/>
      <c r="S4" s="547"/>
    </row>
    <row r="5" spans="1:20" ht="8.25" customHeight="1">
      <c r="D5" s="548"/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  <c r="P5" s="549"/>
      <c r="Q5" s="549"/>
      <c r="R5" s="549"/>
      <c r="S5" s="550"/>
    </row>
    <row r="6" spans="1:20" ht="8.25" customHeight="1">
      <c r="D6" s="551"/>
      <c r="E6" s="552"/>
      <c r="F6" s="552"/>
      <c r="G6" s="552"/>
      <c r="H6" s="552"/>
      <c r="I6" s="552"/>
      <c r="J6" s="552"/>
      <c r="K6" s="552"/>
      <c r="L6" s="552"/>
      <c r="M6" s="552"/>
      <c r="N6" s="552"/>
      <c r="O6" s="552"/>
      <c r="P6" s="552"/>
      <c r="Q6" s="552"/>
      <c r="R6" s="552"/>
      <c r="S6" s="55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SKI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54" t="str">
        <f>menu!D14&amp;menu!E14</f>
        <v>7a</v>
      </c>
      <c r="E9" s="55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55"/>
      <c r="Q9" s="55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56"/>
      <c r="Q10" s="556"/>
      <c r="R10" s="241"/>
      <c r="S10" s="153"/>
    </row>
    <row r="11" spans="1:20">
      <c r="D11" s="152"/>
      <c r="E11" s="152"/>
      <c r="F11" s="152"/>
    </row>
    <row r="12" spans="1:20" s="246" customFormat="1">
      <c r="A12" s="557" t="s">
        <v>262</v>
      </c>
      <c r="B12" s="564" t="s">
        <v>288</v>
      </c>
      <c r="C12" s="557" t="s">
        <v>239</v>
      </c>
      <c r="D12" s="558" t="s">
        <v>35</v>
      </c>
      <c r="E12" s="559"/>
      <c r="F12" s="560"/>
      <c r="G12" s="561" t="s">
        <v>244</v>
      </c>
      <c r="H12" s="562"/>
      <c r="I12" s="56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57"/>
      <c r="B13" s="565"/>
      <c r="C13" s="55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85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ski 3, dan perlu ditingkatkan dalam pengetahuan ski 6</v>
      </c>
      <c r="G14" s="227">
        <f>IF('Input Nilai Ketrampilan'!BF5="","",'Input Nilai Ketrampilan'!BF5)</f>
        <v>87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ski 10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ski 7, dan perlu ditingkatkan dalam pengetahuan ski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ski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ski 8, dan perlu ditingkatkan dalam pengetahuan ski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ski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ski 1, dan perlu ditingkatkan dalam pengetahuan ski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ski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ski 7, dan perlu ditingkatkan dalam pengetahuan ski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ski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ski 2, dan perlu ditingkatkan dalam pengetahuan ski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ski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ski 4, dan perlu ditingkatkan dalam pengetahuan ski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ski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ski 4, dan perlu ditingkatkan dalam pengetahuan ski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ski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ski 4, dan perlu ditingkatkan dalam pengetahuan ski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ski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ski 7, dan perlu ditingkatkan dalam pengetahuan ski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ski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ski 1, dan perlu ditingkatkan dalam pengetahuan ski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ski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ski 1, dan perlu ditingkatkan dalam pengetahuan ski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ski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ski 2, dan perlu ditingkatkan dalam pengetahuan ski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ski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ski 8, dan perlu ditingkatkan dalam pengetahuan ski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ski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ski 1, dan perlu ditingkatkan dalam pengetahuan ski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ski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ski 4, dan perlu ditingkatkan dalam pengetahuan ski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ski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ski 1, dan perlu ditingkatkan dalam pengetahuan ski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ski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ski 8, dan perlu ditingkatkan dalam pengetahuan ski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ski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ski 4, dan perlu ditingkatkan dalam pengetahuan ski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ski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ski 7, dan perlu ditingkatkan dalam pengetahuan ski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ski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ski 1, dan perlu ditingkatkan dalam pengetahuan ski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ski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ski 7, dan perlu ditingkatkan dalam pengetahuan ski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ski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ski 4, dan perlu ditingkatkan dalam pengetahuan ski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ski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ski 1, dan perlu ditingkatkan dalam pengetahuan ski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ski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ski 8, dan perlu ditingkatkan dalam pengetahuan ski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ski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ski 4, dan perlu ditingkatkan dalam pengetahuan ski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ski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ski 4, dan perlu ditingkatkan dalam pengetahuan ski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ski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ski 1, dan perlu ditingkatkan dalam pengetahuan ski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ski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ski 8, dan perlu ditingkatkan dalam pengetahuan ski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ski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ski 8, dan perlu ditingkatkan dalam pengetahuan ski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ski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ski 2, dan perlu ditingkatkan dalam pengetahuan ski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ski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ski 4, dan perlu ditingkatkan dalam pengetahuan ski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ski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ski 1, dan perlu ditingkatkan dalam pengetahuan ski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ski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ski 8, dan perlu ditingkatkan dalam pengetahuan ski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ski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ski 4, dan perlu ditingkatkan dalam pengetahuan ski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ski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ski 1, dan perlu ditingkatkan dalam pengetahuan ski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ski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ski 3, dan perlu ditingkatkan dalam pengetahuan ski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ski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ski 8, dan perlu ditingkatkan dalam pengetahuan ski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ski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ski 4, dan perlu ditingkatkan dalam pengetahuan ski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ski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ski 2, dan perlu ditingkatkan dalam pengetahuan ski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ski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ski 1, dan perlu ditingkatkan dalam pengetahuan ski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ski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ski 4, dan perlu ditingkatkan dalam pengetahuan ski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ski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ski 4, dan perlu ditingkatkan dalam pengetahuan ski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ski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ski 2, dan perlu ditingkatkan dalam pengetahuan ski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ski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ski 8, dan perlu ditingkatkan dalam pengetahuan ski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ski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ski 4, dan perlu ditingkatkan dalam pengetahuan ski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ski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ski 4, dan perlu ditingkatkan dalam pengetahuan ski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ski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ski 2, dan perlu ditingkatkan dalam pengetahuan ski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ski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83.424999999999997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T12:T13"/>
    <mergeCell ref="P10:Q10"/>
    <mergeCell ref="A12:A13"/>
    <mergeCell ref="C12:C13"/>
    <mergeCell ref="D12:F12"/>
    <mergeCell ref="G12:I12"/>
    <mergeCell ref="B12:B13"/>
    <mergeCell ref="J12:K12"/>
    <mergeCell ref="D1:S1"/>
    <mergeCell ref="D2:S2"/>
    <mergeCell ref="D3:S3"/>
    <mergeCell ref="D4:S6"/>
    <mergeCell ref="D9:E9"/>
    <mergeCell ref="P9:Q9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SKI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F4:L4"/>
    <mergeCell ref="M4:M6"/>
    <mergeCell ref="N4:T4"/>
    <mergeCell ref="U4:U6"/>
    <mergeCell ref="F5:L5"/>
    <mergeCell ref="N5:T5"/>
    <mergeCell ref="A4:A6"/>
    <mergeCell ref="B4:B6"/>
    <mergeCell ref="C4:C6"/>
    <mergeCell ref="D4:D6"/>
    <mergeCell ref="E4:E6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BV5" activePane="bottomRight" state="frozen"/>
      <selection pane="topRight" activeCell="F1" sqref="F1"/>
      <selection pane="bottomLeft" activeCell="A6" sqref="A6"/>
      <selection pane="bottomRight" activeCell="CB6" sqref="CB6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89" t="s">
        <v>15</v>
      </c>
      <c r="B1" s="589" t="s">
        <v>16</v>
      </c>
      <c r="C1" s="597" t="s">
        <v>0</v>
      </c>
      <c r="D1" s="598" t="s">
        <v>1</v>
      </c>
      <c r="E1" s="592" t="s">
        <v>17</v>
      </c>
      <c r="F1" s="599" t="str">
        <f>IF(KDOKE!B11="","",KDOKE!B11)</f>
        <v>pengetahuan ski 1</v>
      </c>
      <c r="G1" s="599"/>
      <c r="H1" s="599"/>
      <c r="I1" s="599"/>
      <c r="J1" s="599"/>
      <c r="K1" s="599"/>
      <c r="L1" s="599"/>
      <c r="M1" s="596" t="s">
        <v>436</v>
      </c>
      <c r="N1" s="600" t="str">
        <f>IF(KDOKE!B12="","",KDOKE!B12)</f>
        <v>pengetahuan ski 2</v>
      </c>
      <c r="O1" s="600"/>
      <c r="P1" s="600"/>
      <c r="Q1" s="600"/>
      <c r="R1" s="600"/>
      <c r="S1" s="600"/>
      <c r="T1" s="600"/>
      <c r="U1" s="596" t="s">
        <v>437</v>
      </c>
      <c r="V1" s="601" t="str">
        <f>IF(KDOKE!B13="","",KDOKE!B13)</f>
        <v>pengetahuan ski 3</v>
      </c>
      <c r="W1" s="601"/>
      <c r="X1" s="601"/>
      <c r="Y1" s="601"/>
      <c r="Z1" s="601"/>
      <c r="AA1" s="601"/>
      <c r="AB1" s="601"/>
      <c r="AC1" s="596" t="s">
        <v>438</v>
      </c>
      <c r="AD1" s="615" t="str">
        <f>IF(KDOKE!B14="","",KDOKE!B14)</f>
        <v>pengetahuan ski 4</v>
      </c>
      <c r="AE1" s="615"/>
      <c r="AF1" s="615"/>
      <c r="AG1" s="615"/>
      <c r="AH1" s="615"/>
      <c r="AI1" s="615"/>
      <c r="AJ1" s="615"/>
      <c r="AK1" s="596" t="s">
        <v>439</v>
      </c>
      <c r="AL1" s="602" t="str">
        <f>IF(KDOKE!B15="","",KDOKE!B15)</f>
        <v>pengetahuan ski 5</v>
      </c>
      <c r="AM1" s="602"/>
      <c r="AN1" s="602"/>
      <c r="AO1" s="602"/>
      <c r="AP1" s="602"/>
      <c r="AQ1" s="602"/>
      <c r="AR1" s="602"/>
      <c r="AS1" s="596" t="s">
        <v>440</v>
      </c>
      <c r="AT1" s="611" t="str">
        <f>IF(KDOKE!B16="","",KDOKE!B16)</f>
        <v>pengetahuan ski 6</v>
      </c>
      <c r="AU1" s="611"/>
      <c r="AV1" s="611"/>
      <c r="AW1" s="611"/>
      <c r="AX1" s="611"/>
      <c r="AY1" s="611"/>
      <c r="AZ1" s="611"/>
      <c r="BA1" s="596" t="s">
        <v>441</v>
      </c>
      <c r="BB1" s="595" t="str">
        <f>IF(KDOKE!B17="","",KDOKE!B17)</f>
        <v>pengetahuan ski 7</v>
      </c>
      <c r="BC1" s="595"/>
      <c r="BD1" s="595"/>
      <c r="BE1" s="595"/>
      <c r="BF1" s="595"/>
      <c r="BG1" s="595"/>
      <c r="BH1" s="595"/>
      <c r="BI1" s="596" t="s">
        <v>442</v>
      </c>
      <c r="BJ1" s="607" t="str">
        <f>IF(KDOKE!B18="","",KDOKE!B18)</f>
        <v>pengetahuan ski 8</v>
      </c>
      <c r="BK1" s="607"/>
      <c r="BL1" s="607"/>
      <c r="BM1" s="607"/>
      <c r="BN1" s="607"/>
      <c r="BO1" s="607"/>
      <c r="BP1" s="607"/>
      <c r="BQ1" s="596" t="s">
        <v>443</v>
      </c>
      <c r="BR1" s="610" t="str">
        <f>IF(KDOKE!B19="","",KDOKE!B19)</f>
        <v>pengetahuan ski 9</v>
      </c>
      <c r="BS1" s="610"/>
      <c r="BT1" s="610"/>
      <c r="BU1" s="610"/>
      <c r="BV1" s="610"/>
      <c r="BW1" s="610"/>
      <c r="BX1" s="610"/>
      <c r="BY1" s="596" t="s">
        <v>444</v>
      </c>
      <c r="BZ1" s="611" t="str">
        <f>IF(KDOKE!B20="","",KDOKE!B20)</f>
        <v>pengetahuan ski 10</v>
      </c>
      <c r="CA1" s="611"/>
      <c r="CB1" s="611"/>
      <c r="CC1" s="611"/>
      <c r="CD1" s="611"/>
      <c r="CE1" s="611"/>
      <c r="CF1" s="611"/>
      <c r="CG1" s="596" t="s">
        <v>445</v>
      </c>
      <c r="CH1" s="606" t="s">
        <v>27</v>
      </c>
      <c r="CI1" s="568" t="s">
        <v>323</v>
      </c>
      <c r="CJ1" s="612" t="s">
        <v>322</v>
      </c>
      <c r="CK1" s="92" t="s">
        <v>448</v>
      </c>
      <c r="CL1" s="603" t="s">
        <v>450</v>
      </c>
      <c r="CM1" s="580" t="s">
        <v>429</v>
      </c>
      <c r="CN1" s="581"/>
      <c r="CO1" s="582"/>
      <c r="CP1" s="571" t="s">
        <v>435</v>
      </c>
      <c r="CQ1" s="571" t="s">
        <v>433</v>
      </c>
      <c r="CR1" s="571" t="s">
        <v>434</v>
      </c>
      <c r="CS1" s="571" t="s">
        <v>394</v>
      </c>
      <c r="CT1" s="578" t="s">
        <v>303</v>
      </c>
      <c r="CU1" s="579"/>
      <c r="CV1" s="574" t="s">
        <v>324</v>
      </c>
      <c r="CW1" s="586" t="s">
        <v>325</v>
      </c>
      <c r="CX1" s="583" t="s">
        <v>326</v>
      </c>
    </row>
    <row r="2" spans="1:102" ht="18.75" customHeight="1">
      <c r="A2" s="590"/>
      <c r="B2" s="590"/>
      <c r="C2" s="597"/>
      <c r="D2" s="598"/>
      <c r="E2" s="593"/>
      <c r="F2" s="602">
        <f>IF(KDOKE!A11="","",KDOKE!A11)</f>
        <v>31</v>
      </c>
      <c r="G2" s="602"/>
      <c r="H2" s="602"/>
      <c r="I2" s="602"/>
      <c r="J2" s="602"/>
      <c r="K2" s="602"/>
      <c r="L2" s="602"/>
      <c r="M2" s="596"/>
      <c r="N2" s="600">
        <f>IF(KDOKE!A12="","",KDOKE!A12)</f>
        <v>32</v>
      </c>
      <c r="O2" s="600"/>
      <c r="P2" s="600"/>
      <c r="Q2" s="600"/>
      <c r="R2" s="600"/>
      <c r="S2" s="600"/>
      <c r="T2" s="600"/>
      <c r="U2" s="596"/>
      <c r="V2" s="601">
        <f>IF(KDOKE!A13="","",KDOKE!A13)</f>
        <v>33</v>
      </c>
      <c r="W2" s="601"/>
      <c r="X2" s="601"/>
      <c r="Y2" s="601"/>
      <c r="Z2" s="601"/>
      <c r="AA2" s="601"/>
      <c r="AB2" s="601"/>
      <c r="AC2" s="596"/>
      <c r="AD2" s="615">
        <f>IF(KDOKE!A14="","",KDOKE!A14)</f>
        <v>34</v>
      </c>
      <c r="AE2" s="615"/>
      <c r="AF2" s="615"/>
      <c r="AG2" s="615"/>
      <c r="AH2" s="615"/>
      <c r="AI2" s="615"/>
      <c r="AJ2" s="615"/>
      <c r="AK2" s="596"/>
      <c r="AL2" s="602">
        <f>IF(KDOKE!A15="","",KDOKE!A15)</f>
        <v>35</v>
      </c>
      <c r="AM2" s="602"/>
      <c r="AN2" s="602"/>
      <c r="AO2" s="602"/>
      <c r="AP2" s="602"/>
      <c r="AQ2" s="602"/>
      <c r="AR2" s="602"/>
      <c r="AS2" s="596"/>
      <c r="AT2" s="611">
        <f>IF(KDOKE!A16="","",KDOKE!A16)</f>
        <v>36</v>
      </c>
      <c r="AU2" s="611"/>
      <c r="AV2" s="611"/>
      <c r="AW2" s="611"/>
      <c r="AX2" s="611"/>
      <c r="AY2" s="611"/>
      <c r="AZ2" s="611"/>
      <c r="BA2" s="596"/>
      <c r="BB2" s="595">
        <f>IF(KDOKE!A17="","",KDOKE!A17)</f>
        <v>37</v>
      </c>
      <c r="BC2" s="595"/>
      <c r="BD2" s="595"/>
      <c r="BE2" s="595"/>
      <c r="BF2" s="595"/>
      <c r="BG2" s="595"/>
      <c r="BH2" s="595"/>
      <c r="BI2" s="596"/>
      <c r="BJ2" s="607">
        <f>IF(KDOKE!A18="","",KDOKE!A18)</f>
        <v>38</v>
      </c>
      <c r="BK2" s="607"/>
      <c r="BL2" s="607"/>
      <c r="BM2" s="607"/>
      <c r="BN2" s="607"/>
      <c r="BO2" s="607"/>
      <c r="BP2" s="607"/>
      <c r="BQ2" s="596"/>
      <c r="BR2" s="610">
        <f>IF(KDOKE!A19="","",KDOKE!A19)</f>
        <v>39</v>
      </c>
      <c r="BS2" s="610"/>
      <c r="BT2" s="610"/>
      <c r="BU2" s="610"/>
      <c r="BV2" s="610"/>
      <c r="BW2" s="610"/>
      <c r="BX2" s="610"/>
      <c r="BY2" s="596"/>
      <c r="BZ2" s="611">
        <f>IF(KDOKE!A20="","",KDOKE!A20)</f>
        <v>310</v>
      </c>
      <c r="CA2" s="611"/>
      <c r="CB2" s="611"/>
      <c r="CC2" s="611"/>
      <c r="CD2" s="611"/>
      <c r="CE2" s="611"/>
      <c r="CF2" s="611"/>
      <c r="CG2" s="596"/>
      <c r="CH2" s="606"/>
      <c r="CI2" s="569"/>
      <c r="CJ2" s="613"/>
      <c r="CK2" s="608" t="s">
        <v>449</v>
      </c>
      <c r="CL2" s="604"/>
      <c r="CM2" s="307" t="s">
        <v>430</v>
      </c>
      <c r="CN2" s="307" t="s">
        <v>431</v>
      </c>
      <c r="CO2" s="307" t="s">
        <v>432</v>
      </c>
      <c r="CP2" s="572"/>
      <c r="CQ2" s="572"/>
      <c r="CR2" s="572"/>
      <c r="CS2" s="572"/>
      <c r="CT2" s="577">
        <f>menu!R1</f>
        <v>80</v>
      </c>
      <c r="CU2" s="577"/>
      <c r="CV2" s="575"/>
      <c r="CW2" s="587"/>
      <c r="CX2" s="584"/>
    </row>
    <row r="3" spans="1:102" s="97" customFormat="1" ht="81" customHeight="1">
      <c r="A3" s="591"/>
      <c r="B3" s="591"/>
      <c r="C3" s="597"/>
      <c r="D3" s="598"/>
      <c r="E3" s="594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96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96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96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96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96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96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96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96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96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96"/>
      <c r="CH3" s="606"/>
      <c r="CI3" s="570"/>
      <c r="CJ3" s="614"/>
      <c r="CK3" s="609"/>
      <c r="CL3" s="605"/>
      <c r="CM3" s="306">
        <v>2</v>
      </c>
      <c r="CN3" s="306">
        <v>1</v>
      </c>
      <c r="CO3" s="306">
        <v>1</v>
      </c>
      <c r="CP3" s="573"/>
      <c r="CQ3" s="573"/>
      <c r="CR3" s="573"/>
      <c r="CS3" s="573"/>
      <c r="CT3" s="396" t="s">
        <v>484</v>
      </c>
      <c r="CU3" s="224" t="s">
        <v>485</v>
      </c>
      <c r="CV3" s="576"/>
      <c r="CW3" s="588"/>
      <c r="CX3" s="585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90</v>
      </c>
      <c r="G5" s="100"/>
      <c r="H5" s="100"/>
      <c r="I5" s="353"/>
      <c r="J5" s="310">
        <f>IF(AND(F5="",G5="",H5="",I5=""),"",AVERAGE(F5:I5))</f>
        <v>90</v>
      </c>
      <c r="K5" s="353"/>
      <c r="L5" s="100"/>
      <c r="M5" s="319">
        <f>IF(AND(F5="",G5="",H5="",I5=""),"",IF(AND(K5="",L5=""),J5,MAX(J5:L5)))</f>
        <v>90</v>
      </c>
      <c r="N5" s="353"/>
      <c r="O5" s="100">
        <v>70</v>
      </c>
      <c r="P5" s="100"/>
      <c r="Q5" s="353"/>
      <c r="R5" s="310">
        <f>IF(AND(N5="",O5="",P5="",Q5=""),"",AVERAGE(N5:Q5))</f>
        <v>70</v>
      </c>
      <c r="S5" s="353"/>
      <c r="T5" s="100"/>
      <c r="U5" s="319">
        <f>IF(AND(N5="",O5="",P5="",Q5=""),"",IF(AND(S5="",T5=""),R5,MAX(R5:T5)))</f>
        <v>70</v>
      </c>
      <c r="V5" s="353"/>
      <c r="W5" s="100"/>
      <c r="X5" s="100"/>
      <c r="Y5" s="353">
        <v>99</v>
      </c>
      <c r="Z5" s="310">
        <f>IF(AND(V5="",W5="",X5="",Y5=""),"",AVERAGE(V5:Y5))</f>
        <v>99</v>
      </c>
      <c r="AA5" s="100"/>
      <c r="AB5" s="100"/>
      <c r="AC5" s="319">
        <f>IF(AND(V5="",W5="",X5="",Y5=""),"",IF(AND(AA5="",AB5=""),Z5,MAX(Z5:AB5)))</f>
        <v>99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60</v>
      </c>
      <c r="AU5" s="100"/>
      <c r="AV5" s="100"/>
      <c r="AW5" s="90"/>
      <c r="AX5" s="310">
        <f>IF(AND(AT5="",AU5="",AV5="",AW5=""),"",AVERAGE(AT5:AW5))</f>
        <v>60</v>
      </c>
      <c r="AY5" s="100"/>
      <c r="AZ5" s="100"/>
      <c r="BA5" s="319">
        <f>IF(AND(AT5="",AU5="",AV5="",AW5=""),"",IF(AND(AY5="",AZ5=""),AX5,MAX(AX5:AZ5)))</f>
        <v>60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98</v>
      </c>
      <c r="BS5" s="100"/>
      <c r="BT5" s="100"/>
      <c r="BU5" s="90"/>
      <c r="BV5" s="310">
        <f>IF(AND(BR5="",BS5="",BT5="",BU5=""),"",AVERAGE(BR5:BU5))</f>
        <v>98</v>
      </c>
      <c r="BW5" s="100"/>
      <c r="BX5" s="100"/>
      <c r="BY5" s="319">
        <f>IF(AND(BR5="",BS5="",BT5="",BU5=""),"",IF(AND(BW5="",BX5=""),BV5,MAX(BV5:BX5)))</f>
        <v>98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85.3</v>
      </c>
      <c r="CI5" s="104">
        <f t="shared" ref="CI5:CI52" si="1">MAX(M5,U5,AC5,AK5,AS5,BA5,BI5,BQ5,BY5,CG5)</f>
        <v>99</v>
      </c>
      <c r="CJ5" s="104">
        <f t="shared" ref="CJ5:CJ52" si="2">MIN(M5,U5,AC5,AK5,AS5,BA5,BI5,BQ5,BY5,CG5)</f>
        <v>60</v>
      </c>
      <c r="CK5" s="90">
        <v>87.5</v>
      </c>
      <c r="CL5" s="100">
        <v>80</v>
      </c>
      <c r="CM5" s="322">
        <f>IF(CH5="","",CH5*$CM$3)</f>
        <v>170.6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84.525000000000006</v>
      </c>
      <c r="CQ5" s="323">
        <f>IF(CP5="","",ROUNDUP(CP5,0))</f>
        <v>85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ski 3, dan perlu ditingkatkan dalam pengetahuan ski 6</v>
      </c>
      <c r="CW5" s="107" t="str">
        <f>IF(CI5="","",VLOOKUP(CI5,DATAPENG!$B$3:$C$12,2,FALSE))</f>
        <v>pengetahuan ski 3</v>
      </c>
      <c r="CX5" s="107" t="str">
        <f>IF(CJ5="","",VLOOKUP(CJ5,DATAPENG!$B$3:$C$12,2,FALSE))</f>
        <v>pengetahuan ski 6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ski 7, dan perlu ditingkatkan dalam pengetahuan ski 10</v>
      </c>
      <c r="CW6" s="108" t="str">
        <f>IF(CI6="","",VLOOKUP(CI6,DATAPENG!$D$3:$E$12,2,FALSE))</f>
        <v>pengetahuan ski 7</v>
      </c>
      <c r="CX6" s="108" t="str">
        <f>IF(CJ6="","",VLOOKUP(CJ6,DATAPENG!$D$3:$E$12,2,FALSE))</f>
        <v>pengetahuan ski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ski 8, dan perlu ditingkatkan dalam pengetahuan ski 9</v>
      </c>
      <c r="CW7" s="108" t="str">
        <f>IF(CI7="","",VLOOKUP(CI7,DATAPENG!$F$3:$G$12,2,FALSE))</f>
        <v>pengetahuan ski 8</v>
      </c>
      <c r="CX7" s="108" t="str">
        <f>IF(CJ7="","",VLOOKUP(CJ7,DATAPENG!$F$3:$G$12,2,FALSE))</f>
        <v>pengetahuan ski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ski 1, dan perlu ditingkatkan dalam pengetahuan ski 10</v>
      </c>
      <c r="CW8" s="108" t="str">
        <f>IF(CI8="","",VLOOKUP(CI8,DATAPENG!$H$3:$I$12,2,FALSE))</f>
        <v>pengetahuan ski 1</v>
      </c>
      <c r="CX8" s="108" t="str">
        <f>IF(CJ8="","",VLOOKUP(CJ8,DATAPENG!$H$3:$I$12,2,FALSE))</f>
        <v>pengetahuan ski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ski 7, dan perlu ditingkatkan dalam pengetahuan ski 6</v>
      </c>
      <c r="CW9" s="108" t="str">
        <f>IF(CI9="","",VLOOKUP(CI9,DATAPENG!$J$3:$K$12,2,FALSE))</f>
        <v>pengetahuan ski 7</v>
      </c>
      <c r="CX9" s="108" t="str">
        <f>IF(CJ9="","",VLOOKUP(CJ9,DATAPENG!$J$3:$K$12,2,FALSE))</f>
        <v>pengetahuan ski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ski 2, dan perlu ditingkatkan dalam pengetahuan ski 10</v>
      </c>
      <c r="CW10" s="108" t="str">
        <f>IF(CI10="","",VLOOKUP(CI10,DATAPENG!$L$3:$M$12,2,FALSE))</f>
        <v>pengetahuan ski 2</v>
      </c>
      <c r="CX10" s="108" t="str">
        <f>IF(CJ10="","",VLOOKUP(CJ10,DATAPENG!$L$3:$M$12,2,FALSE))</f>
        <v>pengetahuan ski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ski 4, dan perlu ditingkatkan dalam pengetahuan ski 2</v>
      </c>
      <c r="CW11" s="108" t="str">
        <f>IF(CI11="","",VLOOKUP(CI11,DATAPENG!$N$3:$O$12,2,FALSE))</f>
        <v>pengetahuan ski 4</v>
      </c>
      <c r="CX11" s="108" t="str">
        <f>IF(CJ11="","",VLOOKUP(CJ11,DATAPENG!$N$3:$O$12,2,FALSE))</f>
        <v>pengetahuan ski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ski 4, dan perlu ditingkatkan dalam pengetahuan ski 10</v>
      </c>
      <c r="CW12" s="108" t="str">
        <f>IF(CI12="","",VLOOKUP(CI12,DATAPENG!$P$3:$Q$12,2,FALSE))</f>
        <v>pengetahuan ski 4</v>
      </c>
      <c r="CX12" s="108" t="str">
        <f>IF(CJ12="","",VLOOKUP(CJ12,DATAPENG!$P$3:$Q$12,2,FALSE))</f>
        <v>pengetahuan ski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ski 4, dan perlu ditingkatkan dalam pengetahuan ski 10</v>
      </c>
      <c r="CW13" s="108" t="str">
        <f>IF(CI13="","",VLOOKUP(CI13,DATAPENG!$R$3:$S$12,2,FALSE))</f>
        <v>pengetahuan ski 4</v>
      </c>
      <c r="CX13" s="108" t="str">
        <f>IF(CJ13="","",VLOOKUP(CJ13,DATAPENG!$R$3:$S$12,2,FALSE))</f>
        <v>pengetahuan ski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ski 7, dan perlu ditingkatkan dalam pengetahuan ski 6</v>
      </c>
      <c r="CW14" s="108" t="str">
        <f>IF(CI14="","",VLOOKUP(CI14,DATAPENG!$T$3:$U$12,2,FALSE))</f>
        <v>pengetahuan ski 7</v>
      </c>
      <c r="CX14" s="108" t="str">
        <f>IF(CJ14="","",VLOOKUP(CJ14,DATAPENG!$T$3:$U$12,2,FALSE))</f>
        <v>pengetahuan ski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ski 1, dan perlu ditingkatkan dalam pengetahuan ski 6</v>
      </c>
      <c r="CW15" s="108" t="str">
        <f>IF(CI15="","",VLOOKUP(CI15,DATAPENG!$V$3:$W$12,2,FALSE))</f>
        <v>pengetahuan ski 1</v>
      </c>
      <c r="CX15" s="108" t="str">
        <f>IF(CJ15="","",VLOOKUP(CJ15,DATAPENG!$V$3:$W$12,2,FALSE))</f>
        <v>pengetahuan ski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ski 1, dan perlu ditingkatkan dalam pengetahuan ski 10</v>
      </c>
      <c r="CW16" s="108" t="str">
        <f>IF(CI16="","",VLOOKUP(CI16,DATAPENG!$X$3:$Y$12,2,FALSE))</f>
        <v>pengetahuan ski 1</v>
      </c>
      <c r="CX16" s="108" t="str">
        <f>IF(CJ16="","",VLOOKUP(CJ16,DATAPENG!$X$3:$Y$12,2,FALSE))</f>
        <v>pengetahuan ski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ski 2, dan perlu ditingkatkan dalam pengetahuan ski 9</v>
      </c>
      <c r="CW17" s="108" t="str">
        <f>IF(CI17="","",VLOOKUP(CI17,DATAPENG!$Z$3:$AA$12,2,FALSE))</f>
        <v>pengetahuan ski 2</v>
      </c>
      <c r="CX17" s="108" t="str">
        <f>IF(CJ17="","",VLOOKUP(CJ17,DATAPENG!$Z$3:$AA$12,2,FALSE))</f>
        <v>pengetahuan ski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ski 8, dan perlu ditingkatkan dalam pengetahuan ski 10</v>
      </c>
      <c r="CW18" s="108" t="str">
        <f>IF(CI18="","",VLOOKUP(CI18,DATAPENG!$AB$3:$AC$12,2,FALSE))</f>
        <v>pengetahuan ski 8</v>
      </c>
      <c r="CX18" s="108" t="str">
        <f>IF(CJ18="","",VLOOKUP(CJ18,DATAPENG!$AB$3:$AC$12,2,FALSE))</f>
        <v>pengetahuan ski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ski 1, dan perlu ditingkatkan dalam pengetahuan ski 6</v>
      </c>
      <c r="CW19" s="108" t="str">
        <f>IF(CI19="","",VLOOKUP(CI19,DATAPENG!$AD$3:$AE$12,2,FALSE))</f>
        <v>pengetahuan ski 1</v>
      </c>
      <c r="CX19" s="108" t="str">
        <f>IF(CJ19="","",VLOOKUP(CJ19,DATAPENG!$AD$3:$AE$12,2,FALSE))</f>
        <v>pengetahuan ski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ski 4, dan perlu ditingkatkan dalam pengetahuan ski 9</v>
      </c>
      <c r="CW20" s="108" t="str">
        <f>IF(CI20="","",VLOOKUP(CI20,DATAPENG!$AF$3:$AG$12,2,FALSE))</f>
        <v>pengetahuan ski 4</v>
      </c>
      <c r="CX20" s="108" t="str">
        <f>IF(CJ20="","",VLOOKUP(CJ20,DATAPENG!$AF$3:$AG$12,2,FALSE))</f>
        <v>pengetahuan ski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ski 1, dan perlu ditingkatkan dalam pengetahuan ski 10</v>
      </c>
      <c r="CW21" s="108" t="str">
        <f>IF(CI21="","",VLOOKUP(CI21,DATAPENG!$AH$3:$AI$12,2,FALSE))</f>
        <v>pengetahuan ski 1</v>
      </c>
      <c r="CX21" s="108" t="str">
        <f>IF(CJ21="","",VLOOKUP(CJ21,DATAPENG!$AH$3:$AI$12,2,FALSE))</f>
        <v>pengetahuan ski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ski 8, dan perlu ditingkatkan dalam pengetahuan ski 10</v>
      </c>
      <c r="CW22" s="108" t="str">
        <f>IF(CI22="","",VLOOKUP(CI22,DATAPENG!$AJ$3:$AK$12,2,FALSE))</f>
        <v>pengetahuan ski 8</v>
      </c>
      <c r="CX22" s="108" t="str">
        <f>IF(CJ22="","",VLOOKUP(CJ22,DATAPENG!$AJ$3:$AK$12,2,FALSE))</f>
        <v>pengetahuan ski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ski 4, dan perlu ditingkatkan dalam pengetahuan ski 9</v>
      </c>
      <c r="CW23" s="108" t="str">
        <f>IF(CI23="","",VLOOKUP(CI23,DATAPENG!$AL$3:$AM$12,2,FALSE))</f>
        <v>pengetahuan ski 4</v>
      </c>
      <c r="CX23" s="108" t="str">
        <f>IF(CJ23="","",VLOOKUP(CJ23,DATAPENG!$AL$3:$AM$12,2,FALSE))</f>
        <v>pengetahuan ski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ski 7, dan perlu ditingkatkan dalam pengetahuan ski 10</v>
      </c>
      <c r="CW24" s="108" t="str">
        <f>IF(CI24="","",VLOOKUP(CI24,DATAPENG!$AN$3:$AO$12,2,FALSE))</f>
        <v>pengetahuan ski 7</v>
      </c>
      <c r="CX24" s="108" t="str">
        <f>IF(CJ24="","",VLOOKUP(CJ24,DATAPENG!$AN$3:$AO$12,2,FALSE))</f>
        <v>pengetahuan ski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ski 1, dan perlu ditingkatkan dalam pengetahuan ski 10</v>
      </c>
      <c r="CW25" s="108" t="str">
        <f>IF(CI25="","",VLOOKUP(CI25,DATAPENG!$AP$3:$AQ$12,2,FALSE))</f>
        <v>pengetahuan ski 1</v>
      </c>
      <c r="CX25" s="108" t="str">
        <f>IF(CJ25="","",VLOOKUP(CJ25,DATAPENG!$AP$3:$AQ$12,2,FALSE))</f>
        <v>pengetahuan ski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ski 7, dan perlu ditingkatkan dalam pengetahuan ski 10</v>
      </c>
      <c r="CW26" s="108" t="str">
        <f>IF(CI26="","",VLOOKUP(CI26,DATAPENG!$AR$3:$AS$12,2,FALSE))</f>
        <v>pengetahuan ski 7</v>
      </c>
      <c r="CX26" s="108" t="str">
        <f>IF(CJ26="","",VLOOKUP(CJ26,DATAPENG!$AR$3:$AS$12,2,FALSE))</f>
        <v>pengetahuan ski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ski 4, dan perlu ditingkatkan dalam pengetahuan ski 10</v>
      </c>
      <c r="CW27" s="108" t="str">
        <f>IF(CI27="","",VLOOKUP(CI27,DATAPENG!$AT$3:$AU$12,2,FALSE))</f>
        <v>pengetahuan ski 4</v>
      </c>
      <c r="CX27" s="108" t="str">
        <f>IF(CJ27="","",VLOOKUP(CJ27,DATAPENG!$AT$3:$AU$12,2,FALSE))</f>
        <v>pengetahuan ski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ski 1, dan perlu ditingkatkan dalam pengetahuan ski 10</v>
      </c>
      <c r="CW28" s="108" t="str">
        <f>IF(CI28="","",VLOOKUP(CI28,DATAPENG!$AV$3:$AW$12,2,FALSE))</f>
        <v>pengetahuan ski 1</v>
      </c>
      <c r="CX28" s="108" t="str">
        <f>IF(CJ28="","",VLOOKUP(CJ28,DATAPENG!$AV$3:$AW$12,2,FALSE))</f>
        <v>pengetahuan ski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ski 8, dan perlu ditingkatkan dalam pengetahuan ski 10</v>
      </c>
      <c r="CW29" s="108" t="str">
        <f>IF(CI29="","",VLOOKUP(CI29,DATAPENG!$AX$3:$AY$12,2,FALSE))</f>
        <v>pengetahuan ski 8</v>
      </c>
      <c r="CX29" s="108" t="str">
        <f>IF(CJ29="","",VLOOKUP(CJ29,DATAPENG!$AX$3:$AY$12,2,FALSE))</f>
        <v>pengetahuan ski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ski 4, dan perlu ditingkatkan dalam pengetahuan ski 9</v>
      </c>
      <c r="CW30" s="108" t="str">
        <f>IF(CI30="","",VLOOKUP(CI30,DATAPENG!$AZ$3:$BA$12,2,FALSE))</f>
        <v>pengetahuan ski 4</v>
      </c>
      <c r="CX30" s="108" t="str">
        <f>IF(CJ30="","",VLOOKUP(CJ30,DATAPENG!$AZ$3:$BA$12,2,FALSE))</f>
        <v>pengetahuan ski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ski 4, dan perlu ditingkatkan dalam pengetahuan ski 6</v>
      </c>
      <c r="CW31" s="108" t="str">
        <f>IF(CI31="","",VLOOKUP(CI31,DATAPENG!$BB$3:$BC$12,2,FALSE))</f>
        <v>pengetahuan ski 4</v>
      </c>
      <c r="CX31" s="108" t="str">
        <f>IF(CJ31="","",VLOOKUP(CJ31,DATAPENG!$BB$3:$BC$12,2,FALSE))</f>
        <v>pengetahuan ski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ski 1, dan perlu ditingkatkan dalam pengetahuan ski 6</v>
      </c>
      <c r="CW32" s="108" t="str">
        <f>IF(CI32="","",VLOOKUP(CI32,DATAPENG!$BD$3:$BE$12,2,FALSE))</f>
        <v>pengetahuan ski 1</v>
      </c>
      <c r="CX32" s="108" t="str">
        <f>IF(CJ32="","",VLOOKUP(CJ32,DATAPENG!$BD$3:$BE$12,2,FALSE))</f>
        <v>pengetahuan ski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ski 8, dan perlu ditingkatkan dalam pengetahuan ski 9</v>
      </c>
      <c r="CW33" s="108" t="str">
        <f>IF(CI33="","",VLOOKUP(CI33,DATAPENG!$BF$3:$BG$12,2,FALSE))</f>
        <v>pengetahuan ski 8</v>
      </c>
      <c r="CX33" s="108" t="str">
        <f>IF(CJ33="","",VLOOKUP(CJ33,DATAPENG!$BF$3:$BG$12,2,FALSE))</f>
        <v>pengetahuan ski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ski 8, dan perlu ditingkatkan dalam pengetahuan ski 9</v>
      </c>
      <c r="CW34" s="108" t="str">
        <f>IF(CI34="","",VLOOKUP(CI34,DATAPENG!$BH$3:$BI$12,2,FALSE))</f>
        <v>pengetahuan ski 8</v>
      </c>
      <c r="CX34" s="108" t="str">
        <f>IF(CJ34="","",VLOOKUP(CJ34,DATAPENG!$BH$3:$BI$12,2,FALSE))</f>
        <v>pengetahuan ski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ski 2, dan perlu ditingkatkan dalam pengetahuan ski 10</v>
      </c>
      <c r="CW35" s="108" t="str">
        <f>IF(CI35="","",VLOOKUP(CI35,DATAPENG!$BJ$3:$BK$12,2,FALSE))</f>
        <v>pengetahuan ski 2</v>
      </c>
      <c r="CX35" s="108" t="str">
        <f>IF(CJ35="","",VLOOKUP(CJ35,DATAPENG!$BJ$3:$BK$12,2,FALSE))</f>
        <v>pengetahuan ski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ski 4, dan perlu ditingkatkan dalam pengetahuan ski 6</v>
      </c>
      <c r="CW36" s="108" t="str">
        <f>IF(CI36="","",VLOOKUP(CI36,DATAPENG!$BL$3:$BM$12,2,FALSE))</f>
        <v>pengetahuan ski 4</v>
      </c>
      <c r="CX36" s="108" t="str">
        <f>IF(CJ36="","",VLOOKUP(CJ36,DATAPENG!$BL$3:$BM$12,2,FALSE))</f>
        <v>pengetahuan ski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ski 1, dan perlu ditingkatkan dalam pengetahuan ski 10</v>
      </c>
      <c r="CW37" s="108" t="str">
        <f>IF(CI37="","",VLOOKUP(CI37,DATAPENG!$BN$3:$BO$12,2,FALSE))</f>
        <v>pengetahuan ski 1</v>
      </c>
      <c r="CX37" s="108" t="str">
        <f>IF(CJ37="","",VLOOKUP(CJ37,DATAPENG!$BN$3:$BO$12,2,FALSE))</f>
        <v>pengetahuan ski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ski 8, dan perlu ditingkatkan dalam pengetahuan ski 2</v>
      </c>
      <c r="CW38" s="108" t="str">
        <f>IF(CI38="","",VLOOKUP(CI38,DATAPENG!$BP$3:$BQ$12,2,FALSE))</f>
        <v>pengetahuan ski 8</v>
      </c>
      <c r="CX38" s="108" t="str">
        <f>IF(CJ38="","",VLOOKUP(CJ38,DATAPENG!$BP$3:$BQ$12,2,FALSE))</f>
        <v>pengetahuan ski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ski 4, dan perlu ditingkatkan dalam pengetahuan ski 10</v>
      </c>
      <c r="CW39" s="108" t="str">
        <f>IF(CI39="","",VLOOKUP(CI39,DATAPENG!$BR$3:$BS$12,2,FALSE))</f>
        <v>pengetahuan ski 4</v>
      </c>
      <c r="CX39" s="108" t="str">
        <f>IF(CJ39="","",VLOOKUP(CJ39,DATAPENG!$BR$3:$BS$12,2,FALSE))</f>
        <v>pengetahuan ski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ski 1, dan perlu ditingkatkan dalam pengetahuan ski 9</v>
      </c>
      <c r="CW40" s="108" t="str">
        <f>IF(CI40="","",VLOOKUP(CI40,DATAPENG!$BT$3:$BU$12,2,FALSE))</f>
        <v>pengetahuan ski 1</v>
      </c>
      <c r="CX40" s="108" t="str">
        <f>IF(CJ40="","",VLOOKUP(CJ40,DATAPENG!$BT$3:$BU$12,2,FALSE))</f>
        <v>pengetahuan ski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ski 3, dan perlu ditingkatkan dalam pengetahuan ski 10</v>
      </c>
      <c r="CW41" s="108" t="str">
        <f>IF(CI41="","",VLOOKUP(CI41,DATAPENG!$BV$3:$BW$12,2,FALSE))</f>
        <v>pengetahuan ski 3</v>
      </c>
      <c r="CX41" s="108" t="str">
        <f>IF(CJ41="","",VLOOKUP(CJ41,DATAPENG!$BV$3:$BW$12,2,FALSE))</f>
        <v>pengetahuan ski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ski 8, dan perlu ditingkatkan dalam pengetahuan ski 10</v>
      </c>
      <c r="CW42" s="108" t="str">
        <f>IF(CI42="","",VLOOKUP(CI42,DATAPENG!$BX$3:$BY$12,2,FALSE))</f>
        <v>pengetahuan ski 8</v>
      </c>
      <c r="CX42" s="108" t="str">
        <f>IF(CJ42="","",VLOOKUP(CJ42,DATAPENG!$BX$3:$BY$12,2,FALSE))</f>
        <v>pengetahuan ski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ski 4, dan perlu ditingkatkan dalam pengetahuan ski 10</v>
      </c>
      <c r="CW43" s="108" t="str">
        <f>IF(CI43="","",VLOOKUP(CI43,DATAPENG!$BZ$3:$CA$12,2,FALSE))</f>
        <v>pengetahuan ski 4</v>
      </c>
      <c r="CX43" s="108" t="str">
        <f>IF(CJ43="","",VLOOKUP(CJ43,DATAPENG!$BZ$3:$CA$12,2,FALSE))</f>
        <v>pengetahuan ski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ski 2, dan perlu ditingkatkan dalam pengetahuan ski 9</v>
      </c>
      <c r="CW44" s="108" t="str">
        <f>IF(CI44="","",VLOOKUP(CI44,DATAPENG!$CB$3:$CC$12,2,FALSE))</f>
        <v>pengetahuan ski 2</v>
      </c>
      <c r="CX44" s="108" t="str">
        <f>IF(CJ44="","",VLOOKUP(CJ44,DATAPENG!$CB$3:$CC$12,2,FALSE))</f>
        <v>pengetahuan ski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ski 1, dan perlu ditingkatkan dalam pengetahuan ski 10</v>
      </c>
      <c r="CW45" s="108" t="str">
        <f>IF(CI45="","",VLOOKUP(CI45,DATAPENG!$CD$3:$CE$12,2,FALSE))</f>
        <v>pengetahuan ski 1</v>
      </c>
      <c r="CX45" s="108" t="str">
        <f>IF(CJ45="","",VLOOKUP(CJ45,DATAPENG!$CD$3:$CE$12,2,FALSE))</f>
        <v>pengetahuan ski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ski 4, dan perlu ditingkatkan dalam pengetahuan ski 6</v>
      </c>
      <c r="CW46" s="108" t="str">
        <f>IF(CI46="","",VLOOKUP(CI46,DATAPENG!$CF$3:$CG$12,2,FALSE))</f>
        <v>pengetahuan ski 4</v>
      </c>
      <c r="CX46" s="108" t="str">
        <f>IF(CJ46="","",VLOOKUP(CJ46,DATAPENG!$CF$3:$CG$12,2,FALSE))</f>
        <v>pengetahuan ski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ski 4, dan perlu ditingkatkan dalam pengetahuan ski 6</v>
      </c>
      <c r="CW47" s="108" t="str">
        <f>IF(CI47="","",VLOOKUP(CI47,DATAPENG!$CH$3:$CI$12,2,FALSE))</f>
        <v>pengetahuan ski 4</v>
      </c>
      <c r="CX47" s="108" t="str">
        <f>IF(CJ47="","",VLOOKUP(CJ47,DATAPENG!$CH$3:$CI$12,2,FALSE))</f>
        <v>pengetahuan ski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ski 2, dan perlu ditingkatkan dalam pengetahuan ski 10</v>
      </c>
      <c r="CW48" s="108" t="str">
        <f>IF(CI48="","",VLOOKUP(CI48,DATAPENG!$CJ$3:$CK$12,2,FALSE))</f>
        <v>pengetahuan ski 2</v>
      </c>
      <c r="CX48" s="108" t="str">
        <f>IF(CJ48="","",VLOOKUP(CJ48,DATAPENG!$CJ$3:$CK$12,2,FALSE))</f>
        <v>pengetahuan ski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ski 8, dan perlu ditingkatkan dalam pengetahuan ski 6</v>
      </c>
      <c r="CW49" s="108" t="str">
        <f>IF(CI49="","",VLOOKUP(CI49,DATAPENG!$CL$3:$CM$12,2,FALSE))</f>
        <v>pengetahuan ski 8</v>
      </c>
      <c r="CX49" s="108" t="str">
        <f>IF(CJ49="","",VLOOKUP(CJ49,DATAPENG!$CL$3:$CM$12,2,FALSE))</f>
        <v>pengetahuan ski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ski 4, dan perlu ditingkatkan dalam pengetahuan ski 9</v>
      </c>
      <c r="CW50" s="108" t="str">
        <f>IF(CI50="","",VLOOKUP(CI50,DATAPENG!$CN$3:$CO$12,2,FALSE))</f>
        <v>pengetahuan ski 4</v>
      </c>
      <c r="CX50" s="108" t="str">
        <f>IF(CJ50="","",VLOOKUP(CJ50,DATAPENG!$CN$3:$CO$12,2,FALSE))</f>
        <v>pengetahuan ski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ski 4, dan perlu ditingkatkan dalam pengetahuan ski 6</v>
      </c>
      <c r="CW51" s="108" t="str">
        <f>IF(CI51="","",VLOOKUP(CI51,DATAPENG!$CP$3:$CQ$12,2,FALSE))</f>
        <v>pengetahuan ski 4</v>
      </c>
      <c r="CX51" s="108" t="str">
        <f>IF(CJ51="","",VLOOKUP(CJ51,DATAPENG!$CP$3:$CQ$12,2,FALSE))</f>
        <v>pengetahuan ski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ski 2, dan perlu ditingkatkan dalam pengetahuan ski 10</v>
      </c>
      <c r="CW52" s="108" t="str">
        <f>IF(CI52="","",VLOOKUP(CI52,DATAPENG!$CR$3:$CS$12,2,FALSE))</f>
        <v>pengetahuan ski 2</v>
      </c>
      <c r="CX52" s="108" t="str">
        <f>IF(CJ52="","",VLOOKUP(CJ52,DATAPENG!$CR$3:$CS$12,2,FALSE))</f>
        <v>pengetahuan ski 10</v>
      </c>
    </row>
    <row r="53" spans="1:102">
      <c r="CW53" s="223"/>
    </row>
  </sheetData>
  <sheetProtection password="D4C3" sheet="1" objects="1" scenarios="1"/>
  <mergeCells count="50"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6" t="s">
        <v>369</v>
      </c>
      <c r="AY1" s="616"/>
      <c r="AZ1" s="616" t="s">
        <v>370</v>
      </c>
      <c r="BA1" s="616"/>
      <c r="BB1" s="616" t="s">
        <v>371</v>
      </c>
      <c r="BC1" s="616"/>
      <c r="BD1" s="616" t="s">
        <v>372</v>
      </c>
      <c r="BE1" s="616"/>
      <c r="BF1" s="616" t="s">
        <v>373</v>
      </c>
      <c r="BG1" s="616"/>
      <c r="BH1" s="616" t="s">
        <v>374</v>
      </c>
      <c r="BI1" s="616"/>
      <c r="BJ1" s="616" t="s">
        <v>375</v>
      </c>
      <c r="BK1" s="616"/>
      <c r="BL1" s="616" t="s">
        <v>376</v>
      </c>
      <c r="BM1" s="616"/>
      <c r="BN1" s="616" t="s">
        <v>377</v>
      </c>
      <c r="BO1" s="616"/>
      <c r="BP1" s="616" t="s">
        <v>378</v>
      </c>
      <c r="BQ1" s="616"/>
      <c r="BR1" s="616" t="s">
        <v>379</v>
      </c>
      <c r="BS1" s="616"/>
      <c r="BT1" s="616" t="s">
        <v>380</v>
      </c>
      <c r="BU1" s="616"/>
      <c r="BV1" s="616" t="s">
        <v>381</v>
      </c>
      <c r="BW1" s="616"/>
      <c r="BX1" s="616" t="s">
        <v>382</v>
      </c>
      <c r="BY1" s="616"/>
      <c r="BZ1" s="616" t="s">
        <v>383</v>
      </c>
      <c r="CA1" s="616"/>
      <c r="CB1" s="616" t="s">
        <v>384</v>
      </c>
      <c r="CC1" s="616"/>
      <c r="CD1" s="616" t="s">
        <v>385</v>
      </c>
      <c r="CE1" s="616"/>
      <c r="CF1" s="616" t="s">
        <v>386</v>
      </c>
      <c r="CG1" s="616"/>
      <c r="CH1" s="616" t="s">
        <v>387</v>
      </c>
      <c r="CI1" s="616"/>
      <c r="CJ1" s="616" t="s">
        <v>388</v>
      </c>
      <c r="CK1" s="616"/>
      <c r="CL1" s="616" t="s">
        <v>389</v>
      </c>
      <c r="CM1" s="616"/>
      <c r="CN1" s="616" t="s">
        <v>390</v>
      </c>
      <c r="CO1" s="616"/>
      <c r="CP1" s="616" t="s">
        <v>391</v>
      </c>
      <c r="CQ1" s="616"/>
      <c r="CR1" s="616" t="s">
        <v>392</v>
      </c>
      <c r="CS1" s="616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90</v>
      </c>
      <c r="C3" s="89" t="str">
        <f>IF(B3="","",IF('Input Nilai Pengetahuan'!$F$1="","",'Input Nilai Pengetahuan'!$F$1))</f>
        <v>pengetahuan ski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ski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ski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ski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ski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ski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ski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ski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ski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ski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ski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ski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ski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ski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ski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ski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ski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ski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ski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ski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ski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ski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ski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ski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ski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ski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ski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ski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ski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ski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ski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ski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ski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ski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ski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ski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ski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ski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ski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ski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ski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ski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ski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ski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ski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ski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ski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ski 1</v>
      </c>
    </row>
    <row r="4" spans="1:97">
      <c r="A4" s="72">
        <v>2</v>
      </c>
      <c r="B4" s="89">
        <f>IF('Input Nilai Pengetahuan'!U5="","",'Input Nilai Pengetahuan'!U5)</f>
        <v>70</v>
      </c>
      <c r="C4" s="89" t="str">
        <f>IF(B4="","",IF('Input Nilai Pengetahuan'!$N$1="","",'Input Nilai Pengetahuan'!$N$1))</f>
        <v>pengetahuan ski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ski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ski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ski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ski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ski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ski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ski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ski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ski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ski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ski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ski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ski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ski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ski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ski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ski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ski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ski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ski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ski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ski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ski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ski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ski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ski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ski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ski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ski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ski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ski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ski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ski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ski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ski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ski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ski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ski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ski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ski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ski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ski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ski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ski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ski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ski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ski 2</v>
      </c>
    </row>
    <row r="5" spans="1:97">
      <c r="A5" s="72">
        <v>3</v>
      </c>
      <c r="B5" s="89">
        <f>IF('Input Nilai Pengetahuan'!AC5="","",'Input Nilai Pengetahuan'!AC5)</f>
        <v>99</v>
      </c>
      <c r="C5" s="89" t="str">
        <f>IF(B5="","",IF('Input Nilai Pengetahuan'!$V$1="","",'Input Nilai Pengetahuan'!$V$1))</f>
        <v>pengetahuan ski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ski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ski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ski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ski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ski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ski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ski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ski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ski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ski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ski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ski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ski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ski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ski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ski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ski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ski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ski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ski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ski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ski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ski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ski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ski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ski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ski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ski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ski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ski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ski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ski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ski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ski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ski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ski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ski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ski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ski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ski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ski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ski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ski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ski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ski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ski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ski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ski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ski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ski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ski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ski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ski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ski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ski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ski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ski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ski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ski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ski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ski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ski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ski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ski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ski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ski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ski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ski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ski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ski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ski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ski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ski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ski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ski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ski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ski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ski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ski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ski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ski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ski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ski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ski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ski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ski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ski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ski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ski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ski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ski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ski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ski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ski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ski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ski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ski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ski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ski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ski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ski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ski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ski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ski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ski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ski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ski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ski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ski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ski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ski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ski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ski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ski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ski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ski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ski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ski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ski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ski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ski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ski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ski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ski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ski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ski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ski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ski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ski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ski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ski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ski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ski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ski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ski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ski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ski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ski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ski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ski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ski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ski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ski 5</v>
      </c>
    </row>
    <row r="8" spans="1:97">
      <c r="A8" s="72">
        <v>6</v>
      </c>
      <c r="B8" s="89">
        <f>IF('Input Nilai Pengetahuan'!BA5="","",'Input Nilai Pengetahuan'!BA5)</f>
        <v>60</v>
      </c>
      <c r="C8" s="89" t="str">
        <f>IF(B3="","",IF('Input Nilai Pengetahuan'!$AT$1="","",'Input Nilai Pengetahuan'!$AT$1))</f>
        <v>pengetahuan ski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ski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ski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ski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ski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ski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ski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ski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ski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ski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ski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ski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ski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ski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ski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ski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ski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ski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ski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ski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ski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ski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ski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ski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ski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ski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ski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ski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ski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ski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ski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ski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ski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ski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ski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ski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ski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ski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ski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ski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ski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ski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ski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ski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ski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ski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ski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ski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ski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ski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ski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ski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ski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ski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ski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ski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ski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ski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ski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ski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ski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ski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ski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ski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ski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ski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ski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ski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ski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ski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ski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ski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ski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ski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ski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ski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ski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ski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ski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ski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ski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ski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ski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ski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ski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ski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ski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ski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ski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ski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ski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ski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ski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ski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ski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ski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ski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ski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ski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ski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ski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ski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ski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ski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ski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ski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ski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ski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ski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ski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ski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ski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ski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ski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ski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ski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ski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ski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ski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ski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ski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ski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ski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ski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ski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ski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ski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ski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ski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ski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ski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ski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ski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ski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ski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ski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ski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ski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ski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ski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ski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ski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ski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ski 8</v>
      </c>
    </row>
    <row r="11" spans="1:97">
      <c r="A11" s="72">
        <v>9</v>
      </c>
      <c r="B11" s="89">
        <f>IF('Input Nilai Pengetahuan'!BY5="","",'Input Nilai Pengetahuan'!BY5)</f>
        <v>98</v>
      </c>
      <c r="C11" s="89" t="str">
        <f>IF(B3="","",IF('Input Nilai Pengetahuan'!$BR$1="","",'Input Nilai Pengetahuan'!$BR$1))</f>
        <v>pengetahuan ski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ski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ski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ski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ski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ski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ski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ski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ski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ski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ski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ski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ski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ski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ski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ski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ski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ski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ski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ski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ski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ski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ski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ski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ski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ski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ski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ski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ski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ski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ski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ski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ski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ski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ski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ski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ski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ski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ski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ski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ski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ski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ski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ski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ski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ski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ski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ski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ski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ski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ski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ski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ski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ski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ski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ski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ski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ski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ski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ski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ski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ski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ski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ski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ski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ski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ski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ski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ski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ski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ski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ski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ski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ski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ski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ski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ski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ski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ski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ski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ski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ski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ski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ski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ski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ski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ski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ski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ski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ski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ski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ski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ski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ski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ski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ski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571" t="s">
        <v>28</v>
      </c>
      <c r="BF1" s="571" t="s">
        <v>29</v>
      </c>
      <c r="BG1" s="93" t="s">
        <v>303</v>
      </c>
      <c r="BH1" s="574" t="s">
        <v>30</v>
      </c>
      <c r="BI1" s="586" t="s">
        <v>283</v>
      </c>
      <c r="BJ1" s="583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572"/>
      <c r="BF2" s="572"/>
      <c r="BG2" s="103">
        <f>menu!$D$19</f>
        <v>0</v>
      </c>
      <c r="BH2" s="575"/>
      <c r="BI2" s="587"/>
      <c r="BJ2" s="584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573"/>
      <c r="BF3" s="573"/>
      <c r="BG3" s="114" t="s">
        <v>304</v>
      </c>
      <c r="BH3" s="576"/>
      <c r="BI3" s="588"/>
      <c r="BJ3" s="585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A1:A3"/>
    <mergeCell ref="B1:B3"/>
    <mergeCell ref="C1:C3"/>
    <mergeCell ref="D1:D3"/>
    <mergeCell ref="E1:E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E1:BE3"/>
    <mergeCell ref="BF1:BF3"/>
    <mergeCell ref="BH1:BH3"/>
    <mergeCell ref="BI1:BI3"/>
    <mergeCell ref="BJ1:BJ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6" t="s">
        <v>314</v>
      </c>
      <c r="G1" s="627"/>
      <c r="H1" s="627"/>
      <c r="I1" s="627"/>
      <c r="J1" s="627"/>
      <c r="K1" s="627"/>
      <c r="L1" s="628"/>
    </row>
    <row r="2" spans="1:21" ht="21" customHeight="1">
      <c r="A2" s="192" t="str">
        <f>menu!D13</f>
        <v>SKI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5" t="s">
        <v>7</v>
      </c>
      <c r="J4" s="481"/>
      <c r="K4" s="481"/>
      <c r="L4" s="481"/>
      <c r="M4" s="625" t="s">
        <v>7</v>
      </c>
      <c r="N4" s="481"/>
      <c r="O4" s="481"/>
      <c r="P4" s="481"/>
      <c r="Q4" s="625" t="s">
        <v>7</v>
      </c>
      <c r="R4" s="481"/>
      <c r="S4" s="481"/>
      <c r="T4" s="481"/>
      <c r="U4" s="625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5"/>
      <c r="J5" s="481"/>
      <c r="K5" s="481"/>
      <c r="L5" s="481"/>
      <c r="M5" s="625"/>
      <c r="N5" s="481"/>
      <c r="O5" s="481"/>
      <c r="P5" s="481"/>
      <c r="Q5" s="625"/>
      <c r="R5" s="481"/>
      <c r="S5" s="481"/>
      <c r="T5" s="481"/>
      <c r="U5" s="625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5"/>
      <c r="J6" s="111" t="s">
        <v>31</v>
      </c>
      <c r="K6" s="112" t="s">
        <v>32</v>
      </c>
      <c r="L6" s="111" t="s">
        <v>33</v>
      </c>
      <c r="M6" s="625"/>
      <c r="N6" s="111" t="s">
        <v>31</v>
      </c>
      <c r="O6" s="112" t="s">
        <v>32</v>
      </c>
      <c r="P6" s="111" t="s">
        <v>33</v>
      </c>
      <c r="Q6" s="625"/>
      <c r="R6" s="111" t="s">
        <v>31</v>
      </c>
      <c r="S6" s="112" t="s">
        <v>32</v>
      </c>
      <c r="T6" s="111" t="s">
        <v>33</v>
      </c>
      <c r="U6" s="625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F1:L1"/>
    <mergeCell ref="A4:A6"/>
    <mergeCell ref="B4:B6"/>
    <mergeCell ref="C4:C6"/>
    <mergeCell ref="D4:D6"/>
    <mergeCell ref="E4:E6"/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Y5" activePane="bottomRight" state="frozen"/>
      <selection pane="topRight" activeCell="F1" sqref="F1"/>
      <selection pane="bottomLeft" activeCell="A5" sqref="A5"/>
      <selection pane="bottomRight" activeCell="AY6" sqref="AY6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30" t="str">
        <f>IF(KDOKE!B29="","",KDOKE!B29)</f>
        <v>ketrampilan ski 1</v>
      </c>
      <c r="G1" s="630"/>
      <c r="H1" s="630"/>
      <c r="I1" s="630"/>
      <c r="J1" s="618" t="s">
        <v>7</v>
      </c>
      <c r="K1" s="630" t="str">
        <f>IF(KDOKE!B30="","",KDOKE!B30)</f>
        <v>ketrampilan ski 2</v>
      </c>
      <c r="L1" s="630"/>
      <c r="M1" s="630"/>
      <c r="N1" s="630"/>
      <c r="O1" s="618" t="s">
        <v>7</v>
      </c>
      <c r="P1" s="630" t="str">
        <f>IF(KDOKE!B31="","",KDOKE!B31)</f>
        <v>ketrampilan ski 3</v>
      </c>
      <c r="Q1" s="630"/>
      <c r="R1" s="630"/>
      <c r="S1" s="630"/>
      <c r="T1" s="618" t="s">
        <v>7</v>
      </c>
      <c r="U1" s="630" t="str">
        <f>IF(KDOKE!B32="","",KDOKE!B32)</f>
        <v>ketrampilan ski 4</v>
      </c>
      <c r="V1" s="630"/>
      <c r="W1" s="630"/>
      <c r="X1" s="630"/>
      <c r="Y1" s="618" t="s">
        <v>7</v>
      </c>
      <c r="Z1" s="630" t="str">
        <f>IF(KDOKE!B33="","",KDOKE!B33)</f>
        <v>ketrampilan ski 5</v>
      </c>
      <c r="AA1" s="630"/>
      <c r="AB1" s="630"/>
      <c r="AC1" s="630"/>
      <c r="AD1" s="618" t="s">
        <v>7</v>
      </c>
      <c r="AE1" s="630" t="str">
        <f>IF(KDOKE!B34="","",KDOKE!B34)</f>
        <v>ketrampilan ski 6</v>
      </c>
      <c r="AF1" s="630"/>
      <c r="AG1" s="630"/>
      <c r="AH1" s="630"/>
      <c r="AI1" s="618" t="s">
        <v>7</v>
      </c>
      <c r="AJ1" s="630" t="str">
        <f>IF(KDOKE!B35="","",KDOKE!B35)</f>
        <v>ketrampilan ski 7</v>
      </c>
      <c r="AK1" s="630"/>
      <c r="AL1" s="630"/>
      <c r="AM1" s="630"/>
      <c r="AN1" s="618" t="s">
        <v>7</v>
      </c>
      <c r="AO1" s="630" t="str">
        <f>IF(KDOKE!B36="","",KDOKE!B36)</f>
        <v>ketrampilan ski 8</v>
      </c>
      <c r="AP1" s="630"/>
      <c r="AQ1" s="630"/>
      <c r="AR1" s="630"/>
      <c r="AS1" s="622" t="s">
        <v>7</v>
      </c>
      <c r="AT1" s="630" t="str">
        <f>IF(KDOKE!B37="","",KDOKE!B37)</f>
        <v>ketrampilan ski 9</v>
      </c>
      <c r="AU1" s="630"/>
      <c r="AV1" s="630"/>
      <c r="AW1" s="630"/>
      <c r="AX1" s="622" t="s">
        <v>7</v>
      </c>
      <c r="AY1" s="630" t="str">
        <f>IF(KDOKE!B38="","",KDOKE!B38)</f>
        <v>ketrampilan ski 10</v>
      </c>
      <c r="AZ1" s="630"/>
      <c r="BA1" s="630"/>
      <c r="BB1" s="630"/>
      <c r="BC1" s="622" t="s">
        <v>7</v>
      </c>
      <c r="BD1" s="608" t="s">
        <v>395</v>
      </c>
      <c r="BE1" s="596" t="s">
        <v>27</v>
      </c>
      <c r="BF1" s="631" t="s">
        <v>28</v>
      </c>
      <c r="BG1" s="634" t="s">
        <v>30</v>
      </c>
      <c r="BH1" s="93" t="s">
        <v>303</v>
      </c>
      <c r="BI1" s="574" t="s">
        <v>396</v>
      </c>
      <c r="BJ1" s="586" t="s">
        <v>283</v>
      </c>
      <c r="BK1" s="583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29"/>
      <c r="BE2" s="596"/>
      <c r="BF2" s="632"/>
      <c r="BG2" s="635"/>
      <c r="BH2" s="288">
        <f>menu!R1</f>
        <v>80</v>
      </c>
      <c r="BI2" s="575"/>
      <c r="BJ2" s="587"/>
      <c r="BK2" s="584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609"/>
      <c r="BE3" s="596"/>
      <c r="BF3" s="633"/>
      <c r="BG3" s="636"/>
      <c r="BH3" s="114" t="s">
        <v>304</v>
      </c>
      <c r="BI3" s="576"/>
      <c r="BJ3" s="588"/>
      <c r="BK3" s="585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98</v>
      </c>
      <c r="AZ5" s="90"/>
      <c r="BA5" s="90"/>
      <c r="BB5" s="90"/>
      <c r="BC5" s="311">
        <f>IF(AND(AY5="",AZ5="",BA5="",BB5=""),"",AVERAGE(AY5:BB5))</f>
        <v>98</v>
      </c>
      <c r="BD5" s="312">
        <f>IF(AND(J5="",O5=""),"",MAX(BC5,AX5,AS5,AN5,AI5,AD5,Y5,T5,O5,J5))</f>
        <v>98</v>
      </c>
      <c r="BE5" s="313">
        <f t="shared" ref="BE5:BE52" si="0">IF(AND(J5="",O5=""),"",AVERAGE(BC5,AX5,AS5,AN5,AI5,AD5,Y5,T5,O5,J5))</f>
        <v>87.35</v>
      </c>
      <c r="BF5" s="314">
        <f>IF(BE5="","",ROUND(BE5,0))</f>
        <v>87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ski 10</v>
      </c>
      <c r="BK5" s="104" t="str">
        <f>IF(BF5="","",BI5&amp;" "&amp;BJ5)</f>
        <v>cukup terampil ketrampilan ski 10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ski 7</v>
      </c>
      <c r="BK6" s="104" t="str">
        <f t="shared" ref="BK6:BK52" si="14">IF(BF6="","",BI6&amp;" "&amp;BJ6)</f>
        <v>cukup terampil ketrampilan ski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ski 1</v>
      </c>
      <c r="BK7" s="104" t="str">
        <f t="shared" si="14"/>
        <v>terampil ketrampilan ski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ski 1</v>
      </c>
      <c r="BK8" s="104" t="str">
        <f t="shared" si="14"/>
        <v>cukup terampil ketrampilan ski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ski 7</v>
      </c>
      <c r="BK9" s="104" t="str">
        <f t="shared" si="14"/>
        <v>kurang terampil ketrampilan ski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ski 2</v>
      </c>
      <c r="BK10" s="104" t="str">
        <f t="shared" si="14"/>
        <v>cukup terampil ketrampilan ski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ski 4</v>
      </c>
      <c r="BK11" s="104" t="str">
        <f t="shared" si="14"/>
        <v>cukup terampil ketrampilan ski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ski 4</v>
      </c>
      <c r="BK12" s="104" t="str">
        <f t="shared" si="14"/>
        <v>cukup terampil ketrampilan ski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ski 4</v>
      </c>
      <c r="BK13" s="104" t="str">
        <f t="shared" si="14"/>
        <v>cukup terampil ketrampilan ski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ski 7</v>
      </c>
      <c r="BK14" s="104" t="str">
        <f t="shared" si="14"/>
        <v>cukup terampil ketrampilan ski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ski 10</v>
      </c>
      <c r="BK15" s="104" t="str">
        <f t="shared" si="14"/>
        <v>kurang terampil ketrampilan ski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ski 1</v>
      </c>
      <c r="BK16" s="104" t="str">
        <f t="shared" si="14"/>
        <v>cukup terampil ketrampilan ski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ski 2</v>
      </c>
      <c r="BK17" s="104" t="str">
        <f t="shared" si="14"/>
        <v>cukup terampil ketrampilan ski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ski 1</v>
      </c>
      <c r="BK18" s="104" t="str">
        <f t="shared" si="14"/>
        <v>cukup terampil ketrampilan ski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ski 1</v>
      </c>
      <c r="BK19" s="104" t="str">
        <f t="shared" si="14"/>
        <v>cukup terampil ketrampilan ski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ski 4</v>
      </c>
      <c r="BK20" s="104" t="str">
        <f t="shared" si="14"/>
        <v>cukup terampil ketrampilan ski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ski 1</v>
      </c>
      <c r="BK21" s="104" t="str">
        <f t="shared" si="14"/>
        <v>cukup terampil ketrampilan ski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ski 7</v>
      </c>
      <c r="BK22" s="104" t="str">
        <f t="shared" si="14"/>
        <v>cukup terampil ketrampilan ski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ski 4</v>
      </c>
      <c r="BK23" s="104" t="str">
        <f t="shared" si="14"/>
        <v>kurang terampil ketrampilan ski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ski 7</v>
      </c>
      <c r="BK24" s="104" t="str">
        <f t="shared" si="14"/>
        <v>cukup terampil ketrampilan ski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ski 1</v>
      </c>
      <c r="BK25" s="104" t="str">
        <f t="shared" si="14"/>
        <v>cukup terampil ketrampilan ski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ski 10</v>
      </c>
      <c r="BK26" s="104" t="str">
        <f t="shared" si="14"/>
        <v>cukup terampil ketrampilan ski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ski 4</v>
      </c>
      <c r="BK27" s="104" t="str">
        <f t="shared" si="14"/>
        <v>cukup terampil ketrampilan ski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ski 1</v>
      </c>
      <c r="BK28" s="104" t="str">
        <f t="shared" si="14"/>
        <v>cukup terampil ketrampilan ski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ski 7</v>
      </c>
      <c r="BK29" s="104" t="str">
        <f t="shared" si="14"/>
        <v>cukup terampil ketrampilan ski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ski 4</v>
      </c>
      <c r="BK30" s="104" t="str">
        <f t="shared" si="14"/>
        <v>cukup terampil ketrampilan ski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ski 4</v>
      </c>
      <c r="BK31" s="104" t="str">
        <f t="shared" si="14"/>
        <v>terampil ketrampilan ski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ski 10</v>
      </c>
      <c r="BK32" s="104" t="str">
        <f t="shared" si="14"/>
        <v>cukup terampil ketrampilan ski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ski 9</v>
      </c>
      <c r="BK33" s="104" t="str">
        <f t="shared" si="14"/>
        <v>cukup terampil ketrampilan ski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ski 1</v>
      </c>
      <c r="BK34" s="104" t="str">
        <f t="shared" si="14"/>
        <v>cukup terampil ketrampilan ski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ski 2</v>
      </c>
      <c r="BK35" s="104" t="str">
        <f t="shared" si="14"/>
        <v>terampil ketrampilan ski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ski 4</v>
      </c>
      <c r="BK36" s="104" t="str">
        <f t="shared" si="14"/>
        <v>cukup terampil ketrampilan ski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ski 1</v>
      </c>
      <c r="BK37" s="104" t="str">
        <f t="shared" si="14"/>
        <v>terampil ketrampilan ski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ski 7</v>
      </c>
      <c r="BK38" s="104" t="str">
        <f t="shared" si="14"/>
        <v>kurang terampil ketrampilan ski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ski 4</v>
      </c>
      <c r="BK39" s="104" t="str">
        <f t="shared" si="14"/>
        <v>cukup terampil ketrampilan ski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ski 1</v>
      </c>
      <c r="BK40" s="104" t="str">
        <f t="shared" si="14"/>
        <v>kurang terampil ketrampilan ski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ski 3</v>
      </c>
      <c r="BK41" s="104" t="str">
        <f t="shared" si="14"/>
        <v>cukup terampil ketrampilan ski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ski 1</v>
      </c>
      <c r="BK42" s="104" t="str">
        <f t="shared" si="14"/>
        <v>cukup terampil ketrampilan ski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ski 4</v>
      </c>
      <c r="BK43" s="104" t="str">
        <f t="shared" si="14"/>
        <v>cukup terampil ketrampilan ski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ski 2</v>
      </c>
      <c r="BK44" s="104" t="str">
        <f t="shared" si="14"/>
        <v>cukup terampil ketrampilan ski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ski 10</v>
      </c>
      <c r="BK45" s="104" t="str">
        <f t="shared" si="14"/>
        <v>cukup terampil ketrampilan ski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ski 4</v>
      </c>
      <c r="BK46" s="104" t="str">
        <f t="shared" si="14"/>
        <v>cukup terampil ketrampilan ski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ski 4</v>
      </c>
      <c r="BK47" s="104" t="str">
        <f t="shared" si="14"/>
        <v>cukup terampil ketrampilan ski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ski 2</v>
      </c>
      <c r="BK48" s="104" t="str">
        <f t="shared" si="14"/>
        <v>cukup terampil ketrampilan ski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ski 5</v>
      </c>
      <c r="BK49" s="104" t="str">
        <f t="shared" si="14"/>
        <v>cukup terampil ketrampilan ski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ski 10</v>
      </c>
      <c r="BK50" s="104" t="str">
        <f t="shared" si="14"/>
        <v>cukup terampil ketrampilan ski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ski 4</v>
      </c>
      <c r="BK51" s="104" t="str">
        <f t="shared" si="14"/>
        <v>cukup terampil ketrampilan ski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ski 2</v>
      </c>
      <c r="BK52" s="104" t="str">
        <f t="shared" si="14"/>
        <v>cukup terampil ketrampilan ski 2</v>
      </c>
    </row>
  </sheetData>
  <sheetProtection password="D4C3" sheet="1" objects="1" scenarios="1"/>
  <dataConsolidate/>
  <mergeCells count="42">
    <mergeCell ref="AT1:AW1"/>
    <mergeCell ref="AX1:AX3"/>
    <mergeCell ref="AT2:AW2"/>
    <mergeCell ref="AJ1:AM1"/>
    <mergeCell ref="AN1:AN3"/>
    <mergeCell ref="AO1:AR1"/>
    <mergeCell ref="AS1:AS3"/>
    <mergeCell ref="AI1:AI3"/>
    <mergeCell ref="AE2:AH2"/>
    <mergeCell ref="AE1:AH1"/>
    <mergeCell ref="AJ2:AM2"/>
    <mergeCell ref="AO2:AR2"/>
    <mergeCell ref="A1:A3"/>
    <mergeCell ref="B1:B3"/>
    <mergeCell ref="C1:C3"/>
    <mergeCell ref="D1:D3"/>
    <mergeCell ref="E1:E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BJ1:BJ3"/>
    <mergeCell ref="BK1:BK3"/>
    <mergeCell ref="BF1:BF3"/>
    <mergeCell ref="BG1:BG3"/>
    <mergeCell ref="BI1:BI3"/>
    <mergeCell ref="BE1:BE3"/>
    <mergeCell ref="BD1:BD3"/>
    <mergeCell ref="AY1:BB1"/>
    <mergeCell ref="BC1:BC3"/>
    <mergeCell ref="AY2:BB2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6" t="s">
        <v>369</v>
      </c>
      <c r="AY1" s="616"/>
      <c r="AZ1" s="616" t="s">
        <v>370</v>
      </c>
      <c r="BA1" s="616"/>
      <c r="BB1" s="616" t="s">
        <v>371</v>
      </c>
      <c r="BC1" s="616"/>
      <c r="BD1" s="616" t="s">
        <v>372</v>
      </c>
      <c r="BE1" s="616"/>
      <c r="BF1" s="616" t="s">
        <v>373</v>
      </c>
      <c r="BG1" s="616"/>
      <c r="BH1" s="616" t="s">
        <v>374</v>
      </c>
      <c r="BI1" s="616"/>
      <c r="BJ1" s="616" t="s">
        <v>375</v>
      </c>
      <c r="BK1" s="616"/>
      <c r="BL1" s="616" t="s">
        <v>376</v>
      </c>
      <c r="BM1" s="616"/>
      <c r="BN1" s="616" t="s">
        <v>377</v>
      </c>
      <c r="BO1" s="616"/>
      <c r="BP1" s="616" t="s">
        <v>378</v>
      </c>
      <c r="BQ1" s="616"/>
      <c r="BR1" s="616" t="s">
        <v>379</v>
      </c>
      <c r="BS1" s="616"/>
      <c r="BT1" s="616" t="s">
        <v>380</v>
      </c>
      <c r="BU1" s="616"/>
      <c r="BV1" s="616" t="s">
        <v>381</v>
      </c>
      <c r="BW1" s="616"/>
      <c r="BX1" s="616" t="s">
        <v>382</v>
      </c>
      <c r="BY1" s="616"/>
      <c r="BZ1" s="616" t="s">
        <v>383</v>
      </c>
      <c r="CA1" s="616"/>
      <c r="CB1" s="616" t="s">
        <v>384</v>
      </c>
      <c r="CC1" s="616"/>
      <c r="CD1" s="616" t="s">
        <v>385</v>
      </c>
      <c r="CE1" s="616"/>
      <c r="CF1" s="616" t="s">
        <v>386</v>
      </c>
      <c r="CG1" s="616"/>
      <c r="CH1" s="616" t="s">
        <v>387</v>
      </c>
      <c r="CI1" s="616"/>
      <c r="CJ1" s="616" t="s">
        <v>388</v>
      </c>
      <c r="CK1" s="616"/>
      <c r="CL1" s="616" t="s">
        <v>389</v>
      </c>
      <c r="CM1" s="616"/>
      <c r="CN1" s="616" t="s">
        <v>390</v>
      </c>
      <c r="CO1" s="616"/>
      <c r="CP1" s="616" t="s">
        <v>391</v>
      </c>
      <c r="CQ1" s="616"/>
      <c r="CR1" s="616" t="s">
        <v>392</v>
      </c>
      <c r="CS1" s="616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ski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ski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ski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ski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ski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ski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ski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ski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ski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ski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ski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ski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ski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ski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ski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ski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ski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ski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ski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ski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ski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ski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ski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ski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ski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ski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ski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ski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ski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ski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ski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ski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ski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ski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ski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ski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ski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ski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ski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ski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ski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ski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ski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ski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ski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ski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ski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ski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ski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ski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ski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ski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ski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ski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ski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ski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ski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ski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ski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ski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ski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ski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ski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ski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ski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ski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ski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ski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ski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ski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ski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ski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ski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ski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ski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ski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ski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ski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ski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ski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ski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ski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ski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ski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ski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ski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ski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ski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ski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ski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ski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ski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ski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ski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ski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ski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ski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ski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ski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ski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ski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ski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ski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ski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ski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ski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ski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ski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ski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ski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ski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ski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ski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ski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ski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ski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ski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ski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ski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ski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ski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ski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ski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ski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ski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ski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ski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ski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ski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ski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ski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ski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ski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ski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ski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ski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ski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ski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ski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ski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ski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ski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ski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ski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ski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ski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ski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ski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ski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ski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ski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ski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ski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ski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ski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ski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ski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ski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ski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ski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ski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ski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ski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ski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ski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ski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ski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ski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ski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ski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ski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ski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ski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ski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ski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ski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ski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ski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ski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ski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ski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ski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ski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ski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ski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ski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ski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ski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ski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ski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ski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ski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ski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ski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ski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ski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ski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ski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ski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ski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ski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ski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ski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ski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ski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ski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ski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ski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ski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ski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ski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ski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ski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ski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ski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ski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ski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ski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ski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ski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ski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ski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ski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ski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ski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ski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ski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ski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ski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ski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ski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ski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ski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ski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ski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ski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ski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ski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ski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ski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ski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ski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ski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ski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ski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ski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ski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ski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ski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ski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ski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ski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ski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ski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ski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ski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ski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ski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ski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ski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ski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ski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ski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ski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ski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ski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ski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ski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ski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ski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ski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ski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ski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ski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ski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ski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ski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ski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ski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ski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ski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ski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ski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ski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ski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ski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ski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ski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ski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ski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ski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ski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ski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ski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ski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ski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ski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ski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ski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ski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ski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ski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ski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ski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ski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ski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ski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ski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ski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ski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ski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ski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ski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ski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ski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ski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ski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ski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ski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ski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ski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ski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ski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ski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ski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ski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ski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ski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ski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ski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ski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ski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ski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ski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ski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ski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ski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ski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ski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ski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ski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ski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ski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ski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ski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ski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ski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ski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ski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ski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ski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ski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ski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ski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ski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ski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ski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ski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ski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ski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ski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ski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ski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ski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ski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ski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ski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ski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ski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ski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ski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ski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ski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ski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ski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ski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ski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ski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ski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ski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ski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ski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ski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ski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ski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ski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ski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ski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ski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ski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ski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ski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ski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ski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ski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ski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ski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ski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ski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ski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ski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ski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ski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ski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ski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ski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ski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ski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ski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ski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ski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ski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ski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ski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ski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ski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ski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ski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ski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ski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ski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ski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ski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ski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ski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ski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ski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ski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ski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ski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ski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ski 9</v>
      </c>
    </row>
    <row r="12" spans="1:97">
      <c r="A12" s="72">
        <v>10</v>
      </c>
      <c r="B12" s="89">
        <f>IF('Input Nilai Ketrampilan'!BC5="","",'Input Nilai Ketrampilan'!BC5)</f>
        <v>98</v>
      </c>
      <c r="C12" s="89" t="str">
        <f>IF(B12="","",IF('Input Nilai Ketrampilan'!$AY$1="","",'Input Nilai Ketrampilan'!$AY$1))</f>
        <v>ketrampilan ski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ski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ski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ski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ski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ski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ski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ski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ski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ski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ski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ski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ski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ski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ski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ski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ski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ski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ski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ski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ski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ski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ski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ski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ski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ski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ski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ski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ski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ski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ski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ski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ski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ski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ski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ski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ski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ski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ski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ski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ski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ski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ski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ski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ski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ski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ski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ski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  <mergeCell ref="AY2:BB2"/>
    <mergeCell ref="Y1:Y3"/>
    <mergeCell ref="Z1:AC1"/>
    <mergeCell ref="AD1:AD3"/>
    <mergeCell ref="AE1:AH1"/>
    <mergeCell ref="AI1:AI3"/>
    <mergeCell ref="AJ1:AM1"/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BB1:BF1"/>
    <mergeCell ref="BG1:BG3"/>
    <mergeCell ref="BB2:BF2"/>
    <mergeCell ref="BH1:BL1"/>
    <mergeCell ref="BM1:BM3"/>
    <mergeCell ref="BH2:BL2"/>
    <mergeCell ref="AP1:AT1"/>
    <mergeCell ref="AU1:AU3"/>
    <mergeCell ref="AP2:AT2"/>
    <mergeCell ref="AV1:AZ1"/>
    <mergeCell ref="BA1:BA3"/>
    <mergeCell ref="AV2:AZ2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51" t="s">
        <v>308</v>
      </c>
      <c r="G1" s="652"/>
      <c r="H1" s="652"/>
      <c r="I1" s="652"/>
      <c r="J1" s="652"/>
      <c r="K1" s="652"/>
      <c r="L1" s="652"/>
      <c r="M1" s="652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5" t="s">
        <v>10</v>
      </c>
      <c r="Z5" s="646"/>
      <c r="AA5" s="646"/>
      <c r="AB5" s="647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48"/>
      <c r="Z6" s="649"/>
      <c r="AA6" s="649"/>
      <c r="AB6" s="650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F5:H6"/>
    <mergeCell ref="F1:M1"/>
    <mergeCell ref="A5:A7"/>
    <mergeCell ref="B5:B7"/>
    <mergeCell ref="C5:C7"/>
    <mergeCell ref="D5:D7"/>
    <mergeCell ref="E5:E7"/>
    <mergeCell ref="S5:S7"/>
    <mergeCell ref="T5:W6"/>
    <mergeCell ref="X5:X7"/>
    <mergeCell ref="Y5:AB6"/>
    <mergeCell ref="I5:I7"/>
    <mergeCell ref="J5:M6"/>
    <mergeCell ref="N5:N7"/>
    <mergeCell ref="O5:R6"/>
    <mergeCell ref="AM5:AM7"/>
    <mergeCell ref="AN5:AQ6"/>
    <mergeCell ref="AR5:AR7"/>
    <mergeCell ref="AC5:AC7"/>
    <mergeCell ref="AD5:AG6"/>
    <mergeCell ref="AH5:AH7"/>
    <mergeCell ref="AI5:AL6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3" t="str">
        <f>IF(KDOKE!B3="","",KDOKE!B3)</f>
        <v>rajin beribadah dan berpuasa</v>
      </c>
      <c r="G1" s="653"/>
      <c r="H1" s="653"/>
      <c r="I1" s="654"/>
      <c r="J1" s="655" t="str">
        <f>IF(KDOKE!B7="","",KDOKE!B7)</f>
        <v>patuh terhadap tata tertib madrasah</v>
      </c>
      <c r="K1" s="656"/>
      <c r="L1" s="656"/>
      <c r="M1" s="656"/>
      <c r="N1" s="656"/>
      <c r="O1" s="656"/>
      <c r="P1" s="656"/>
      <c r="Q1" s="656"/>
      <c r="R1" s="656"/>
      <c r="S1" s="656"/>
      <c r="T1" s="656"/>
      <c r="U1" s="656"/>
      <c r="V1" s="656"/>
      <c r="W1" s="656"/>
      <c r="X1" s="656"/>
      <c r="Y1" s="656"/>
      <c r="Z1" s="656"/>
      <c r="AA1" s="656"/>
      <c r="AB1" s="656"/>
      <c r="AC1" s="656"/>
      <c r="AD1" s="656"/>
      <c r="AE1" s="656"/>
      <c r="AF1" s="656"/>
      <c r="AG1" s="656"/>
      <c r="AH1" s="656"/>
      <c r="AI1" s="656"/>
      <c r="AJ1" s="657"/>
    </row>
    <row r="2" spans="1:38" ht="13.5" customHeight="1">
      <c r="F2" s="653"/>
      <c r="G2" s="653"/>
      <c r="H2" s="653"/>
      <c r="I2" s="654"/>
      <c r="J2" s="658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60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61" t="s">
        <v>207</v>
      </c>
      <c r="G3" s="661"/>
      <c r="H3" s="618" t="s">
        <v>7</v>
      </c>
      <c r="I3" s="662" t="s">
        <v>221</v>
      </c>
      <c r="J3" s="661" t="s">
        <v>8</v>
      </c>
      <c r="K3" s="661"/>
      <c r="L3" s="661"/>
      <c r="M3" s="624" t="s">
        <v>7</v>
      </c>
      <c r="N3" s="661" t="s">
        <v>9</v>
      </c>
      <c r="O3" s="661"/>
      <c r="P3" s="661"/>
      <c r="Q3" s="624" t="s">
        <v>7</v>
      </c>
      <c r="R3" s="661" t="s">
        <v>6</v>
      </c>
      <c r="S3" s="661"/>
      <c r="T3" s="661"/>
      <c r="U3" s="624" t="s">
        <v>7</v>
      </c>
      <c r="V3" s="648" t="s">
        <v>10</v>
      </c>
      <c r="W3" s="649"/>
      <c r="X3" s="649"/>
      <c r="Y3" s="624" t="s">
        <v>7</v>
      </c>
      <c r="Z3" s="661" t="s">
        <v>11</v>
      </c>
      <c r="AA3" s="661"/>
      <c r="AB3" s="661"/>
      <c r="AC3" s="624" t="s">
        <v>7</v>
      </c>
      <c r="AD3" s="661" t="s">
        <v>12</v>
      </c>
      <c r="AE3" s="661"/>
      <c r="AF3" s="661"/>
      <c r="AG3" s="624" t="s">
        <v>7</v>
      </c>
      <c r="AH3" s="661" t="s">
        <v>236</v>
      </c>
      <c r="AI3" s="661"/>
      <c r="AJ3" s="661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48"/>
      <c r="W4" s="649"/>
      <c r="X4" s="649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V3:X4"/>
    <mergeCell ref="Y3:Y5"/>
    <mergeCell ref="J3:L4"/>
    <mergeCell ref="M3:M5"/>
    <mergeCell ref="A3:A5"/>
    <mergeCell ref="B3:B5"/>
    <mergeCell ref="C3:C5"/>
    <mergeCell ref="D3:D5"/>
    <mergeCell ref="E3:E5"/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98">
        <f>menu!E13</f>
        <v>0</v>
      </c>
      <c r="D1" s="698"/>
      <c r="E1" s="698"/>
      <c r="F1" s="698"/>
      <c r="G1" s="699" t="s">
        <v>246</v>
      </c>
      <c r="H1" s="699"/>
      <c r="I1" s="700" t="str">
        <f>menu!D15</f>
        <v>Ganjil</v>
      </c>
      <c r="J1" s="700"/>
      <c r="K1" s="701" t="s">
        <v>247</v>
      </c>
      <c r="L1" s="702"/>
      <c r="M1" s="46">
        <f>menu!D19</f>
        <v>0</v>
      </c>
      <c r="N1" s="133"/>
    </row>
    <row r="2" spans="1:122" ht="16.5">
      <c r="A2" s="131"/>
      <c r="B2" s="132" t="s">
        <v>248</v>
      </c>
      <c r="C2" s="703" t="str">
        <f>menu!D14</f>
        <v>7a</v>
      </c>
      <c r="D2" s="703"/>
      <c r="E2" s="134"/>
      <c r="F2" s="699" t="s">
        <v>249</v>
      </c>
      <c r="G2" s="699"/>
      <c r="H2" s="699"/>
      <c r="I2" s="704" t="str">
        <f>menu!D16</f>
        <v>2017/2018</v>
      </c>
      <c r="J2" s="704"/>
      <c r="K2" s="701" t="s">
        <v>250</v>
      </c>
      <c r="L2" s="701"/>
      <c r="M2" s="705"/>
      <c r="N2" s="705"/>
    </row>
    <row r="3" spans="1:122">
      <c r="A3" s="131"/>
      <c r="B3" s="190" t="s">
        <v>251</v>
      </c>
      <c r="C3" s="697" t="s">
        <v>252</v>
      </c>
      <c r="D3" s="697"/>
      <c r="E3" s="697"/>
      <c r="F3" s="697"/>
      <c r="G3" s="697"/>
      <c r="H3" s="697"/>
      <c r="I3" s="697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73" t="s">
        <v>253</v>
      </c>
      <c r="D5" s="674"/>
      <c r="E5" s="674"/>
      <c r="F5" s="674"/>
      <c r="G5" s="674"/>
      <c r="H5" s="674"/>
      <c r="I5" s="674"/>
      <c r="J5" s="675"/>
      <c r="K5" s="138" t="s">
        <v>254</v>
      </c>
      <c r="L5" s="138"/>
      <c r="M5" s="138"/>
      <c r="N5" s="139"/>
      <c r="O5" s="673" t="s">
        <v>253</v>
      </c>
      <c r="P5" s="674"/>
      <c r="Q5" s="674"/>
      <c r="R5" s="674"/>
      <c r="S5" s="674"/>
      <c r="T5" s="674"/>
      <c r="U5" s="674"/>
      <c r="V5" s="675"/>
      <c r="W5" s="138" t="s">
        <v>254</v>
      </c>
      <c r="X5" s="138"/>
      <c r="Y5" s="138"/>
      <c r="Z5" s="139"/>
      <c r="AA5" s="673" t="s">
        <v>253</v>
      </c>
      <c r="AB5" s="674"/>
      <c r="AC5" s="674"/>
      <c r="AD5" s="674"/>
      <c r="AE5" s="674"/>
      <c r="AF5" s="674"/>
      <c r="AG5" s="674"/>
      <c r="AH5" s="675"/>
      <c r="AI5" s="138" t="s">
        <v>254</v>
      </c>
      <c r="AJ5" s="138"/>
      <c r="AK5" s="138"/>
      <c r="AL5" s="139"/>
      <c r="AM5" s="673" t="s">
        <v>253</v>
      </c>
      <c r="AN5" s="674"/>
      <c r="AO5" s="674"/>
      <c r="AP5" s="674"/>
      <c r="AQ5" s="674"/>
      <c r="AR5" s="674"/>
      <c r="AS5" s="674"/>
      <c r="AT5" s="675"/>
      <c r="AU5" s="138" t="s">
        <v>254</v>
      </c>
      <c r="AV5" s="138"/>
      <c r="AW5" s="138"/>
      <c r="AX5" s="139"/>
      <c r="AY5" s="673" t="s">
        <v>253</v>
      </c>
      <c r="AZ5" s="674"/>
      <c r="BA5" s="674"/>
      <c r="BB5" s="674"/>
      <c r="BC5" s="674"/>
      <c r="BD5" s="674"/>
      <c r="BE5" s="674"/>
      <c r="BF5" s="675"/>
      <c r="BG5" s="138" t="s">
        <v>254</v>
      </c>
      <c r="BH5" s="138"/>
      <c r="BI5" s="138"/>
      <c r="BJ5" s="139"/>
      <c r="BK5" s="673" t="s">
        <v>253</v>
      </c>
      <c r="BL5" s="674"/>
      <c r="BM5" s="674"/>
      <c r="BN5" s="674"/>
      <c r="BO5" s="674"/>
      <c r="BP5" s="674"/>
      <c r="BQ5" s="674"/>
      <c r="BR5" s="675"/>
      <c r="BS5" s="138" t="s">
        <v>254</v>
      </c>
      <c r="BT5" s="138"/>
      <c r="BU5" s="138"/>
      <c r="BV5" s="139"/>
      <c r="BW5" s="673" t="s">
        <v>253</v>
      </c>
      <c r="BX5" s="674"/>
      <c r="BY5" s="674"/>
      <c r="BZ5" s="674"/>
      <c r="CA5" s="674"/>
      <c r="CB5" s="674"/>
      <c r="CC5" s="674"/>
      <c r="CD5" s="675"/>
      <c r="CE5" s="138" t="s">
        <v>254</v>
      </c>
      <c r="CF5" s="138"/>
      <c r="CG5" s="138"/>
      <c r="CH5" s="139"/>
      <c r="CI5" s="673" t="s">
        <v>253</v>
      </c>
      <c r="CJ5" s="674"/>
      <c r="CK5" s="674"/>
      <c r="CL5" s="674"/>
      <c r="CM5" s="674"/>
      <c r="CN5" s="674"/>
      <c r="CO5" s="674"/>
      <c r="CP5" s="675"/>
      <c r="CQ5" s="138" t="s">
        <v>254</v>
      </c>
      <c r="CR5" s="138"/>
      <c r="CS5" s="138"/>
      <c r="CT5" s="139"/>
      <c r="CU5" s="673" t="s">
        <v>253</v>
      </c>
      <c r="CV5" s="674"/>
      <c r="CW5" s="674"/>
      <c r="CX5" s="674"/>
      <c r="CY5" s="674"/>
      <c r="CZ5" s="674"/>
      <c r="DA5" s="674"/>
      <c r="DB5" s="675"/>
      <c r="DC5" s="138" t="s">
        <v>254</v>
      </c>
      <c r="DD5" s="138"/>
      <c r="DE5" s="138"/>
      <c r="DF5" s="139"/>
      <c r="DG5" s="673" t="s">
        <v>253</v>
      </c>
      <c r="DH5" s="674"/>
      <c r="DI5" s="674"/>
      <c r="DJ5" s="674"/>
      <c r="DK5" s="674"/>
      <c r="DL5" s="674"/>
      <c r="DM5" s="674"/>
      <c r="DN5" s="675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76"/>
      <c r="D6" s="677"/>
      <c r="E6" s="677"/>
      <c r="F6" s="677"/>
      <c r="G6" s="677"/>
      <c r="H6" s="677"/>
      <c r="I6" s="677"/>
      <c r="J6" s="678"/>
      <c r="K6" s="141" t="s">
        <v>255</v>
      </c>
      <c r="L6" s="78"/>
      <c r="M6" s="78"/>
      <c r="N6" s="79"/>
      <c r="O6" s="676"/>
      <c r="P6" s="677"/>
      <c r="Q6" s="677"/>
      <c r="R6" s="677"/>
      <c r="S6" s="677"/>
      <c r="T6" s="677"/>
      <c r="U6" s="677"/>
      <c r="V6" s="678"/>
      <c r="W6" s="141" t="s">
        <v>255</v>
      </c>
      <c r="X6" s="78"/>
      <c r="Y6" s="78"/>
      <c r="Z6" s="79"/>
      <c r="AA6" s="676"/>
      <c r="AB6" s="677"/>
      <c r="AC6" s="677"/>
      <c r="AD6" s="677"/>
      <c r="AE6" s="677"/>
      <c r="AF6" s="677"/>
      <c r="AG6" s="677"/>
      <c r="AH6" s="678"/>
      <c r="AI6" s="141" t="s">
        <v>255</v>
      </c>
      <c r="AJ6" s="78"/>
      <c r="AK6" s="78"/>
      <c r="AL6" s="79"/>
      <c r="AM6" s="676"/>
      <c r="AN6" s="677"/>
      <c r="AO6" s="677"/>
      <c r="AP6" s="677"/>
      <c r="AQ6" s="677"/>
      <c r="AR6" s="677"/>
      <c r="AS6" s="677"/>
      <c r="AT6" s="678"/>
      <c r="AU6" s="141" t="s">
        <v>255</v>
      </c>
      <c r="AV6" s="78"/>
      <c r="AW6" s="78"/>
      <c r="AX6" s="79"/>
      <c r="AY6" s="676"/>
      <c r="AZ6" s="677"/>
      <c r="BA6" s="677"/>
      <c r="BB6" s="677"/>
      <c r="BC6" s="677"/>
      <c r="BD6" s="677"/>
      <c r="BE6" s="677"/>
      <c r="BF6" s="678"/>
      <c r="BG6" s="141" t="s">
        <v>255</v>
      </c>
      <c r="BH6" s="78"/>
      <c r="BI6" s="78"/>
      <c r="BJ6" s="79"/>
      <c r="BK6" s="676"/>
      <c r="BL6" s="677"/>
      <c r="BM6" s="677"/>
      <c r="BN6" s="677"/>
      <c r="BO6" s="677"/>
      <c r="BP6" s="677"/>
      <c r="BQ6" s="677"/>
      <c r="BR6" s="678"/>
      <c r="BS6" s="141" t="s">
        <v>255</v>
      </c>
      <c r="BT6" s="78"/>
      <c r="BU6" s="78"/>
      <c r="BV6" s="79"/>
      <c r="BW6" s="676"/>
      <c r="BX6" s="677"/>
      <c r="BY6" s="677"/>
      <c r="BZ6" s="677"/>
      <c r="CA6" s="677"/>
      <c r="CB6" s="677"/>
      <c r="CC6" s="677"/>
      <c r="CD6" s="678"/>
      <c r="CE6" s="141" t="s">
        <v>255</v>
      </c>
      <c r="CF6" s="78"/>
      <c r="CG6" s="78"/>
      <c r="CH6" s="79"/>
      <c r="CI6" s="676"/>
      <c r="CJ6" s="677"/>
      <c r="CK6" s="677"/>
      <c r="CL6" s="677"/>
      <c r="CM6" s="677"/>
      <c r="CN6" s="677"/>
      <c r="CO6" s="677"/>
      <c r="CP6" s="678"/>
      <c r="CQ6" s="141" t="s">
        <v>255</v>
      </c>
      <c r="CR6" s="78"/>
      <c r="CS6" s="78"/>
      <c r="CT6" s="79"/>
      <c r="CU6" s="676"/>
      <c r="CV6" s="677"/>
      <c r="CW6" s="677"/>
      <c r="CX6" s="677"/>
      <c r="CY6" s="677"/>
      <c r="CZ6" s="677"/>
      <c r="DA6" s="677"/>
      <c r="DB6" s="678"/>
      <c r="DC6" s="141" t="s">
        <v>255</v>
      </c>
      <c r="DD6" s="78"/>
      <c r="DE6" s="78"/>
      <c r="DF6" s="79"/>
      <c r="DG6" s="676"/>
      <c r="DH6" s="677"/>
      <c r="DI6" s="677"/>
      <c r="DJ6" s="677"/>
      <c r="DK6" s="677"/>
      <c r="DL6" s="677"/>
      <c r="DM6" s="677"/>
      <c r="DN6" s="678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79"/>
      <c r="D7" s="680"/>
      <c r="E7" s="680"/>
      <c r="F7" s="680"/>
      <c r="G7" s="680"/>
      <c r="H7" s="680"/>
      <c r="I7" s="680"/>
      <c r="J7" s="681"/>
      <c r="K7" s="141" t="s">
        <v>256</v>
      </c>
      <c r="L7" s="80"/>
      <c r="M7" s="80"/>
      <c r="N7" s="81"/>
      <c r="O7" s="679"/>
      <c r="P7" s="680"/>
      <c r="Q7" s="680"/>
      <c r="R7" s="680"/>
      <c r="S7" s="680"/>
      <c r="T7" s="680"/>
      <c r="U7" s="680"/>
      <c r="V7" s="681"/>
      <c r="W7" s="141" t="s">
        <v>256</v>
      </c>
      <c r="X7" s="80"/>
      <c r="Y7" s="80"/>
      <c r="Z7" s="81"/>
      <c r="AA7" s="679"/>
      <c r="AB7" s="680"/>
      <c r="AC7" s="680"/>
      <c r="AD7" s="680"/>
      <c r="AE7" s="680"/>
      <c r="AF7" s="680"/>
      <c r="AG7" s="680"/>
      <c r="AH7" s="681"/>
      <c r="AI7" s="141" t="s">
        <v>256</v>
      </c>
      <c r="AJ7" s="80"/>
      <c r="AK7" s="80"/>
      <c r="AL7" s="81"/>
      <c r="AM7" s="679"/>
      <c r="AN7" s="680"/>
      <c r="AO7" s="680"/>
      <c r="AP7" s="680"/>
      <c r="AQ7" s="680"/>
      <c r="AR7" s="680"/>
      <c r="AS7" s="680"/>
      <c r="AT7" s="681"/>
      <c r="AU7" s="141" t="s">
        <v>256</v>
      </c>
      <c r="AV7" s="80"/>
      <c r="AW7" s="80"/>
      <c r="AX7" s="81"/>
      <c r="AY7" s="679"/>
      <c r="AZ7" s="680"/>
      <c r="BA7" s="680"/>
      <c r="BB7" s="680"/>
      <c r="BC7" s="680"/>
      <c r="BD7" s="680"/>
      <c r="BE7" s="680"/>
      <c r="BF7" s="681"/>
      <c r="BG7" s="141" t="s">
        <v>256</v>
      </c>
      <c r="BH7" s="80"/>
      <c r="BI7" s="80"/>
      <c r="BJ7" s="81"/>
      <c r="BK7" s="679"/>
      <c r="BL7" s="680"/>
      <c r="BM7" s="680"/>
      <c r="BN7" s="680"/>
      <c r="BO7" s="680"/>
      <c r="BP7" s="680"/>
      <c r="BQ7" s="680"/>
      <c r="BR7" s="681"/>
      <c r="BS7" s="141" t="s">
        <v>256</v>
      </c>
      <c r="BT7" s="80"/>
      <c r="BU7" s="80"/>
      <c r="BV7" s="81"/>
      <c r="BW7" s="679"/>
      <c r="BX7" s="680"/>
      <c r="BY7" s="680"/>
      <c r="BZ7" s="680"/>
      <c r="CA7" s="680"/>
      <c r="CB7" s="680"/>
      <c r="CC7" s="680"/>
      <c r="CD7" s="681"/>
      <c r="CE7" s="141" t="s">
        <v>256</v>
      </c>
      <c r="CF7" s="80"/>
      <c r="CG7" s="80"/>
      <c r="CH7" s="81"/>
      <c r="CI7" s="679"/>
      <c r="CJ7" s="680"/>
      <c r="CK7" s="680"/>
      <c r="CL7" s="680"/>
      <c r="CM7" s="680"/>
      <c r="CN7" s="680"/>
      <c r="CO7" s="680"/>
      <c r="CP7" s="681"/>
      <c r="CQ7" s="141" t="s">
        <v>256</v>
      </c>
      <c r="CR7" s="80"/>
      <c r="CS7" s="80"/>
      <c r="CT7" s="81"/>
      <c r="CU7" s="679"/>
      <c r="CV7" s="680"/>
      <c r="CW7" s="680"/>
      <c r="CX7" s="680"/>
      <c r="CY7" s="680"/>
      <c r="CZ7" s="680"/>
      <c r="DA7" s="680"/>
      <c r="DB7" s="681"/>
      <c r="DC7" s="141" t="s">
        <v>256</v>
      </c>
      <c r="DD7" s="80"/>
      <c r="DE7" s="80"/>
      <c r="DF7" s="81"/>
      <c r="DG7" s="679"/>
      <c r="DH7" s="680"/>
      <c r="DI7" s="680"/>
      <c r="DJ7" s="680"/>
      <c r="DK7" s="680"/>
      <c r="DL7" s="680"/>
      <c r="DM7" s="680"/>
      <c r="DN7" s="681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76"/>
      <c r="D8" s="677"/>
      <c r="E8" s="677"/>
      <c r="F8" s="677"/>
      <c r="G8" s="677"/>
      <c r="H8" s="677"/>
      <c r="I8" s="677"/>
      <c r="J8" s="678"/>
      <c r="K8" s="141" t="s">
        <v>257</v>
      </c>
      <c r="L8" s="78"/>
      <c r="M8" s="78"/>
      <c r="N8" s="79"/>
      <c r="O8" s="676"/>
      <c r="P8" s="677"/>
      <c r="Q8" s="677"/>
      <c r="R8" s="677"/>
      <c r="S8" s="677"/>
      <c r="T8" s="677"/>
      <c r="U8" s="677"/>
      <c r="V8" s="678"/>
      <c r="W8" s="141" t="s">
        <v>257</v>
      </c>
      <c r="X8" s="78"/>
      <c r="Y8" s="78"/>
      <c r="Z8" s="79"/>
      <c r="AA8" s="676"/>
      <c r="AB8" s="677"/>
      <c r="AC8" s="677"/>
      <c r="AD8" s="677"/>
      <c r="AE8" s="677"/>
      <c r="AF8" s="677"/>
      <c r="AG8" s="677"/>
      <c r="AH8" s="678"/>
      <c r="AI8" s="141" t="s">
        <v>257</v>
      </c>
      <c r="AJ8" s="78"/>
      <c r="AK8" s="78"/>
      <c r="AL8" s="79"/>
      <c r="AM8" s="676"/>
      <c r="AN8" s="677"/>
      <c r="AO8" s="677"/>
      <c r="AP8" s="677"/>
      <c r="AQ8" s="677"/>
      <c r="AR8" s="677"/>
      <c r="AS8" s="677"/>
      <c r="AT8" s="678"/>
      <c r="AU8" s="141" t="s">
        <v>257</v>
      </c>
      <c r="AV8" s="78"/>
      <c r="AW8" s="78"/>
      <c r="AX8" s="79"/>
      <c r="AY8" s="676"/>
      <c r="AZ8" s="677"/>
      <c r="BA8" s="677"/>
      <c r="BB8" s="677"/>
      <c r="BC8" s="677"/>
      <c r="BD8" s="677"/>
      <c r="BE8" s="677"/>
      <c r="BF8" s="678"/>
      <c r="BG8" s="141" t="s">
        <v>257</v>
      </c>
      <c r="BH8" s="78"/>
      <c r="BI8" s="78"/>
      <c r="BJ8" s="79"/>
      <c r="BK8" s="676"/>
      <c r="BL8" s="677"/>
      <c r="BM8" s="677"/>
      <c r="BN8" s="677"/>
      <c r="BO8" s="677"/>
      <c r="BP8" s="677"/>
      <c r="BQ8" s="677"/>
      <c r="BR8" s="678"/>
      <c r="BS8" s="141" t="s">
        <v>257</v>
      </c>
      <c r="BT8" s="78"/>
      <c r="BU8" s="78"/>
      <c r="BV8" s="79"/>
      <c r="BW8" s="676"/>
      <c r="BX8" s="677"/>
      <c r="BY8" s="677"/>
      <c r="BZ8" s="677"/>
      <c r="CA8" s="677"/>
      <c r="CB8" s="677"/>
      <c r="CC8" s="677"/>
      <c r="CD8" s="678"/>
      <c r="CE8" s="141" t="s">
        <v>257</v>
      </c>
      <c r="CF8" s="78"/>
      <c r="CG8" s="78"/>
      <c r="CH8" s="79"/>
      <c r="CI8" s="676"/>
      <c r="CJ8" s="677"/>
      <c r="CK8" s="677"/>
      <c r="CL8" s="677"/>
      <c r="CM8" s="677"/>
      <c r="CN8" s="677"/>
      <c r="CO8" s="677"/>
      <c r="CP8" s="678"/>
      <c r="CQ8" s="141" t="s">
        <v>257</v>
      </c>
      <c r="CR8" s="78"/>
      <c r="CS8" s="78"/>
      <c r="CT8" s="79"/>
      <c r="CU8" s="676"/>
      <c r="CV8" s="677"/>
      <c r="CW8" s="677"/>
      <c r="CX8" s="677"/>
      <c r="CY8" s="677"/>
      <c r="CZ8" s="677"/>
      <c r="DA8" s="677"/>
      <c r="DB8" s="678"/>
      <c r="DC8" s="141" t="s">
        <v>257</v>
      </c>
      <c r="DD8" s="78"/>
      <c r="DE8" s="78"/>
      <c r="DF8" s="79"/>
      <c r="DG8" s="676"/>
      <c r="DH8" s="677"/>
      <c r="DI8" s="677"/>
      <c r="DJ8" s="677"/>
      <c r="DK8" s="677"/>
      <c r="DL8" s="677"/>
      <c r="DM8" s="677"/>
      <c r="DN8" s="678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79"/>
      <c r="D9" s="680"/>
      <c r="E9" s="680"/>
      <c r="F9" s="680"/>
      <c r="G9" s="680"/>
      <c r="H9" s="680"/>
      <c r="I9" s="680"/>
      <c r="J9" s="681"/>
      <c r="K9" s="142" t="s">
        <v>258</v>
      </c>
      <c r="L9" s="82"/>
      <c r="M9" s="82"/>
      <c r="N9" s="83"/>
      <c r="O9" s="679"/>
      <c r="P9" s="680"/>
      <c r="Q9" s="680"/>
      <c r="R9" s="680"/>
      <c r="S9" s="680"/>
      <c r="T9" s="680"/>
      <c r="U9" s="680"/>
      <c r="V9" s="681"/>
      <c r="W9" s="142" t="s">
        <v>258</v>
      </c>
      <c r="X9" s="82"/>
      <c r="Y9" s="82"/>
      <c r="Z9" s="83"/>
      <c r="AA9" s="679"/>
      <c r="AB9" s="680"/>
      <c r="AC9" s="680"/>
      <c r="AD9" s="680"/>
      <c r="AE9" s="680"/>
      <c r="AF9" s="680"/>
      <c r="AG9" s="680"/>
      <c r="AH9" s="681"/>
      <c r="AI9" s="142" t="s">
        <v>258</v>
      </c>
      <c r="AJ9" s="82"/>
      <c r="AK9" s="82"/>
      <c r="AL9" s="83"/>
      <c r="AM9" s="679"/>
      <c r="AN9" s="680"/>
      <c r="AO9" s="680"/>
      <c r="AP9" s="680"/>
      <c r="AQ9" s="680"/>
      <c r="AR9" s="680"/>
      <c r="AS9" s="680"/>
      <c r="AT9" s="681"/>
      <c r="AU9" s="142" t="s">
        <v>258</v>
      </c>
      <c r="AV9" s="82"/>
      <c r="AW9" s="82"/>
      <c r="AX9" s="83"/>
      <c r="AY9" s="679"/>
      <c r="AZ9" s="680"/>
      <c r="BA9" s="680"/>
      <c r="BB9" s="680"/>
      <c r="BC9" s="680"/>
      <c r="BD9" s="680"/>
      <c r="BE9" s="680"/>
      <c r="BF9" s="681"/>
      <c r="BG9" s="142" t="s">
        <v>258</v>
      </c>
      <c r="BH9" s="82"/>
      <c r="BI9" s="82"/>
      <c r="BJ9" s="83"/>
      <c r="BK9" s="679"/>
      <c r="BL9" s="680"/>
      <c r="BM9" s="680"/>
      <c r="BN9" s="680"/>
      <c r="BO9" s="680"/>
      <c r="BP9" s="680"/>
      <c r="BQ9" s="680"/>
      <c r="BR9" s="681"/>
      <c r="BS9" s="142" t="s">
        <v>258</v>
      </c>
      <c r="BT9" s="82"/>
      <c r="BU9" s="82"/>
      <c r="BV9" s="83"/>
      <c r="BW9" s="679"/>
      <c r="BX9" s="680"/>
      <c r="BY9" s="680"/>
      <c r="BZ9" s="680"/>
      <c r="CA9" s="680"/>
      <c r="CB9" s="680"/>
      <c r="CC9" s="680"/>
      <c r="CD9" s="681"/>
      <c r="CE9" s="142" t="s">
        <v>258</v>
      </c>
      <c r="CF9" s="82"/>
      <c r="CG9" s="82"/>
      <c r="CH9" s="83"/>
      <c r="CI9" s="679"/>
      <c r="CJ9" s="680"/>
      <c r="CK9" s="680"/>
      <c r="CL9" s="680"/>
      <c r="CM9" s="680"/>
      <c r="CN9" s="680"/>
      <c r="CO9" s="680"/>
      <c r="CP9" s="681"/>
      <c r="CQ9" s="142" t="s">
        <v>258</v>
      </c>
      <c r="CR9" s="82"/>
      <c r="CS9" s="82"/>
      <c r="CT9" s="83"/>
      <c r="CU9" s="679"/>
      <c r="CV9" s="680"/>
      <c r="CW9" s="680"/>
      <c r="CX9" s="680"/>
      <c r="CY9" s="680"/>
      <c r="CZ9" s="680"/>
      <c r="DA9" s="680"/>
      <c r="DB9" s="681"/>
      <c r="DC9" s="142" t="s">
        <v>258</v>
      </c>
      <c r="DD9" s="82"/>
      <c r="DE9" s="82"/>
      <c r="DF9" s="83"/>
      <c r="DG9" s="679"/>
      <c r="DH9" s="680"/>
      <c r="DI9" s="680"/>
      <c r="DJ9" s="680"/>
      <c r="DK9" s="680"/>
      <c r="DL9" s="680"/>
      <c r="DM9" s="680"/>
      <c r="DN9" s="681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76"/>
      <c r="D10" s="677"/>
      <c r="E10" s="677"/>
      <c r="F10" s="677"/>
      <c r="G10" s="677"/>
      <c r="H10" s="677"/>
      <c r="I10" s="677"/>
      <c r="J10" s="678"/>
      <c r="K10" s="131"/>
      <c r="L10" s="186"/>
      <c r="M10" s="143"/>
      <c r="N10" s="143"/>
      <c r="O10" s="676"/>
      <c r="P10" s="677"/>
      <c r="Q10" s="677"/>
      <c r="R10" s="677"/>
      <c r="S10" s="677"/>
      <c r="T10" s="677"/>
      <c r="U10" s="677"/>
      <c r="V10" s="678"/>
      <c r="W10" s="131"/>
      <c r="X10" s="186"/>
      <c r="Y10" s="143"/>
      <c r="Z10" s="143"/>
      <c r="AA10" s="676"/>
      <c r="AB10" s="677"/>
      <c r="AC10" s="677"/>
      <c r="AD10" s="677"/>
      <c r="AE10" s="677"/>
      <c r="AF10" s="677"/>
      <c r="AG10" s="677"/>
      <c r="AH10" s="678"/>
      <c r="AI10" s="131"/>
      <c r="AJ10" s="186"/>
      <c r="AK10" s="143"/>
      <c r="AL10" s="143"/>
      <c r="AM10" s="676"/>
      <c r="AN10" s="677"/>
      <c r="AO10" s="677"/>
      <c r="AP10" s="677"/>
      <c r="AQ10" s="677"/>
      <c r="AR10" s="677"/>
      <c r="AS10" s="677"/>
      <c r="AT10" s="678"/>
      <c r="AU10" s="131"/>
      <c r="AV10" s="186"/>
      <c r="AW10" s="143"/>
      <c r="AX10" s="143"/>
      <c r="AY10" s="676"/>
      <c r="AZ10" s="677"/>
      <c r="BA10" s="677"/>
      <c r="BB10" s="677"/>
      <c r="BC10" s="677"/>
      <c r="BD10" s="677"/>
      <c r="BE10" s="677"/>
      <c r="BF10" s="678"/>
      <c r="BG10" s="131"/>
      <c r="BH10" s="186"/>
      <c r="BI10" s="143"/>
      <c r="BJ10" s="143"/>
      <c r="BK10" s="676"/>
      <c r="BL10" s="677"/>
      <c r="BM10" s="677"/>
      <c r="BN10" s="677"/>
      <c r="BO10" s="677"/>
      <c r="BP10" s="677"/>
      <c r="BQ10" s="677"/>
      <c r="BR10" s="678"/>
      <c r="BS10" s="131"/>
      <c r="BT10" s="186"/>
      <c r="BU10" s="143"/>
      <c r="BV10" s="143"/>
      <c r="BW10" s="676"/>
      <c r="BX10" s="677"/>
      <c r="BY10" s="677"/>
      <c r="BZ10" s="677"/>
      <c r="CA10" s="677"/>
      <c r="CB10" s="677"/>
      <c r="CC10" s="677"/>
      <c r="CD10" s="678"/>
      <c r="CE10" s="131"/>
      <c r="CF10" s="186"/>
      <c r="CG10" s="143"/>
      <c r="CH10" s="143"/>
      <c r="CI10" s="676"/>
      <c r="CJ10" s="677"/>
      <c r="CK10" s="677"/>
      <c r="CL10" s="677"/>
      <c r="CM10" s="677"/>
      <c r="CN10" s="677"/>
      <c r="CO10" s="677"/>
      <c r="CP10" s="678"/>
      <c r="CQ10" s="131"/>
      <c r="CR10" s="186"/>
      <c r="CS10" s="143"/>
      <c r="CT10" s="143"/>
      <c r="CU10" s="676"/>
      <c r="CV10" s="677"/>
      <c r="CW10" s="677"/>
      <c r="CX10" s="677"/>
      <c r="CY10" s="677"/>
      <c r="CZ10" s="677"/>
      <c r="DA10" s="677"/>
      <c r="DB10" s="678"/>
      <c r="DC10" s="131"/>
      <c r="DD10" s="186"/>
      <c r="DE10" s="143"/>
      <c r="DF10" s="143"/>
      <c r="DG10" s="676"/>
      <c r="DH10" s="677"/>
      <c r="DI10" s="677"/>
      <c r="DJ10" s="677"/>
      <c r="DK10" s="677"/>
      <c r="DL10" s="677"/>
      <c r="DM10" s="677"/>
      <c r="DN10" s="678"/>
      <c r="DO10" s="131"/>
      <c r="DP10" s="186"/>
      <c r="DQ10" s="143"/>
      <c r="DR10" s="143"/>
    </row>
    <row r="11" spans="1:122">
      <c r="A11" s="131"/>
      <c r="B11" s="140" t="s">
        <v>260</v>
      </c>
      <c r="C11" s="679"/>
      <c r="D11" s="680"/>
      <c r="E11" s="680"/>
      <c r="F11" s="680"/>
      <c r="G11" s="680"/>
      <c r="H11" s="680"/>
      <c r="I11" s="680"/>
      <c r="J11" s="681"/>
      <c r="K11" s="131"/>
      <c r="L11" s="186"/>
      <c r="M11" s="143"/>
      <c r="N11" s="143"/>
      <c r="O11" s="679"/>
      <c r="P11" s="680"/>
      <c r="Q11" s="680"/>
      <c r="R11" s="680"/>
      <c r="S11" s="680"/>
      <c r="T11" s="680"/>
      <c r="U11" s="680"/>
      <c r="V11" s="681"/>
      <c r="W11" s="131"/>
      <c r="X11" s="186"/>
      <c r="Y11" s="143"/>
      <c r="Z11" s="143"/>
      <c r="AA11" s="679"/>
      <c r="AB11" s="680"/>
      <c r="AC11" s="680"/>
      <c r="AD11" s="680"/>
      <c r="AE11" s="680"/>
      <c r="AF11" s="680"/>
      <c r="AG11" s="680"/>
      <c r="AH11" s="681"/>
      <c r="AI11" s="131"/>
      <c r="AJ11" s="186"/>
      <c r="AK11" s="143"/>
      <c r="AL11" s="143"/>
      <c r="AM11" s="679"/>
      <c r="AN11" s="680"/>
      <c r="AO11" s="680"/>
      <c r="AP11" s="680"/>
      <c r="AQ11" s="680"/>
      <c r="AR11" s="680"/>
      <c r="AS11" s="680"/>
      <c r="AT11" s="681"/>
      <c r="AU11" s="131"/>
      <c r="AV11" s="186"/>
      <c r="AW11" s="143"/>
      <c r="AX11" s="143"/>
      <c r="AY11" s="679"/>
      <c r="AZ11" s="680"/>
      <c r="BA11" s="680"/>
      <c r="BB11" s="680"/>
      <c r="BC11" s="680"/>
      <c r="BD11" s="680"/>
      <c r="BE11" s="680"/>
      <c r="BF11" s="681"/>
      <c r="BG11" s="131"/>
      <c r="BH11" s="186"/>
      <c r="BI11" s="143"/>
      <c r="BJ11" s="143"/>
      <c r="BK11" s="679"/>
      <c r="BL11" s="680"/>
      <c r="BM11" s="680"/>
      <c r="BN11" s="680"/>
      <c r="BO11" s="680"/>
      <c r="BP11" s="680"/>
      <c r="BQ11" s="680"/>
      <c r="BR11" s="681"/>
      <c r="BS11" s="131"/>
      <c r="BT11" s="186"/>
      <c r="BU11" s="143"/>
      <c r="BV11" s="143"/>
      <c r="BW11" s="679"/>
      <c r="BX11" s="680"/>
      <c r="BY11" s="680"/>
      <c r="BZ11" s="680"/>
      <c r="CA11" s="680"/>
      <c r="CB11" s="680"/>
      <c r="CC11" s="680"/>
      <c r="CD11" s="681"/>
      <c r="CE11" s="131"/>
      <c r="CF11" s="186"/>
      <c r="CG11" s="143"/>
      <c r="CH11" s="143"/>
      <c r="CI11" s="679"/>
      <c r="CJ11" s="680"/>
      <c r="CK11" s="680"/>
      <c r="CL11" s="680"/>
      <c r="CM11" s="680"/>
      <c r="CN11" s="680"/>
      <c r="CO11" s="680"/>
      <c r="CP11" s="681"/>
      <c r="CQ11" s="131"/>
      <c r="CR11" s="186"/>
      <c r="CS11" s="143"/>
      <c r="CT11" s="143"/>
      <c r="CU11" s="679"/>
      <c r="CV11" s="680"/>
      <c r="CW11" s="680"/>
      <c r="CX11" s="680"/>
      <c r="CY11" s="680"/>
      <c r="CZ11" s="680"/>
      <c r="DA11" s="680"/>
      <c r="DB11" s="681"/>
      <c r="DC11" s="131"/>
      <c r="DD11" s="186"/>
      <c r="DE11" s="143"/>
      <c r="DF11" s="143"/>
      <c r="DG11" s="679"/>
      <c r="DH11" s="680"/>
      <c r="DI11" s="680"/>
      <c r="DJ11" s="680"/>
      <c r="DK11" s="680"/>
      <c r="DL11" s="680"/>
      <c r="DM11" s="680"/>
      <c r="DN11" s="681"/>
      <c r="DO11" s="131"/>
      <c r="DP11" s="186"/>
      <c r="DQ11" s="143"/>
      <c r="DR11" s="143"/>
    </row>
    <row r="12" spans="1:122">
      <c r="A12" s="131"/>
      <c r="B12" s="140" t="s">
        <v>261</v>
      </c>
      <c r="C12" s="676"/>
      <c r="D12" s="677"/>
      <c r="E12" s="677"/>
      <c r="F12" s="677"/>
      <c r="G12" s="677"/>
      <c r="H12" s="677"/>
      <c r="I12" s="677"/>
      <c r="J12" s="678"/>
      <c r="K12" s="131"/>
      <c r="L12" s="671"/>
      <c r="M12" s="671"/>
      <c r="N12" s="143"/>
      <c r="O12" s="676"/>
      <c r="P12" s="677"/>
      <c r="Q12" s="677"/>
      <c r="R12" s="677"/>
      <c r="S12" s="677"/>
      <c r="T12" s="677"/>
      <c r="U12" s="677"/>
      <c r="V12" s="678"/>
      <c r="W12" s="131"/>
      <c r="X12" s="671"/>
      <c r="Y12" s="671"/>
      <c r="Z12" s="143"/>
      <c r="AA12" s="676"/>
      <c r="AB12" s="677"/>
      <c r="AC12" s="677"/>
      <c r="AD12" s="677"/>
      <c r="AE12" s="677"/>
      <c r="AF12" s="677"/>
      <c r="AG12" s="677"/>
      <c r="AH12" s="678"/>
      <c r="AI12" s="131"/>
      <c r="AJ12" s="671"/>
      <c r="AK12" s="671"/>
      <c r="AL12" s="143"/>
      <c r="AM12" s="676"/>
      <c r="AN12" s="677"/>
      <c r="AO12" s="677"/>
      <c r="AP12" s="677"/>
      <c r="AQ12" s="677"/>
      <c r="AR12" s="677"/>
      <c r="AS12" s="677"/>
      <c r="AT12" s="678"/>
      <c r="AU12" s="131"/>
      <c r="AV12" s="671"/>
      <c r="AW12" s="671"/>
      <c r="AX12" s="143"/>
      <c r="AY12" s="676"/>
      <c r="AZ12" s="677"/>
      <c r="BA12" s="677"/>
      <c r="BB12" s="677"/>
      <c r="BC12" s="677"/>
      <c r="BD12" s="677"/>
      <c r="BE12" s="677"/>
      <c r="BF12" s="678"/>
      <c r="BG12" s="131"/>
      <c r="BH12" s="671"/>
      <c r="BI12" s="671"/>
      <c r="BJ12" s="143"/>
      <c r="BK12" s="676"/>
      <c r="BL12" s="677"/>
      <c r="BM12" s="677"/>
      <c r="BN12" s="677"/>
      <c r="BO12" s="677"/>
      <c r="BP12" s="677"/>
      <c r="BQ12" s="677"/>
      <c r="BR12" s="678"/>
      <c r="BS12" s="131"/>
      <c r="BT12" s="671"/>
      <c r="BU12" s="671"/>
      <c r="BV12" s="143"/>
      <c r="BW12" s="676"/>
      <c r="BX12" s="677"/>
      <c r="BY12" s="677"/>
      <c r="BZ12" s="677"/>
      <c r="CA12" s="677"/>
      <c r="CB12" s="677"/>
      <c r="CC12" s="677"/>
      <c r="CD12" s="678"/>
      <c r="CE12" s="131"/>
      <c r="CF12" s="671"/>
      <c r="CG12" s="671"/>
      <c r="CH12" s="143"/>
      <c r="CI12" s="676"/>
      <c r="CJ12" s="677"/>
      <c r="CK12" s="677"/>
      <c r="CL12" s="677"/>
      <c r="CM12" s="677"/>
      <c r="CN12" s="677"/>
      <c r="CO12" s="677"/>
      <c r="CP12" s="678"/>
      <c r="CQ12" s="131"/>
      <c r="CR12" s="671"/>
      <c r="CS12" s="671"/>
      <c r="CT12" s="143"/>
      <c r="CU12" s="676"/>
      <c r="CV12" s="677"/>
      <c r="CW12" s="677"/>
      <c r="CX12" s="677"/>
      <c r="CY12" s="677"/>
      <c r="CZ12" s="677"/>
      <c r="DA12" s="677"/>
      <c r="DB12" s="678"/>
      <c r="DC12" s="131"/>
      <c r="DD12" s="671"/>
      <c r="DE12" s="671"/>
      <c r="DF12" s="143"/>
      <c r="DG12" s="676"/>
      <c r="DH12" s="677"/>
      <c r="DI12" s="677"/>
      <c r="DJ12" s="677"/>
      <c r="DK12" s="677"/>
      <c r="DL12" s="677"/>
      <c r="DM12" s="677"/>
      <c r="DN12" s="678"/>
      <c r="DO12" s="131"/>
      <c r="DP12" s="671"/>
      <c r="DQ12" s="671"/>
      <c r="DR12" s="143"/>
    </row>
    <row r="13" spans="1:122" ht="15.75" thickBot="1">
      <c r="A13" s="131"/>
      <c r="B13" s="190"/>
      <c r="C13" s="672"/>
      <c r="D13" s="672"/>
      <c r="E13" s="672"/>
      <c r="F13" s="672"/>
      <c r="G13" s="672"/>
      <c r="H13" s="672"/>
      <c r="I13" s="672"/>
      <c r="J13" s="672"/>
      <c r="K13" s="131"/>
      <c r="L13" s="671"/>
      <c r="M13" s="671"/>
      <c r="N13" s="144"/>
      <c r="O13" s="672"/>
      <c r="P13" s="672"/>
      <c r="Q13" s="672"/>
      <c r="R13" s="672"/>
      <c r="S13" s="672"/>
      <c r="T13" s="672"/>
      <c r="U13" s="672"/>
      <c r="V13" s="672"/>
      <c r="W13" s="131"/>
      <c r="X13" s="671"/>
      <c r="Y13" s="671"/>
      <c r="Z13" s="144"/>
      <c r="AA13" s="672"/>
      <c r="AB13" s="672"/>
      <c r="AC13" s="672"/>
      <c r="AD13" s="672"/>
      <c r="AE13" s="672"/>
      <c r="AF13" s="672"/>
      <c r="AG13" s="672"/>
      <c r="AH13" s="672"/>
      <c r="AI13" s="131"/>
      <c r="AJ13" s="671"/>
      <c r="AK13" s="671"/>
      <c r="AL13" s="144"/>
      <c r="AM13" s="672"/>
      <c r="AN13" s="672"/>
      <c r="AO13" s="672"/>
      <c r="AP13" s="672"/>
      <c r="AQ13" s="672"/>
      <c r="AR13" s="672"/>
      <c r="AS13" s="672"/>
      <c r="AT13" s="672"/>
      <c r="AU13" s="131"/>
      <c r="AV13" s="671"/>
      <c r="AW13" s="671"/>
      <c r="AX13" s="144"/>
      <c r="AY13" s="672"/>
      <c r="AZ13" s="672"/>
      <c r="BA13" s="672"/>
      <c r="BB13" s="672"/>
      <c r="BC13" s="672"/>
      <c r="BD13" s="672"/>
      <c r="BE13" s="672"/>
      <c r="BF13" s="672"/>
      <c r="BG13" s="131"/>
      <c r="BH13" s="671"/>
      <c r="BI13" s="671"/>
      <c r="BJ13" s="144"/>
      <c r="BK13" s="672"/>
      <c r="BL13" s="672"/>
      <c r="BM13" s="672"/>
      <c r="BN13" s="672"/>
      <c r="BO13" s="672"/>
      <c r="BP13" s="672"/>
      <c r="BQ13" s="672"/>
      <c r="BR13" s="672"/>
      <c r="BS13" s="131"/>
      <c r="BT13" s="671"/>
      <c r="BU13" s="671"/>
      <c r="BV13" s="144"/>
      <c r="BW13" s="672"/>
      <c r="BX13" s="672"/>
      <c r="BY13" s="672"/>
      <c r="BZ13" s="672"/>
      <c r="CA13" s="672"/>
      <c r="CB13" s="672"/>
      <c r="CC13" s="672"/>
      <c r="CD13" s="672"/>
      <c r="CE13" s="131"/>
      <c r="CF13" s="671"/>
      <c r="CG13" s="671"/>
      <c r="CH13" s="144"/>
      <c r="CI13" s="672"/>
      <c r="CJ13" s="672"/>
      <c r="CK13" s="672"/>
      <c r="CL13" s="672"/>
      <c r="CM13" s="672"/>
      <c r="CN13" s="672"/>
      <c r="CO13" s="672"/>
      <c r="CP13" s="672"/>
      <c r="CQ13" s="131"/>
      <c r="CR13" s="671"/>
      <c r="CS13" s="671"/>
      <c r="CT13" s="144"/>
      <c r="CU13" s="672"/>
      <c r="CV13" s="672"/>
      <c r="CW13" s="672"/>
      <c r="CX13" s="672"/>
      <c r="CY13" s="672"/>
      <c r="CZ13" s="672"/>
      <c r="DA13" s="672"/>
      <c r="DB13" s="672"/>
      <c r="DC13" s="131"/>
      <c r="DD13" s="671"/>
      <c r="DE13" s="671"/>
      <c r="DF13" s="144"/>
      <c r="DG13" s="672"/>
      <c r="DH13" s="672"/>
      <c r="DI13" s="672"/>
      <c r="DJ13" s="672"/>
      <c r="DK13" s="672"/>
      <c r="DL13" s="672"/>
      <c r="DM13" s="672"/>
      <c r="DN13" s="672"/>
      <c r="DO13" s="131"/>
      <c r="DP13" s="671"/>
      <c r="DQ13" s="671"/>
      <c r="DR13" s="144"/>
    </row>
    <row r="14" spans="1:122" ht="15.75" thickBot="1">
      <c r="A14" s="131"/>
      <c r="B14" s="131"/>
      <c r="C14" s="682">
        <f>IF('Input Nilai Ketrampilan'!F2="","",'Input Nilai Ketrampilan'!F2)</f>
        <v>41</v>
      </c>
      <c r="D14" s="683"/>
      <c r="E14" s="683"/>
      <c r="F14" s="683"/>
      <c r="G14" s="683"/>
      <c r="H14" s="683"/>
      <c r="I14" s="683"/>
      <c r="J14" s="683"/>
      <c r="K14" s="683"/>
      <c r="L14" s="683"/>
      <c r="M14" s="683"/>
      <c r="N14" s="684"/>
      <c r="O14" s="682">
        <f>IF('Input Nilai Ketrampilan'!K2="","",'Input Nilai Ketrampilan'!K2)</f>
        <v>42</v>
      </c>
      <c r="P14" s="683"/>
      <c r="Q14" s="683"/>
      <c r="R14" s="683"/>
      <c r="S14" s="683"/>
      <c r="T14" s="683"/>
      <c r="U14" s="683"/>
      <c r="V14" s="683"/>
      <c r="W14" s="683"/>
      <c r="X14" s="683"/>
      <c r="Y14" s="683"/>
      <c r="Z14" s="684"/>
      <c r="AA14" s="682">
        <f>IF('Input Nilai Ketrampilan'!P2="","",'Input Nilai Ketrampilan'!P2)</f>
        <v>43</v>
      </c>
      <c r="AB14" s="683"/>
      <c r="AC14" s="683"/>
      <c r="AD14" s="683"/>
      <c r="AE14" s="683"/>
      <c r="AF14" s="683"/>
      <c r="AG14" s="683"/>
      <c r="AH14" s="683"/>
      <c r="AI14" s="683"/>
      <c r="AJ14" s="683"/>
      <c r="AK14" s="683"/>
      <c r="AL14" s="684"/>
      <c r="AM14" s="682">
        <f>IF('Input Nilai Ketrampilan'!U2="","",'Input Nilai Ketrampilan'!U2)</f>
        <v>44</v>
      </c>
      <c r="AN14" s="683"/>
      <c r="AO14" s="683"/>
      <c r="AP14" s="683"/>
      <c r="AQ14" s="683"/>
      <c r="AR14" s="683"/>
      <c r="AS14" s="683"/>
      <c r="AT14" s="683"/>
      <c r="AU14" s="683"/>
      <c r="AV14" s="683"/>
      <c r="AW14" s="683"/>
      <c r="AX14" s="684"/>
      <c r="AY14" s="682">
        <f>IF('Input Nilai Ketrampilan'!Z2="","",'Input Nilai Ketrampilan'!Z2)</f>
        <v>45</v>
      </c>
      <c r="AZ14" s="683"/>
      <c r="BA14" s="683"/>
      <c r="BB14" s="683"/>
      <c r="BC14" s="683"/>
      <c r="BD14" s="683"/>
      <c r="BE14" s="683"/>
      <c r="BF14" s="683"/>
      <c r="BG14" s="683"/>
      <c r="BH14" s="683"/>
      <c r="BI14" s="683"/>
      <c r="BJ14" s="684"/>
      <c r="BK14" s="682">
        <f>IF('Input Nilai Ketrampilan'!AE2="","",'Input Nilai Ketrampilan'!AE2)</f>
        <v>46</v>
      </c>
      <c r="BL14" s="683"/>
      <c r="BM14" s="683"/>
      <c r="BN14" s="683"/>
      <c r="BO14" s="683"/>
      <c r="BP14" s="683"/>
      <c r="BQ14" s="683"/>
      <c r="BR14" s="683"/>
      <c r="BS14" s="683"/>
      <c r="BT14" s="683"/>
      <c r="BU14" s="683"/>
      <c r="BV14" s="684"/>
      <c r="BW14" s="682">
        <f>IF('Input Nilai Ketrampilan'!AJ2="","",'Input Nilai Ketrampilan'!AJ2)</f>
        <v>47</v>
      </c>
      <c r="BX14" s="683"/>
      <c r="BY14" s="683"/>
      <c r="BZ14" s="683"/>
      <c r="CA14" s="683"/>
      <c r="CB14" s="683"/>
      <c r="CC14" s="683"/>
      <c r="CD14" s="683"/>
      <c r="CE14" s="683"/>
      <c r="CF14" s="683"/>
      <c r="CG14" s="683"/>
      <c r="CH14" s="684"/>
      <c r="CI14" s="682">
        <f>IF('Input Nilai Ketrampilan'!AO2="","",'Input Nilai Ketrampilan'!AO2)</f>
        <v>48</v>
      </c>
      <c r="CJ14" s="683"/>
      <c r="CK14" s="683"/>
      <c r="CL14" s="683"/>
      <c r="CM14" s="683"/>
      <c r="CN14" s="683"/>
      <c r="CO14" s="683"/>
      <c r="CP14" s="683"/>
      <c r="CQ14" s="683"/>
      <c r="CR14" s="683"/>
      <c r="CS14" s="683"/>
      <c r="CT14" s="684"/>
      <c r="CU14" s="682">
        <f>IF('Input Nilai Ketrampilan'!AT2="","",'Input Nilai Ketrampilan'!AT2)</f>
        <v>49</v>
      </c>
      <c r="CV14" s="683"/>
      <c r="CW14" s="683"/>
      <c r="CX14" s="683"/>
      <c r="CY14" s="683"/>
      <c r="CZ14" s="683"/>
      <c r="DA14" s="683"/>
      <c r="DB14" s="683"/>
      <c r="DC14" s="683"/>
      <c r="DD14" s="683"/>
      <c r="DE14" s="683"/>
      <c r="DF14" s="684"/>
      <c r="DG14" s="682" t="e">
        <f>IF('Input Nilai Ketrampilan'!#REF!="","",'Input Nilai Ketrampilan'!#REF!)</f>
        <v>#REF!</v>
      </c>
      <c r="DH14" s="683"/>
      <c r="DI14" s="683"/>
      <c r="DJ14" s="683"/>
      <c r="DK14" s="683"/>
      <c r="DL14" s="683"/>
      <c r="DM14" s="683"/>
      <c r="DN14" s="683"/>
      <c r="DO14" s="683"/>
      <c r="DP14" s="683"/>
      <c r="DQ14" s="683"/>
      <c r="DR14" s="684"/>
    </row>
    <row r="15" spans="1:122">
      <c r="A15" s="519" t="s">
        <v>262</v>
      </c>
      <c r="B15" s="145" t="s">
        <v>263</v>
      </c>
      <c r="C15" s="685" t="s">
        <v>264</v>
      </c>
      <c r="D15" s="687" t="s">
        <v>265</v>
      </c>
      <c r="E15" s="685" t="s">
        <v>266</v>
      </c>
      <c r="F15" s="685" t="s">
        <v>267</v>
      </c>
      <c r="G15" s="685" t="s">
        <v>268</v>
      </c>
      <c r="H15" s="685" t="s">
        <v>269</v>
      </c>
      <c r="I15" s="687" t="s">
        <v>270</v>
      </c>
      <c r="J15" s="689" t="s">
        <v>271</v>
      </c>
      <c r="K15" s="691" t="s">
        <v>272</v>
      </c>
      <c r="L15" s="691" t="s">
        <v>273</v>
      </c>
      <c r="M15" s="694" t="s">
        <v>274</v>
      </c>
      <c r="N15" s="694" t="s">
        <v>104</v>
      </c>
      <c r="O15" s="685" t="s">
        <v>264</v>
      </c>
      <c r="P15" s="687" t="s">
        <v>265</v>
      </c>
      <c r="Q15" s="685" t="s">
        <v>266</v>
      </c>
      <c r="R15" s="685" t="s">
        <v>267</v>
      </c>
      <c r="S15" s="685" t="s">
        <v>268</v>
      </c>
      <c r="T15" s="685" t="s">
        <v>269</v>
      </c>
      <c r="U15" s="687" t="s">
        <v>270</v>
      </c>
      <c r="V15" s="689" t="s">
        <v>271</v>
      </c>
      <c r="W15" s="691" t="s">
        <v>272</v>
      </c>
      <c r="X15" s="691" t="s">
        <v>273</v>
      </c>
      <c r="Y15" s="694" t="s">
        <v>274</v>
      </c>
      <c r="Z15" s="694" t="s">
        <v>104</v>
      </c>
      <c r="AA15" s="685" t="s">
        <v>264</v>
      </c>
      <c r="AB15" s="687" t="s">
        <v>265</v>
      </c>
      <c r="AC15" s="685" t="s">
        <v>266</v>
      </c>
      <c r="AD15" s="685" t="s">
        <v>267</v>
      </c>
      <c r="AE15" s="685" t="s">
        <v>268</v>
      </c>
      <c r="AF15" s="685" t="s">
        <v>269</v>
      </c>
      <c r="AG15" s="687" t="s">
        <v>270</v>
      </c>
      <c r="AH15" s="689" t="s">
        <v>271</v>
      </c>
      <c r="AI15" s="691" t="s">
        <v>272</v>
      </c>
      <c r="AJ15" s="691" t="s">
        <v>273</v>
      </c>
      <c r="AK15" s="694" t="s">
        <v>274</v>
      </c>
      <c r="AL15" s="694" t="s">
        <v>104</v>
      </c>
      <c r="AM15" s="685" t="s">
        <v>264</v>
      </c>
      <c r="AN15" s="687" t="s">
        <v>265</v>
      </c>
      <c r="AO15" s="685" t="s">
        <v>266</v>
      </c>
      <c r="AP15" s="685" t="s">
        <v>267</v>
      </c>
      <c r="AQ15" s="685" t="s">
        <v>268</v>
      </c>
      <c r="AR15" s="685" t="s">
        <v>269</v>
      </c>
      <c r="AS15" s="687" t="s">
        <v>270</v>
      </c>
      <c r="AT15" s="689" t="s">
        <v>271</v>
      </c>
      <c r="AU15" s="691" t="s">
        <v>272</v>
      </c>
      <c r="AV15" s="691" t="s">
        <v>273</v>
      </c>
      <c r="AW15" s="694" t="s">
        <v>274</v>
      </c>
      <c r="AX15" s="694" t="s">
        <v>104</v>
      </c>
      <c r="AY15" s="685" t="s">
        <v>264</v>
      </c>
      <c r="AZ15" s="687" t="s">
        <v>265</v>
      </c>
      <c r="BA15" s="685" t="s">
        <v>266</v>
      </c>
      <c r="BB15" s="685" t="s">
        <v>267</v>
      </c>
      <c r="BC15" s="685" t="s">
        <v>268</v>
      </c>
      <c r="BD15" s="685" t="s">
        <v>269</v>
      </c>
      <c r="BE15" s="687" t="s">
        <v>270</v>
      </c>
      <c r="BF15" s="689" t="s">
        <v>271</v>
      </c>
      <c r="BG15" s="691" t="s">
        <v>272</v>
      </c>
      <c r="BH15" s="691" t="s">
        <v>273</v>
      </c>
      <c r="BI15" s="694" t="s">
        <v>274</v>
      </c>
      <c r="BJ15" s="694" t="s">
        <v>104</v>
      </c>
      <c r="BK15" s="685" t="s">
        <v>264</v>
      </c>
      <c r="BL15" s="687" t="s">
        <v>265</v>
      </c>
      <c r="BM15" s="685" t="s">
        <v>266</v>
      </c>
      <c r="BN15" s="685" t="s">
        <v>267</v>
      </c>
      <c r="BO15" s="685" t="s">
        <v>268</v>
      </c>
      <c r="BP15" s="685" t="s">
        <v>269</v>
      </c>
      <c r="BQ15" s="687" t="s">
        <v>270</v>
      </c>
      <c r="BR15" s="689" t="s">
        <v>271</v>
      </c>
      <c r="BS15" s="691" t="s">
        <v>272</v>
      </c>
      <c r="BT15" s="691" t="s">
        <v>273</v>
      </c>
      <c r="BU15" s="694" t="s">
        <v>274</v>
      </c>
      <c r="BV15" s="694" t="s">
        <v>104</v>
      </c>
      <c r="BW15" s="685" t="s">
        <v>264</v>
      </c>
      <c r="BX15" s="687" t="s">
        <v>265</v>
      </c>
      <c r="BY15" s="685" t="s">
        <v>266</v>
      </c>
      <c r="BZ15" s="685" t="s">
        <v>267</v>
      </c>
      <c r="CA15" s="685" t="s">
        <v>268</v>
      </c>
      <c r="CB15" s="685" t="s">
        <v>269</v>
      </c>
      <c r="CC15" s="687" t="s">
        <v>270</v>
      </c>
      <c r="CD15" s="689" t="s">
        <v>271</v>
      </c>
      <c r="CE15" s="691" t="s">
        <v>272</v>
      </c>
      <c r="CF15" s="691" t="s">
        <v>273</v>
      </c>
      <c r="CG15" s="694" t="s">
        <v>274</v>
      </c>
      <c r="CH15" s="694" t="s">
        <v>104</v>
      </c>
      <c r="CI15" s="685" t="s">
        <v>264</v>
      </c>
      <c r="CJ15" s="687" t="s">
        <v>265</v>
      </c>
      <c r="CK15" s="685" t="s">
        <v>266</v>
      </c>
      <c r="CL15" s="685" t="s">
        <v>267</v>
      </c>
      <c r="CM15" s="685" t="s">
        <v>268</v>
      </c>
      <c r="CN15" s="685" t="s">
        <v>269</v>
      </c>
      <c r="CO15" s="687" t="s">
        <v>270</v>
      </c>
      <c r="CP15" s="689" t="s">
        <v>271</v>
      </c>
      <c r="CQ15" s="691" t="s">
        <v>272</v>
      </c>
      <c r="CR15" s="691" t="s">
        <v>273</v>
      </c>
      <c r="CS15" s="694" t="s">
        <v>274</v>
      </c>
      <c r="CT15" s="694" t="s">
        <v>104</v>
      </c>
      <c r="CU15" s="685" t="s">
        <v>264</v>
      </c>
      <c r="CV15" s="687" t="s">
        <v>265</v>
      </c>
      <c r="CW15" s="685" t="s">
        <v>266</v>
      </c>
      <c r="CX15" s="685" t="s">
        <v>267</v>
      </c>
      <c r="CY15" s="685" t="s">
        <v>268</v>
      </c>
      <c r="CZ15" s="685" t="s">
        <v>269</v>
      </c>
      <c r="DA15" s="687" t="s">
        <v>270</v>
      </c>
      <c r="DB15" s="689" t="s">
        <v>271</v>
      </c>
      <c r="DC15" s="691" t="s">
        <v>272</v>
      </c>
      <c r="DD15" s="691" t="s">
        <v>273</v>
      </c>
      <c r="DE15" s="694" t="s">
        <v>274</v>
      </c>
      <c r="DF15" s="694" t="s">
        <v>104</v>
      </c>
      <c r="DG15" s="685" t="s">
        <v>264</v>
      </c>
      <c r="DH15" s="687" t="s">
        <v>265</v>
      </c>
      <c r="DI15" s="685" t="s">
        <v>266</v>
      </c>
      <c r="DJ15" s="685" t="s">
        <v>267</v>
      </c>
      <c r="DK15" s="685" t="s">
        <v>268</v>
      </c>
      <c r="DL15" s="685" t="s">
        <v>269</v>
      </c>
      <c r="DM15" s="687" t="s">
        <v>270</v>
      </c>
      <c r="DN15" s="689" t="s">
        <v>271</v>
      </c>
      <c r="DO15" s="691" t="s">
        <v>272</v>
      </c>
      <c r="DP15" s="691" t="s">
        <v>273</v>
      </c>
      <c r="DQ15" s="694" t="s">
        <v>274</v>
      </c>
      <c r="DR15" s="694" t="s">
        <v>104</v>
      </c>
    </row>
    <row r="16" spans="1:122" ht="24.75" customHeight="1">
      <c r="A16" s="696"/>
      <c r="C16" s="686"/>
      <c r="D16" s="685"/>
      <c r="E16" s="688"/>
      <c r="F16" s="686"/>
      <c r="G16" s="686"/>
      <c r="H16" s="686"/>
      <c r="I16" s="685"/>
      <c r="J16" s="690"/>
      <c r="K16" s="692"/>
      <c r="L16" s="693"/>
      <c r="M16" s="695"/>
      <c r="N16" s="695"/>
      <c r="O16" s="686"/>
      <c r="P16" s="685"/>
      <c r="Q16" s="688"/>
      <c r="R16" s="686"/>
      <c r="S16" s="686"/>
      <c r="T16" s="686"/>
      <c r="U16" s="685"/>
      <c r="V16" s="690"/>
      <c r="W16" s="692"/>
      <c r="X16" s="693"/>
      <c r="Y16" s="695"/>
      <c r="Z16" s="695"/>
      <c r="AA16" s="686"/>
      <c r="AB16" s="685"/>
      <c r="AC16" s="688"/>
      <c r="AD16" s="686"/>
      <c r="AE16" s="686"/>
      <c r="AF16" s="686"/>
      <c r="AG16" s="685"/>
      <c r="AH16" s="690"/>
      <c r="AI16" s="692"/>
      <c r="AJ16" s="693"/>
      <c r="AK16" s="695"/>
      <c r="AL16" s="695"/>
      <c r="AM16" s="686"/>
      <c r="AN16" s="685"/>
      <c r="AO16" s="688"/>
      <c r="AP16" s="686"/>
      <c r="AQ16" s="686"/>
      <c r="AR16" s="686"/>
      <c r="AS16" s="685"/>
      <c r="AT16" s="690"/>
      <c r="AU16" s="692"/>
      <c r="AV16" s="693"/>
      <c r="AW16" s="695"/>
      <c r="AX16" s="695"/>
      <c r="AY16" s="686"/>
      <c r="AZ16" s="685"/>
      <c r="BA16" s="688"/>
      <c r="BB16" s="686"/>
      <c r="BC16" s="686"/>
      <c r="BD16" s="686"/>
      <c r="BE16" s="685"/>
      <c r="BF16" s="690"/>
      <c r="BG16" s="692"/>
      <c r="BH16" s="693"/>
      <c r="BI16" s="695"/>
      <c r="BJ16" s="695"/>
      <c r="BK16" s="686"/>
      <c r="BL16" s="685"/>
      <c r="BM16" s="688"/>
      <c r="BN16" s="686"/>
      <c r="BO16" s="686"/>
      <c r="BP16" s="686"/>
      <c r="BQ16" s="685"/>
      <c r="BR16" s="690"/>
      <c r="BS16" s="692"/>
      <c r="BT16" s="693"/>
      <c r="BU16" s="695"/>
      <c r="BV16" s="695"/>
      <c r="BW16" s="686"/>
      <c r="BX16" s="685"/>
      <c r="BY16" s="688"/>
      <c r="BZ16" s="686"/>
      <c r="CA16" s="686"/>
      <c r="CB16" s="686"/>
      <c r="CC16" s="685"/>
      <c r="CD16" s="690"/>
      <c r="CE16" s="692"/>
      <c r="CF16" s="693"/>
      <c r="CG16" s="695"/>
      <c r="CH16" s="695"/>
      <c r="CI16" s="686"/>
      <c r="CJ16" s="685"/>
      <c r="CK16" s="688"/>
      <c r="CL16" s="686"/>
      <c r="CM16" s="686"/>
      <c r="CN16" s="686"/>
      <c r="CO16" s="685"/>
      <c r="CP16" s="690"/>
      <c r="CQ16" s="692"/>
      <c r="CR16" s="693"/>
      <c r="CS16" s="695"/>
      <c r="CT16" s="695"/>
      <c r="CU16" s="686"/>
      <c r="CV16" s="685"/>
      <c r="CW16" s="688"/>
      <c r="CX16" s="686"/>
      <c r="CY16" s="686"/>
      <c r="CZ16" s="686"/>
      <c r="DA16" s="685"/>
      <c r="DB16" s="690"/>
      <c r="DC16" s="692"/>
      <c r="DD16" s="693"/>
      <c r="DE16" s="695"/>
      <c r="DF16" s="695"/>
      <c r="DG16" s="686"/>
      <c r="DH16" s="685"/>
      <c r="DI16" s="688"/>
      <c r="DJ16" s="686"/>
      <c r="DK16" s="686"/>
      <c r="DL16" s="686"/>
      <c r="DM16" s="685"/>
      <c r="DN16" s="690"/>
      <c r="DO16" s="692"/>
      <c r="DP16" s="693"/>
      <c r="DQ16" s="695"/>
      <c r="DR16" s="695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C1:F1"/>
    <mergeCell ref="G1:H1"/>
    <mergeCell ref="I1:J1"/>
    <mergeCell ref="K1:L1"/>
    <mergeCell ref="C2:D2"/>
    <mergeCell ref="F2:H2"/>
    <mergeCell ref="I2:J2"/>
    <mergeCell ref="K2:L2"/>
    <mergeCell ref="M2:N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07" t="s">
        <v>426</v>
      </c>
      <c r="C1" s="708"/>
      <c r="D1" s="708"/>
      <c r="E1" s="708"/>
      <c r="F1" s="708"/>
      <c r="G1" s="708"/>
      <c r="H1" s="708"/>
      <c r="I1" s="708"/>
      <c r="J1" s="708"/>
      <c r="K1" s="708"/>
      <c r="L1" s="709"/>
      <c r="M1" s="42"/>
    </row>
    <row r="2" spans="1:13" ht="15.75" thickBot="1">
      <c r="A2" s="41"/>
      <c r="B2" s="710"/>
      <c r="C2" s="711"/>
      <c r="D2" s="711"/>
      <c r="E2" s="711"/>
      <c r="F2" s="711"/>
      <c r="G2" s="711"/>
      <c r="H2" s="711"/>
      <c r="I2" s="711"/>
      <c r="J2" s="711"/>
      <c r="K2" s="711"/>
      <c r="L2" s="712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98" t="str">
        <f>menu!D13</f>
        <v>SKI</v>
      </c>
      <c r="D4" s="698"/>
      <c r="E4" s="698"/>
      <c r="F4" s="698"/>
      <c r="G4" s="706" t="s">
        <v>246</v>
      </c>
      <c r="H4" s="706"/>
      <c r="I4" s="700"/>
      <c r="J4" s="700"/>
      <c r="L4" s="267" t="s">
        <v>247</v>
      </c>
      <c r="M4" s="266"/>
    </row>
    <row r="5" spans="1:13" ht="16.5">
      <c r="A5" s="41"/>
      <c r="B5" s="45" t="s">
        <v>248</v>
      </c>
      <c r="C5" s="703" t="str">
        <f>menu!D14</f>
        <v>7a</v>
      </c>
      <c r="D5" s="698"/>
      <c r="E5" s="47"/>
      <c r="F5" s="706" t="s">
        <v>249</v>
      </c>
      <c r="G5" s="706"/>
      <c r="H5" s="706"/>
      <c r="I5" s="704"/>
      <c r="J5" s="704"/>
      <c r="K5" s="230"/>
      <c r="L5" s="46">
        <f>menu!D19</f>
        <v>0</v>
      </c>
      <c r="M5" s="42"/>
    </row>
    <row r="6" spans="1:13">
      <c r="A6" s="41"/>
      <c r="B6" s="48" t="s">
        <v>251</v>
      </c>
      <c r="C6" s="697" t="s">
        <v>427</v>
      </c>
      <c r="D6" s="697"/>
      <c r="E6" s="697"/>
      <c r="F6" s="697"/>
      <c r="G6" s="697"/>
      <c r="H6" s="697"/>
      <c r="I6" s="697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15" t="s">
        <v>253</v>
      </c>
      <c r="D8" s="715"/>
      <c r="E8" s="715"/>
      <c r="F8" s="715"/>
      <c r="G8" s="715"/>
      <c r="H8" s="715"/>
      <c r="I8" s="715"/>
      <c r="J8" s="715"/>
      <c r="K8" s="289" t="s">
        <v>254</v>
      </c>
      <c r="L8" s="77"/>
    </row>
    <row r="9" spans="1:13">
      <c r="A9" s="41"/>
      <c r="B9" s="52" t="s">
        <v>255</v>
      </c>
      <c r="C9" s="713"/>
      <c r="D9" s="713"/>
      <c r="E9" s="713"/>
      <c r="F9" s="713"/>
      <c r="G9" s="713"/>
      <c r="H9" s="713"/>
      <c r="I9" s="713"/>
      <c r="J9" s="713"/>
      <c r="K9" s="290" t="s">
        <v>255</v>
      </c>
      <c r="L9" s="79"/>
    </row>
    <row r="10" spans="1:13">
      <c r="A10" s="41"/>
      <c r="B10" s="52" t="s">
        <v>256</v>
      </c>
      <c r="C10" s="714"/>
      <c r="D10" s="714"/>
      <c r="E10" s="714"/>
      <c r="F10" s="714"/>
      <c r="G10" s="714"/>
      <c r="H10" s="714"/>
      <c r="I10" s="714"/>
      <c r="J10" s="714"/>
      <c r="K10" s="290" t="s">
        <v>256</v>
      </c>
      <c r="L10" s="81"/>
    </row>
    <row r="11" spans="1:13">
      <c r="A11" s="41"/>
      <c r="B11" s="52" t="s">
        <v>257</v>
      </c>
      <c r="C11" s="713"/>
      <c r="D11" s="713"/>
      <c r="E11" s="713"/>
      <c r="F11" s="713"/>
      <c r="G11" s="713"/>
      <c r="H11" s="713"/>
      <c r="I11" s="713"/>
      <c r="J11" s="713"/>
      <c r="K11" s="290" t="s">
        <v>257</v>
      </c>
      <c r="L11" s="79"/>
    </row>
    <row r="12" spans="1:13">
      <c r="A12" s="41"/>
      <c r="B12" s="52" t="s">
        <v>258</v>
      </c>
      <c r="C12" s="714"/>
      <c r="D12" s="714"/>
      <c r="E12" s="714"/>
      <c r="F12" s="714"/>
      <c r="G12" s="714"/>
      <c r="H12" s="714"/>
      <c r="I12" s="714"/>
      <c r="J12" s="714"/>
      <c r="K12" s="291" t="s">
        <v>258</v>
      </c>
      <c r="L12" s="83"/>
    </row>
    <row r="13" spans="1:13">
      <c r="A13" s="41"/>
      <c r="B13" s="52" t="s">
        <v>259</v>
      </c>
      <c r="C13" s="713"/>
      <c r="D13" s="713"/>
      <c r="E13" s="713"/>
      <c r="F13" s="713"/>
      <c r="G13" s="713"/>
      <c r="H13" s="713"/>
      <c r="I13" s="713"/>
      <c r="J13" s="713"/>
      <c r="K13" s="290" t="s">
        <v>259</v>
      </c>
      <c r="L13" s="79"/>
      <c r="M13" s="53"/>
    </row>
    <row r="14" spans="1:13">
      <c r="A14" s="41"/>
      <c r="B14" s="52" t="s">
        <v>260</v>
      </c>
      <c r="C14" s="714"/>
      <c r="D14" s="714"/>
      <c r="E14" s="714"/>
      <c r="F14" s="714"/>
      <c r="G14" s="714"/>
      <c r="H14" s="714"/>
      <c r="I14" s="714"/>
      <c r="J14" s="714"/>
      <c r="K14" s="290" t="s">
        <v>260</v>
      </c>
      <c r="L14" s="81"/>
      <c r="M14" s="53"/>
    </row>
    <row r="15" spans="1:13">
      <c r="A15" s="41"/>
      <c r="B15" s="52" t="s">
        <v>261</v>
      </c>
      <c r="C15" s="713"/>
      <c r="D15" s="713"/>
      <c r="E15" s="713"/>
      <c r="F15" s="713"/>
      <c r="G15" s="713"/>
      <c r="H15" s="713"/>
      <c r="I15" s="713"/>
      <c r="J15" s="713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20" t="s">
        <v>264</v>
      </c>
      <c r="D18" s="721" t="s">
        <v>265</v>
      </c>
      <c r="E18" s="720" t="s">
        <v>266</v>
      </c>
      <c r="F18" s="720" t="s">
        <v>267</v>
      </c>
      <c r="G18" s="720" t="s">
        <v>268</v>
      </c>
      <c r="H18" s="720" t="s">
        <v>269</v>
      </c>
      <c r="I18" s="721" t="s">
        <v>270</v>
      </c>
      <c r="J18" s="726" t="s">
        <v>271</v>
      </c>
      <c r="K18" s="728" t="s">
        <v>272</v>
      </c>
      <c r="L18" s="724" t="s">
        <v>104</v>
      </c>
      <c r="M18" s="57"/>
    </row>
    <row r="19" spans="1:13" ht="24.75" customHeight="1">
      <c r="A19" s="718"/>
      <c r="B19" s="42"/>
      <c r="C19" s="720"/>
      <c r="D19" s="722"/>
      <c r="E19" s="723"/>
      <c r="F19" s="720"/>
      <c r="G19" s="720"/>
      <c r="H19" s="720"/>
      <c r="I19" s="722"/>
      <c r="J19" s="727"/>
      <c r="K19" s="729"/>
      <c r="L19" s="725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L18:L19"/>
    <mergeCell ref="H18:H19"/>
    <mergeCell ref="I18:I19"/>
    <mergeCell ref="J18:J19"/>
    <mergeCell ref="K18:K19"/>
    <mergeCell ref="C15:J15"/>
    <mergeCell ref="C16:J16"/>
    <mergeCell ref="A18:A20"/>
    <mergeCell ref="C18:C19"/>
    <mergeCell ref="D18:D19"/>
    <mergeCell ref="E18:E19"/>
    <mergeCell ref="F18:F19"/>
    <mergeCell ref="G18:G19"/>
    <mergeCell ref="C11:J11"/>
    <mergeCell ref="C12:J12"/>
    <mergeCell ref="C13:J13"/>
    <mergeCell ref="C14:J14"/>
    <mergeCell ref="C6:I6"/>
    <mergeCell ref="C8:J8"/>
    <mergeCell ref="C9:J9"/>
    <mergeCell ref="C10:J10"/>
    <mergeCell ref="C5:D5"/>
    <mergeCell ref="F5:H5"/>
    <mergeCell ref="I5:J5"/>
    <mergeCell ref="B1:L2"/>
    <mergeCell ref="C4:F4"/>
    <mergeCell ref="G4:H4"/>
    <mergeCell ref="I4:J4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2017-06-06T22:02:53Z</dcterms:modified>
</cp:coreProperties>
</file>