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49" i="31" l="1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/>
  <c r="CM51"/>
  <c r="CP51" s="1"/>
  <c r="CM45"/>
  <c r="CP45" s="1"/>
  <c r="CM49"/>
  <c r="CP49"/>
  <c r="CM52"/>
  <c r="CP52" s="1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X48" i="6" s="1"/>
  <c r="CK11" i="44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AC10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9" i="6" l="1"/>
  <c r="CW18"/>
  <c r="CW34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E36" i="31" s="1"/>
  <c r="CR17" i="6"/>
  <c r="E26" i="31" s="1"/>
  <c r="CS17" i="6"/>
  <c r="CV17" s="1"/>
  <c r="F26" i="31" s="1"/>
  <c r="CR12" i="6"/>
  <c r="CS12"/>
  <c r="CV12" s="1"/>
  <c r="F21" i="31" s="1"/>
  <c r="D45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F44" i="31" s="1"/>
  <c r="CR35" i="6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17"/>
  <c r="D17"/>
  <c r="D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<sst xmlns="http://schemas.openxmlformats.org/spreadsheetml/2006/main" count="2365" uniqueCount="576">
  <si>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</si>
  <si>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</si>
  <si>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</si>
  <si>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</si>
  <si>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</si>
  <si>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</si>
  <si>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</si>
  <si>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</si>
  <si>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</si>
  <si>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</si>
  <si>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</si>
  <si>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</si>
  <si>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</si>
  <si>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</si>
  <si>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</si>
  <si>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</si>
  <si>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</si>
  <si>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</si>
  <si>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</si>
  <si>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</si>
  <si>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</si>
  <si>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</si>
  <si>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</si>
  <si>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</si>
  <si>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</si>
  <si>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</si>
  <si>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</si>
  <si>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</si>
  <si>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</si>
  <si>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</si>
  <si>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</si>
  <si>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</si>
  <si>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</si>
  <si>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</si>
  <si>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</si>
  <si>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</si>
  <si>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</si>
  <si>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</si>
  <si>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</si>
  <si>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</si>
  <si>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</si>
  <si>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</si>
  <si>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</si>
  <si>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</si>
  <si>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</si>
  <si>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</si>
  <si>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</si>
  <si>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</si>
  <si>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</si>
  <si>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</si>
  <si>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</si>
  <si>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</si>
  <si>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</si>
  <si>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</si>
  <si>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</si>
  <si>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</si>
  <si>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</si>
  <si>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</si>
  <si>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</si>
  <si>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</si>
  <si>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</si>
  <si>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</si>
  <si>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</si>
  <si>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</si>
  <si>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</si>
  <si>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</si>
  <si>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</si>
  <si>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</si>
  <si>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</si>
  <si>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</si>
  <si>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</si>
  <si>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</si>
  <si>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</si>
  <si>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</si>
  <si>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</si>
  <si>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</si>
  <si>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</si>
  <si>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</si>
  <si>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</si>
  <si>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</si>
  <si>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</si>
  <si>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</si>
  <si>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</si>
  <si>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</si>
  <si>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</si>
  <si>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</si>
  <si>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</si>
  <si>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</si>
  <si>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</si>
  <si>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</si>
  <si>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</si>
  <si>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</si>
  <si>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</si>
  <si>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</si>
  <si>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</si>
  <si>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</si>
  <si>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</si>
  <si>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</si>
  <si>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</si>
  <si>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</si>
  <si>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</si>
  <si>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</si>
  <si>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</si>
  <si>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</si>
  <si>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</si>
  <si>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</si>
  <si>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</si>
  <si>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</si>
  <si>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</si>
  <si>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</si>
  <si>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</si>
  <si>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</si>
  <si>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</si>
  <si>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</si>
  <si>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</si>
  <si>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</si>
  <si>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</si>
  <si>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</si>
  <si>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</si>
  <si>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</si>
  <si>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</si>
  <si>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</si>
  <si>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</si>
  <si>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</si>
  <si>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</si>
  <si>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</si>
  <si>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</si>
  <si>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</si>
  <si>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</si>
  <si>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</si>
  <si>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</si>
  <si>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</si>
  <si>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</si>
  <si>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</si>
  <si>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</si>
  <si>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</si>
  <si>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</si>
  <si>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</si>
  <si>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</si>
  <si>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</si>
  <si>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</si>
  <si>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</si>
  <si>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</si>
  <si>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</si>
  <si>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</si>
  <si>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</si>
  <si>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</si>
  <si>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</si>
  <si>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</si>
  <si>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</si>
  <si>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</si>
  <si>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</si>
  <si>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</si>
  <si>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</si>
  <si>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</si>
  <si>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</si>
  <si>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</si>
  <si>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</si>
  <si>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</si>
  <si>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</si>
  <si>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</si>
  <si>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</si>
  <si>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</si>
  <si>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</si>
  <si>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</si>
  <si>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</si>
  <si>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</si>
  <si>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</si>
  <si>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</si>
  <si>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</si>
  <si>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</si>
  <si>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</si>
  <si>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</si>
  <si>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</si>
  <si>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</si>
  <si>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</si>
  <si>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</si>
  <si>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</si>
  <si>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</si>
  <si>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</si>
  <si>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</si>
  <si>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</si>
  <si>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</si>
  <si>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</si>
  <si>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</si>
  <si>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</si>
  <si>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</si>
  <si>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</si>
  <si>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</si>
  <si>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</si>
  <si>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</si>
  <si>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</si>
  <si>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</si>
  <si>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</si>
  <si>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</si>
  <si>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</si>
  <si>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</si>
  <si>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</si>
  <si>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</si>
  <si>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</si>
  <si>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</si>
  <si>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</si>
  <si>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</si>
  <si>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</si>
  <si>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</si>
  <si>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</si>
  <si>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</si>
  <si>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</si>
  <si>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</si>
  <si>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</si>
  <si>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</si>
  <si>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</si>
  <si>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</si>
  <si>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</si>
  <si>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</si>
  <si>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</si>
  <si>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</si>
  <si>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</si>
  <si>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</si>
  <si>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</si>
  <si>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</si>
  <si>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</si>
  <si>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</si>
  <si>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</si>
  <si>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</si>
  <si>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</si>
  <si>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</si>
  <si>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</si>
  <si>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</si>
  <si>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</si>
  <si>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</si>
  <si>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</si>
  <si>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</si>
  <si>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</si>
  <si>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</si>
  <si>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</si>
  <si>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</si>
  <si>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</si>
  <si>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</si>
  <si>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</si>
  <si>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</si>
  <si>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</si>
  <si>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</si>
  <si>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</si>
  <si>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</si>
  <si>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</si>
  <si>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</si>
  <si>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</si>
  <si>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</si>
  <si>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</si>
  <si>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</si>
  <si>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</si>
  <si>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</si>
  <si>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</si>
  <si>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</si>
  <si>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</si>
  <si>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</si>
  <si>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</si>
  <si>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</si>
  <si>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</si>
  <si>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</si>
  <si>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</si>
  <si>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</si>
  <si>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</si>
  <si>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</si>
  <si>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</si>
  <si>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</si>
  <si>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</si>
  <si>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</si>
  <si>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</si>
  <si>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</si>
  <si>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</si>
  <si>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</si>
  <si>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</si>
  <si>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</si>
  <si>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</si>
  <si>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</si>
  <si>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</si>
  <si>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</si>
  <si>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</si>
  <si>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</si>
  <si>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</si>
  <si>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</si>
  <si>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</si>
  <si>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</si>
  <si>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</si>
  <si>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</si>
  <si>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</si>
  <si>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</si>
  <si>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</si>
  <si>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</si>
  <si>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</si>
  <si>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</si>
  <si>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</si>
  <si>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</si>
  <si>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</si>
  <si>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</si>
  <si>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</si>
  <si>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</si>
  <si>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</si>
  <si>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</si>
  <si>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</si>
  <si>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</si>
  <si>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</si>
  <si>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</si>
  <si>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</si>
  <si>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</si>
  <si>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</si>
  <si>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</si>
  <si>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</si>
  <si>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</si>
  <si>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</si>
  <si>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</si>
  <si>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</si>
  <si>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</si>
  <si>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</si>
  <si>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</si>
  <si>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</si>
  <si>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</si>
  <si>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</si>
  <si>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</si>
  <si>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</si>
  <si>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</si>
  <si>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</si>
  <si>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</si>
  <si>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</si>
  <si>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</si>
  <si>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</si>
  <si>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</si>
  <si>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</si>
  <si>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</si>
  <si>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</si>
  <si>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</si>
  <si>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</si>
  <si>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</si>
  <si>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</si>
  <si>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</si>
  <si>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</si>
  <si>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</si>
  <si>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</si>
  <si>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</si>
  <si>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</si>
  <si>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</si>
  <si>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</si>
  <si>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</si>
  <si>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</si>
  <si>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</si>
  <si>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</si>
  <si>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</si>
  <si>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</si>
  <si>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</si>
  <si>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</si>
  <si>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</si>
  <si>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</si>
  <si>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</si>
  <si>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</si>
  <si>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</si>
  <si>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</si>
  <si>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</si>
  <si>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</si>
  <si>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</si>
  <si>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</si>
  <si>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</si>
  <si>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</si>
  <si>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</si>
  <si>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</si>
  <si>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</si>
  <si>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</si>
  <si>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</si>
  <si>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</si>
  <si>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</si>
  <si>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</si>
  <si>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</si>
  <si>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</si>
  <si>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</si>
  <si>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</si>
  <si>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</si>
  <si>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</si>
  <si>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</si>
  <si>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</si>
  <si>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</si>
  <si>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</si>
  <si>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</si>
  <si>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</si>
  <si>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</si>
  <si>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</si>
  <si>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</si>
  <si>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</si>
  <si>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</si>
  <si>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</si>
  <si>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</si>
  <si>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</si>
  <si>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</si>
  <si>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</si>
  <si>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</si>
  <si>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</si>
  <si>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</si>
  <si>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</si>
  <si>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</si>
  <si>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</si>
  <si>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</si>
  <si>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</si>
  <si>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</si>
  <si>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</si>
  <si>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</si>
  <si>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</si>
  <si>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</si>
  <si>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</si>
  <si>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</si>
  <si>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</si>
  <si>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</si>
  <si>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</si>
  <si>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</si>
  <si>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</si>
  <si>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</si>
  <si>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</si>
  <si>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</si>
  <si>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</si>
  <si>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</si>
  <si>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</si>
  <si>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</si>
  <si>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</si>
  <si>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</si>
  <si>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</si>
  <si>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</si>
  <si>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</si>
  <si>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</si>
  <si>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</si>
  <si>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</si>
  <si>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</si>
  <si>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</si>
  <si>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</si>
  <si>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</si>
  <si>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</si>
  <si>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</si>
  <si>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</si>
  <si>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</si>
  <si>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</si>
  <si>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</si>
  <si>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</si>
  <si>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</si>
  <si>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</si>
  <si>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</si>
  <si>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</si>
  <si>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</si>
  <si>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</si>
  <si>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</si>
  <si>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</si>
  <si>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</si>
  <si>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</si>
  <si>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</si>
  <si>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</si>
  <si>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</si>
  <si>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</si>
  <si>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</si>
  <si>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</si>
  <si>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</si>
  <si>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</si>
  <si>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</si>
  <si>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</si>
  <si>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</si>
  <si>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</si>
  <si>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</si>
  <si>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</si>
  <si>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</si>
  <si>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</si>
  <si>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</si>
  <si>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</si>
  <si>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</si>
  <si>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</si>
  <si>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</si>
  <si>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</si>
  <si>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</si>
  <si>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</si>
  <si>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</si>
  <si>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</si>
  <si>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</si>
  <si>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</si>
  <si>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</si>
  <si>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</si>
  <si>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</si>
  <si>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</si>
  <si>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</si>
  <si>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</si>
  <si>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</si>
  <si>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</si>
  <si>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</si>
  <si>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</si>
  <si>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</si>
  <si>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</si>
  <si>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</si>
  <si>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</si>
  <si>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</si>
  <si>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</si>
  <si>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</si>
  <si>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</si>
  <si>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</si>
  <si>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</si>
  <si>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</si>
  <si>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</si>
  <si>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</si>
  <si>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</si>
  <si>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</si>
  <si>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</si>
  <si>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</si>
  <si>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</si>
  <si>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</si>
  <si>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</si>
  <si>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</si>
  <si>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</si>
  <si>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</si>
  <si>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</si>
  <si>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</si>
  <si>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</si>
  <si>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</si>
  <si>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</si>
  <si>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</si>
  <si>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</si>
  <si>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</si>
  <si>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</si>
  <si>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</si>
  <si>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</si>
  <si>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</si>
  <si>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</si>
  <si>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</si>
  <si>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</si>
  <si>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</si>
  <si>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</si>
  <si>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</si>
  <si>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</si>
  <si>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</si>
  <si>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</si>
  <si>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</si>
  <si>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</si>
  <si>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</si>
  <si>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</si>
  <si>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</si>
  <si>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</si>
  <si>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</si>
  <si>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</si>
  <si>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</si>
  <si>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</si>
  <si>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</si>
  <si>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</si>
  <si>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</si>
  <si>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</si>
  <si>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</si>
  <si>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</si>
  <si>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</si>
  <si>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</si>
  <si>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</si>
  <si>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</si>
  <si>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</si>
  <si>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</si>
  <si>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</si>
  <si>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bahasa jawa</t>
  </si>
  <si>
    <t>pengetahuan bahasa jawa 1</t>
  </si>
  <si>
    <t>pengetahuan bahasa jawa 2</t>
  </si>
  <si>
    <t>pengetahuan bahasa jawa 3</t>
  </si>
  <si>
    <t>pengetahuan bahasa jawa 4</t>
  </si>
  <si>
    <t>pengetahuan bahasa jawa 5</t>
  </si>
  <si>
    <t>pengetahuan bahasa jawa 6</t>
  </si>
  <si>
    <t>pengetahuan bahasa jawa 7</t>
  </si>
  <si>
    <t>pengetahuan bahasa jawa 8</t>
  </si>
  <si>
    <t>pengetahuan bahasa jawa 9</t>
  </si>
  <si>
    <t>pengetahuan bahasa jawa 10</t>
  </si>
  <si>
    <t>ketrampilan bahasa jawa 1</t>
  </si>
  <si>
    <t>ketrampilan bahasa jawa 2</t>
  </si>
  <si>
    <t>ketrampilan bahasa jawa 3</t>
  </si>
  <si>
    <t>ketrampilan bahasa jawa 4</t>
  </si>
  <si>
    <t>ketrampilan bahasa jawa 5</t>
  </si>
  <si>
    <t>ketrampilan bahasa jawa 6</t>
  </si>
  <si>
    <t>ketrampilan bahasa jawa 7</t>
  </si>
  <si>
    <t>ketrampilan bahasa jawa 8</t>
  </si>
  <si>
    <t>ketrampilan bahasa jawa 9</t>
  </si>
  <si>
    <t>ketrampilan bahasa jawa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</si>
</sst>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7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activeCell="B19" sqref="B19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bahasa jawa 7, dan perlu ditingkatkan dalam pengetahuan bahasa jawa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bahasa jawa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bahasa jawa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98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90</v>
      </c>
      <c r="H8" s="422">
        <f>IF(G8="","",AVERAGE(C8:F8))</f>
        <v>89.75</v>
      </c>
      <c r="I8" s="422">
        <f>IF(G8="","",((2*H8)+G8)/3)</f>
        <v>89.833333333333329</v>
      </c>
      <c r="J8" s="422">
        <f>IF(G8="","",ROUND(I8,0))</f>
        <v>90</v>
      </c>
      <c r="K8" s="420">
        <f>IF(J8="","",J8)</f>
        <v>90</v>
      </c>
      <c r="L8" s="420" t="str">
        <f>IF(G8="","",IF(K8&gt;=menu!$O$6,"A",IF(K8&gt;=menu!$O$7,"B",IF(K8&gt;=menu!$O$8,"C","D"))))</f>
        <v>B</v>
      </c>
      <c r="M8" s="219">
        <f>IF('Input Nilai Ketrampilan'!J5="","",('Input Nilai Ketrampilan'!J5))</f>
        <v>76.666666666666671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79.416666666666671</v>
      </c>
      <c r="U8" s="424">
        <f>IF(M8="","",ROUND(T8,0))</f>
        <v>79</v>
      </c>
      <c r="V8" s="424" t="str">
        <f>IF(M8="","",IF(U8&gt;=menu!$O$6,"A",IF(U8&gt;=menu!$O$7,"B",IF(U8&gt;=menu!$O$8,"C","D"))))</f>
        <v>D</v>
      </c>
      <c r="W8" s="425">
        <f>IF(K8="","",AVERAGE(K8,U8))</f>
        <v>84.5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bahasa jawa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87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 xml:space="preserve"> Memiliki penguasaan materi sudah cukup dalam pengetahuan bahasa jawa 2, dan lebih ditingkatkan dalam pengetahuan bahasa jawa 3</v>
      </c>
      <c r="G14" s="227">
        <f>IF('Input Nilai Ketrampilan'!BF5="","",'Input Nilai Ketrampilan'!BF5)</f>
        <v>84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bahasa jawa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bahasa jawa 7, dan perlu ditingkatkan dalam pengetahuan bahasa jawa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bahasa jawa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bahasa jawa 8, dan perlu ditingkatkan dalam pengetahuan bahasa jawa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bahasa jawa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bahasa jawa 1, dan perlu ditingkatkan dalam pengetahuan bahasa jawa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bahasa jawa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bahasa jawa 7, dan perlu ditingkatkan dalam pengetahuan bahasa jawa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bahasa jawa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bahasa jawa 2, dan perlu ditingkatkan dalam pengetahuan bahasa jawa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bahasa jawa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bahasa jawa 4, dan perlu ditingkatkan dalam pengetahuan bahasa jawa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bahasa jawa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bahasa jawa 4, dan perlu ditingkatkan dalam pengetahuan bahasa jawa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bahasa jawa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bahasa jawa 4, dan perlu ditingkatkan dalam pengetahuan bahasa jawa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bahasa jawa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bahasa jawa 7, dan perlu ditingkatkan dalam pengetahuan bahasa jawa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bahasa jawa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bahasa jawa 1, dan perlu ditingkatkan dalam pengetahuan bahasa jawa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bahasa jawa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bahasa jawa 1, dan perlu ditingkatkan dalam pengetahuan bahasa jawa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bahasa jawa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bahasa jawa 2, dan perlu ditingkatkan dalam pengetahuan bahasa jawa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bahasa jawa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bahasa jawa 8, dan perlu ditingkatkan dalam pengetahuan bahasa jawa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bahasa jawa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bahasa jawa 1, dan perlu ditingkatkan dalam pengetahuan bahasa jawa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bahasa jawa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bahasa jawa 4, dan perlu ditingkatkan dalam pengetahuan bahasa jawa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bahasa jawa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bahasa jawa 1, dan perlu ditingkatkan dalam pengetahuan bahasa jawa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bahasa jawa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bahasa jawa 8, dan perlu ditingkatkan dalam pengetahuan bahasa jawa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bahasa jawa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bahasa jawa 4, dan perlu ditingkatkan dalam pengetahuan bahasa jawa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bahasa jawa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bahasa jawa 7, dan perlu ditingkatkan dalam pengetahuan bahasa jawa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bahasa jawa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bahasa jawa 1, dan perlu ditingkatkan dalam pengetahuan bahasa jawa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bahasa jawa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bahasa jawa 7, dan perlu ditingkatkan dalam pengetahuan bahasa jawa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bahasa jawa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bahasa jawa 4, dan perlu ditingkatkan dalam pengetahuan bahasa jawa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bahasa jawa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bahasa jawa 1, dan perlu ditingkatkan dalam pengetahuan bahasa jawa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bahasa jawa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bahasa jawa 8, dan perlu ditingkatkan dalam pengetahuan bahasa jawa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bahasa jawa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bahasa jawa 4, dan perlu ditingkatkan dalam pengetahuan bahasa jawa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bahasa jawa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bahasa jawa 4, dan perlu ditingkatkan dalam pengetahuan bahasa jawa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bahasa jawa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bahasa jawa 1, dan perlu ditingkatkan dalam pengetahuan bahasa jawa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bahasa jawa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bahasa jawa 8, dan perlu ditingkatkan dalam pengetahuan bahasa jawa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bahasa jawa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bahasa jawa 8, dan perlu ditingkatkan dalam pengetahuan bahasa jawa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bahasa jawa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bahasa jawa 2, dan perlu ditingkatkan dalam pengetahuan bahasa jawa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bahasa jawa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bahasa jawa 4, dan perlu ditingkatkan dalam pengetahuan bahasa jawa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bahasa jawa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bahasa jawa 1, dan perlu ditingkatkan dalam pengetahuan bahasa jawa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bahasa jawa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bahasa jawa 8, dan perlu ditingkatkan dalam pengetahuan bahasa jawa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bahasa jawa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bahasa jawa 4, dan perlu ditingkatkan dalam pengetahuan bahasa jawa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bahasa jawa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bahasa jawa 1, dan perlu ditingkatkan dalam pengetahuan bahasa jawa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bahasa jawa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bahasa jawa 3, dan perlu ditingkatkan dalam pengetahuan bahasa jawa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bahasa jawa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bahasa jawa 8, dan perlu ditingkatkan dalam pengetahuan bahasa jawa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bahasa jawa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bahasa jawa 4, dan perlu ditingkatkan dalam pengetahuan bahasa jawa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bahasa jawa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bahasa jawa 2, dan perlu ditingkatkan dalam pengetahuan bahasa jawa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bahasa jawa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bahasa jawa 1, dan perlu ditingkatkan dalam pengetahuan bahasa jawa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bahasa jawa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bahasa jawa 4, dan perlu ditingkatkan dalam pengetahuan bahasa jawa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bahasa jawa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bahasa jawa 4, dan perlu ditingkatkan dalam pengetahuan bahasa jawa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bahasa jawa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bahasa jawa 2, dan perlu ditingkatkan dalam pengetahuan bahasa jawa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bahasa jawa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bahasa jawa 8, dan perlu ditingkatkan dalam pengetahuan bahasa jawa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bahasa jawa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bahasa jawa 4, dan perlu ditingkatkan dalam pengetahuan bahasa jawa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bahasa jawa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bahasa jawa 4, dan perlu ditingkatkan dalam pengetahuan bahasa jawa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bahasa jawa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bahasa jawa 2, dan perlu ditingkatkan dalam pengetahuan bahasa jawa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bahasa jawa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83.35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bahasa jawa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W5" activePane="bottomRight" state="frozen"/>
      <selection pane="topRight" activeCell="F1" sqref="F1"/>
      <selection pane="bottomLeft" activeCell="A6" sqref="A6"/>
      <selection pane="bottomRight" activeCell="CF9" sqref="CF9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bahasa jawa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bahasa jawa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bahasa jawa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bahasa jawa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bahasa jawa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bahasa jawa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bahasa jawa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bahasa jawa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bahasa jawa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bahasa jawa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98</v>
      </c>
      <c r="P5" s="100"/>
      <c r="Q5" s="353"/>
      <c r="R5" s="310">
        <f>IF(AND(N5="",O5="",P5="",Q5=""),"",AVERAGE(N5:Q5))</f>
        <v>98</v>
      </c>
      <c r="S5" s="353"/>
      <c r="T5" s="100"/>
      <c r="U5" s="319">
        <f>IF(AND(N5="",O5="",P5="",Q5=""),"",IF(AND(S5="",T5=""),R5,MAX(R5:T5)))</f>
        <v>98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88.1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80</v>
      </c>
      <c r="CK5" s="90">
        <v>90</v>
      </c>
      <c r="CL5" s="100">
        <v>80</v>
      </c>
      <c r="CM5" s="322">
        <f>IF(CH5="","",CH5*$CM$3)</f>
        <v>176.2</v>
      </c>
      <c r="CN5" s="322">
        <f>IF(CK5="","",CK5*$CN$3)</f>
        <v>90</v>
      </c>
      <c r="CO5" s="322">
        <f>IF(CL5="","",CL5*$CO$3)</f>
        <v>80</v>
      </c>
      <c r="CP5" s="225">
        <f>IF(OR(CH5="",CK5="",CL5=""),"",(SUM(CM5:CO5)/SUM($CM$3:$CO$3)))</f>
        <v>86.55</v>
      </c>
      <c r="CQ5" s="323">
        <f>IF(CP5="","",ROUNDUP(CP5,0))</f>
        <v>87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TUNTAS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 xml:space="preserve"> Memiliki penguasaan materi sudah cukup dalam pengetahuan bahasa jawa 2, dan lebih ditingkatkan dalam pengetahuan bahasa jawa 3</v>
      </c>
      <c r="CW5" s="107" t="str">
        <f>IF(CI5="","",VLOOKUP(CI5,DATAPENG!$B$3:$C$12,2,FALSE))</f>
        <v>pengetahuan bahasa jawa 2</v>
      </c>
      <c r="CX5" s="107" t="str">
        <f>IF(CJ5="","",VLOOKUP(CJ5,DATAPENG!$B$3:$C$12,2,FALSE))</f>
        <v>pengetahuan bahasa jawa 3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bahasa jawa 7, dan perlu ditingkatkan dalam pengetahuan bahasa jawa 10</v>
      </c>
      <c r="CW6" s="108" t="str">
        <f>IF(CI6="","",VLOOKUP(CI6,DATAPENG!$D$3:$E$12,2,FALSE))</f>
        <v>pengetahuan bahasa jawa 7</v>
      </c>
      <c r="CX6" s="108" t="str">
        <f>IF(CJ6="","",VLOOKUP(CJ6,DATAPENG!$D$3:$E$12,2,FALSE))</f>
        <v>pengetahuan bahasa jawa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bahasa jawa 8, dan perlu ditingkatkan dalam pengetahuan bahasa jawa 9</v>
      </c>
      <c r="CW7" s="108" t="str">
        <f>IF(CI7="","",VLOOKUP(CI7,DATAPENG!$F$3:$G$12,2,FALSE))</f>
        <v>pengetahuan bahasa jawa 8</v>
      </c>
      <c r="CX7" s="108" t="str">
        <f>IF(CJ7="","",VLOOKUP(CJ7,DATAPENG!$F$3:$G$12,2,FALSE))</f>
        <v>pengetahuan bahasa jawa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bahasa jawa 1, dan perlu ditingkatkan dalam pengetahuan bahasa jawa 10</v>
      </c>
      <c r="CW8" s="108" t="str">
        <f>IF(CI8="","",VLOOKUP(CI8,DATAPENG!$H$3:$I$12,2,FALSE))</f>
        <v>pengetahuan bahasa jawa 1</v>
      </c>
      <c r="CX8" s="108" t="str">
        <f>IF(CJ8="","",VLOOKUP(CJ8,DATAPENG!$H$3:$I$12,2,FALSE))</f>
        <v>pengetahuan bahasa jawa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bahasa jawa 7, dan perlu ditingkatkan dalam pengetahuan bahasa jawa 6</v>
      </c>
      <c r="CW9" s="108" t="str">
        <f>IF(CI9="","",VLOOKUP(CI9,DATAPENG!$J$3:$K$12,2,FALSE))</f>
        <v>pengetahuan bahasa jawa 7</v>
      </c>
      <c r="CX9" s="108" t="str">
        <f>IF(CJ9="","",VLOOKUP(CJ9,DATAPENG!$J$3:$K$12,2,FALSE))</f>
        <v>pengetahuan bahasa jawa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bahasa jawa 2, dan perlu ditingkatkan dalam pengetahuan bahasa jawa 10</v>
      </c>
      <c r="CW10" s="108" t="str">
        <f>IF(CI10="","",VLOOKUP(CI10,DATAPENG!$L$3:$M$12,2,FALSE))</f>
        <v>pengetahuan bahasa jawa 2</v>
      </c>
      <c r="CX10" s="108" t="str">
        <f>IF(CJ10="","",VLOOKUP(CJ10,DATAPENG!$L$3:$M$12,2,FALSE))</f>
        <v>pengetahuan bahasa jawa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bahasa jawa 4, dan perlu ditingkatkan dalam pengetahuan bahasa jawa 2</v>
      </c>
      <c r="CW11" s="108" t="str">
        <f>IF(CI11="","",VLOOKUP(CI11,DATAPENG!$N$3:$O$12,2,FALSE))</f>
        <v>pengetahuan bahasa jawa 4</v>
      </c>
      <c r="CX11" s="108" t="str">
        <f>IF(CJ11="","",VLOOKUP(CJ11,DATAPENG!$N$3:$O$12,2,FALSE))</f>
        <v>pengetahuan bahasa jawa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bahasa jawa 4, dan perlu ditingkatkan dalam pengetahuan bahasa jawa 10</v>
      </c>
      <c r="CW12" s="108" t="str">
        <f>IF(CI12="","",VLOOKUP(CI12,DATAPENG!$P$3:$Q$12,2,FALSE))</f>
        <v>pengetahuan bahasa jawa 4</v>
      </c>
      <c r="CX12" s="108" t="str">
        <f>IF(CJ12="","",VLOOKUP(CJ12,DATAPENG!$P$3:$Q$12,2,FALSE))</f>
        <v>pengetahuan bahasa jawa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bahasa jawa 4, dan perlu ditingkatkan dalam pengetahuan bahasa jawa 10</v>
      </c>
      <c r="CW13" s="108" t="str">
        <f>IF(CI13="","",VLOOKUP(CI13,DATAPENG!$R$3:$S$12,2,FALSE))</f>
        <v>pengetahuan bahasa jawa 4</v>
      </c>
      <c r="CX13" s="108" t="str">
        <f>IF(CJ13="","",VLOOKUP(CJ13,DATAPENG!$R$3:$S$12,2,FALSE))</f>
        <v>pengetahuan bahasa jawa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bahasa jawa 7, dan perlu ditingkatkan dalam pengetahuan bahasa jawa 6</v>
      </c>
      <c r="CW14" s="108" t="str">
        <f>IF(CI14="","",VLOOKUP(CI14,DATAPENG!$T$3:$U$12,2,FALSE))</f>
        <v>pengetahuan bahasa jawa 7</v>
      </c>
      <c r="CX14" s="108" t="str">
        <f>IF(CJ14="","",VLOOKUP(CJ14,DATAPENG!$T$3:$U$12,2,FALSE))</f>
        <v>pengetahuan bahasa jawa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bahasa jawa 1, dan perlu ditingkatkan dalam pengetahuan bahasa jawa 6</v>
      </c>
      <c r="CW15" s="108" t="str">
        <f>IF(CI15="","",VLOOKUP(CI15,DATAPENG!$V$3:$W$12,2,FALSE))</f>
        <v>pengetahuan bahasa jawa 1</v>
      </c>
      <c r="CX15" s="108" t="str">
        <f>IF(CJ15="","",VLOOKUP(CJ15,DATAPENG!$V$3:$W$12,2,FALSE))</f>
        <v>pengetahuan bahasa jawa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bahasa jawa 1, dan perlu ditingkatkan dalam pengetahuan bahasa jawa 10</v>
      </c>
      <c r="CW16" s="108" t="str">
        <f>IF(CI16="","",VLOOKUP(CI16,DATAPENG!$X$3:$Y$12,2,FALSE))</f>
        <v>pengetahuan bahasa jawa 1</v>
      </c>
      <c r="CX16" s="108" t="str">
        <f>IF(CJ16="","",VLOOKUP(CJ16,DATAPENG!$X$3:$Y$12,2,FALSE))</f>
        <v>pengetahuan bahasa jawa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bahasa jawa 2, dan perlu ditingkatkan dalam pengetahuan bahasa jawa 9</v>
      </c>
      <c r="CW17" s="108" t="str">
        <f>IF(CI17="","",VLOOKUP(CI17,DATAPENG!$Z$3:$AA$12,2,FALSE))</f>
        <v>pengetahuan bahasa jawa 2</v>
      </c>
      <c r="CX17" s="108" t="str">
        <f>IF(CJ17="","",VLOOKUP(CJ17,DATAPENG!$Z$3:$AA$12,2,FALSE))</f>
        <v>pengetahuan bahasa jawa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bahasa jawa 8, dan perlu ditingkatkan dalam pengetahuan bahasa jawa 10</v>
      </c>
      <c r="CW18" s="108" t="str">
        <f>IF(CI18="","",VLOOKUP(CI18,DATAPENG!$AB$3:$AC$12,2,FALSE))</f>
        <v>pengetahuan bahasa jawa 8</v>
      </c>
      <c r="CX18" s="108" t="str">
        <f>IF(CJ18="","",VLOOKUP(CJ18,DATAPENG!$AB$3:$AC$12,2,FALSE))</f>
        <v>pengetahuan bahasa jawa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bahasa jawa 1, dan perlu ditingkatkan dalam pengetahuan bahasa jawa 6</v>
      </c>
      <c r="CW19" s="108" t="str">
        <f>IF(CI19="","",VLOOKUP(CI19,DATAPENG!$AD$3:$AE$12,2,FALSE))</f>
        <v>pengetahuan bahasa jawa 1</v>
      </c>
      <c r="CX19" s="108" t="str">
        <f>IF(CJ19="","",VLOOKUP(CJ19,DATAPENG!$AD$3:$AE$12,2,FALSE))</f>
        <v>pengetahuan bahasa jawa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bahasa jawa 4, dan perlu ditingkatkan dalam pengetahuan bahasa jawa 9</v>
      </c>
      <c r="CW20" s="108" t="str">
        <f>IF(CI20="","",VLOOKUP(CI20,DATAPENG!$AF$3:$AG$12,2,FALSE))</f>
        <v>pengetahuan bahasa jawa 4</v>
      </c>
      <c r="CX20" s="108" t="str">
        <f>IF(CJ20="","",VLOOKUP(CJ20,DATAPENG!$AF$3:$AG$12,2,FALSE))</f>
        <v>pengetahuan bahasa jawa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bahasa jawa 1, dan perlu ditingkatkan dalam pengetahuan bahasa jawa 10</v>
      </c>
      <c r="CW21" s="108" t="str">
        <f>IF(CI21="","",VLOOKUP(CI21,DATAPENG!$AH$3:$AI$12,2,FALSE))</f>
        <v>pengetahuan bahasa jawa 1</v>
      </c>
      <c r="CX21" s="108" t="str">
        <f>IF(CJ21="","",VLOOKUP(CJ21,DATAPENG!$AH$3:$AI$12,2,FALSE))</f>
        <v>pengetahuan bahasa jawa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bahasa jawa 8, dan perlu ditingkatkan dalam pengetahuan bahasa jawa 10</v>
      </c>
      <c r="CW22" s="108" t="str">
        <f>IF(CI22="","",VLOOKUP(CI22,DATAPENG!$AJ$3:$AK$12,2,FALSE))</f>
        <v>pengetahuan bahasa jawa 8</v>
      </c>
      <c r="CX22" s="108" t="str">
        <f>IF(CJ22="","",VLOOKUP(CJ22,DATAPENG!$AJ$3:$AK$12,2,FALSE))</f>
        <v>pengetahuan bahasa jawa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bahasa jawa 4, dan perlu ditingkatkan dalam pengetahuan bahasa jawa 9</v>
      </c>
      <c r="CW23" s="108" t="str">
        <f>IF(CI23="","",VLOOKUP(CI23,DATAPENG!$AL$3:$AM$12,2,FALSE))</f>
        <v>pengetahuan bahasa jawa 4</v>
      </c>
      <c r="CX23" s="108" t="str">
        <f>IF(CJ23="","",VLOOKUP(CJ23,DATAPENG!$AL$3:$AM$12,2,FALSE))</f>
        <v>pengetahuan bahasa jawa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bahasa jawa 7, dan perlu ditingkatkan dalam pengetahuan bahasa jawa 10</v>
      </c>
      <c r="CW24" s="108" t="str">
        <f>IF(CI24="","",VLOOKUP(CI24,DATAPENG!$AN$3:$AO$12,2,FALSE))</f>
        <v>pengetahuan bahasa jawa 7</v>
      </c>
      <c r="CX24" s="108" t="str">
        <f>IF(CJ24="","",VLOOKUP(CJ24,DATAPENG!$AN$3:$AO$12,2,FALSE))</f>
        <v>pengetahuan bahasa jawa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bahasa jawa 1, dan perlu ditingkatkan dalam pengetahuan bahasa jawa 10</v>
      </c>
      <c r="CW25" s="108" t="str">
        <f>IF(CI25="","",VLOOKUP(CI25,DATAPENG!$AP$3:$AQ$12,2,FALSE))</f>
        <v>pengetahuan bahasa jawa 1</v>
      </c>
      <c r="CX25" s="108" t="str">
        <f>IF(CJ25="","",VLOOKUP(CJ25,DATAPENG!$AP$3:$AQ$12,2,FALSE))</f>
        <v>pengetahuan bahasa jawa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bahasa jawa 7, dan perlu ditingkatkan dalam pengetahuan bahasa jawa 10</v>
      </c>
      <c r="CW26" s="108" t="str">
        <f>IF(CI26="","",VLOOKUP(CI26,DATAPENG!$AR$3:$AS$12,2,FALSE))</f>
        <v>pengetahuan bahasa jawa 7</v>
      </c>
      <c r="CX26" s="108" t="str">
        <f>IF(CJ26="","",VLOOKUP(CJ26,DATAPENG!$AR$3:$AS$12,2,FALSE))</f>
        <v>pengetahuan bahasa jawa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bahasa jawa 4, dan perlu ditingkatkan dalam pengetahuan bahasa jawa 10</v>
      </c>
      <c r="CW27" s="108" t="str">
        <f>IF(CI27="","",VLOOKUP(CI27,DATAPENG!$AT$3:$AU$12,2,FALSE))</f>
        <v>pengetahuan bahasa jawa 4</v>
      </c>
      <c r="CX27" s="108" t="str">
        <f>IF(CJ27="","",VLOOKUP(CJ27,DATAPENG!$AT$3:$AU$12,2,FALSE))</f>
        <v>pengetahuan bahasa jawa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bahasa jawa 1, dan perlu ditingkatkan dalam pengetahuan bahasa jawa 10</v>
      </c>
      <c r="CW28" s="108" t="str">
        <f>IF(CI28="","",VLOOKUP(CI28,DATAPENG!$AV$3:$AW$12,2,FALSE))</f>
        <v>pengetahuan bahasa jawa 1</v>
      </c>
      <c r="CX28" s="108" t="str">
        <f>IF(CJ28="","",VLOOKUP(CJ28,DATAPENG!$AV$3:$AW$12,2,FALSE))</f>
        <v>pengetahuan bahasa jawa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bahasa jawa 8, dan perlu ditingkatkan dalam pengetahuan bahasa jawa 10</v>
      </c>
      <c r="CW29" s="108" t="str">
        <f>IF(CI29="","",VLOOKUP(CI29,DATAPENG!$AX$3:$AY$12,2,FALSE))</f>
        <v>pengetahuan bahasa jawa 8</v>
      </c>
      <c r="CX29" s="108" t="str">
        <f>IF(CJ29="","",VLOOKUP(CJ29,DATAPENG!$AX$3:$AY$12,2,FALSE))</f>
        <v>pengetahuan bahasa jawa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bahasa jawa 4, dan perlu ditingkatkan dalam pengetahuan bahasa jawa 9</v>
      </c>
      <c r="CW30" s="108" t="str">
        <f>IF(CI30="","",VLOOKUP(CI30,DATAPENG!$AZ$3:$BA$12,2,FALSE))</f>
        <v>pengetahuan bahasa jawa 4</v>
      </c>
      <c r="CX30" s="108" t="str">
        <f>IF(CJ30="","",VLOOKUP(CJ30,DATAPENG!$AZ$3:$BA$12,2,FALSE))</f>
        <v>pengetahuan bahasa jawa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bahasa jawa 4, dan perlu ditingkatkan dalam pengetahuan bahasa jawa 6</v>
      </c>
      <c r="CW31" s="108" t="str">
        <f>IF(CI31="","",VLOOKUP(CI31,DATAPENG!$BB$3:$BC$12,2,FALSE))</f>
        <v>pengetahuan bahasa jawa 4</v>
      </c>
      <c r="CX31" s="108" t="str">
        <f>IF(CJ31="","",VLOOKUP(CJ31,DATAPENG!$BB$3:$BC$12,2,FALSE))</f>
        <v>pengetahuan bahasa jawa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bahasa jawa 1, dan perlu ditingkatkan dalam pengetahuan bahasa jawa 6</v>
      </c>
      <c r="CW32" s="108" t="str">
        <f>IF(CI32="","",VLOOKUP(CI32,DATAPENG!$BD$3:$BE$12,2,FALSE))</f>
        <v>pengetahuan bahasa jawa 1</v>
      </c>
      <c r="CX32" s="108" t="str">
        <f>IF(CJ32="","",VLOOKUP(CJ32,DATAPENG!$BD$3:$BE$12,2,FALSE))</f>
        <v>pengetahuan bahasa jawa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bahasa jawa 8, dan perlu ditingkatkan dalam pengetahuan bahasa jawa 9</v>
      </c>
      <c r="CW33" s="108" t="str">
        <f>IF(CI33="","",VLOOKUP(CI33,DATAPENG!$BF$3:$BG$12,2,FALSE))</f>
        <v>pengetahuan bahasa jawa 8</v>
      </c>
      <c r="CX33" s="108" t="str">
        <f>IF(CJ33="","",VLOOKUP(CJ33,DATAPENG!$BF$3:$BG$12,2,FALSE))</f>
        <v>pengetahuan bahasa jawa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bahasa jawa 8, dan perlu ditingkatkan dalam pengetahuan bahasa jawa 9</v>
      </c>
      <c r="CW34" s="108" t="str">
        <f>IF(CI34="","",VLOOKUP(CI34,DATAPENG!$BH$3:$BI$12,2,FALSE))</f>
        <v>pengetahuan bahasa jawa 8</v>
      </c>
      <c r="CX34" s="108" t="str">
        <f>IF(CJ34="","",VLOOKUP(CJ34,DATAPENG!$BH$3:$BI$12,2,FALSE))</f>
        <v>pengetahuan bahasa jawa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bahasa jawa 2, dan perlu ditingkatkan dalam pengetahuan bahasa jawa 10</v>
      </c>
      <c r="CW35" s="108" t="str">
        <f>IF(CI35="","",VLOOKUP(CI35,DATAPENG!$BJ$3:$BK$12,2,FALSE))</f>
        <v>pengetahuan bahasa jawa 2</v>
      </c>
      <c r="CX35" s="108" t="str">
        <f>IF(CJ35="","",VLOOKUP(CJ35,DATAPENG!$BJ$3:$BK$12,2,FALSE))</f>
        <v>pengetahuan bahasa jawa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bahasa jawa 4, dan perlu ditingkatkan dalam pengetahuan bahasa jawa 6</v>
      </c>
      <c r="CW36" s="108" t="str">
        <f>IF(CI36="","",VLOOKUP(CI36,DATAPENG!$BL$3:$BM$12,2,FALSE))</f>
        <v>pengetahuan bahasa jawa 4</v>
      </c>
      <c r="CX36" s="108" t="str">
        <f>IF(CJ36="","",VLOOKUP(CJ36,DATAPENG!$BL$3:$BM$12,2,FALSE))</f>
        <v>pengetahuan bahasa jawa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bahasa jawa 1, dan perlu ditingkatkan dalam pengetahuan bahasa jawa 10</v>
      </c>
      <c r="CW37" s="108" t="str">
        <f>IF(CI37="","",VLOOKUP(CI37,DATAPENG!$BN$3:$BO$12,2,FALSE))</f>
        <v>pengetahuan bahasa jawa 1</v>
      </c>
      <c r="CX37" s="108" t="str">
        <f>IF(CJ37="","",VLOOKUP(CJ37,DATAPENG!$BN$3:$BO$12,2,FALSE))</f>
        <v>pengetahuan bahasa jawa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bahasa jawa 8, dan perlu ditingkatkan dalam pengetahuan bahasa jawa 2</v>
      </c>
      <c r="CW38" s="108" t="str">
        <f>IF(CI38="","",VLOOKUP(CI38,DATAPENG!$BP$3:$BQ$12,2,FALSE))</f>
        <v>pengetahuan bahasa jawa 8</v>
      </c>
      <c r="CX38" s="108" t="str">
        <f>IF(CJ38="","",VLOOKUP(CJ38,DATAPENG!$BP$3:$BQ$12,2,FALSE))</f>
        <v>pengetahuan bahasa jawa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bahasa jawa 4, dan perlu ditingkatkan dalam pengetahuan bahasa jawa 10</v>
      </c>
      <c r="CW39" s="108" t="str">
        <f>IF(CI39="","",VLOOKUP(CI39,DATAPENG!$BR$3:$BS$12,2,FALSE))</f>
        <v>pengetahuan bahasa jawa 4</v>
      </c>
      <c r="CX39" s="108" t="str">
        <f>IF(CJ39="","",VLOOKUP(CJ39,DATAPENG!$BR$3:$BS$12,2,FALSE))</f>
        <v>pengetahuan bahasa jawa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bahasa jawa 1, dan perlu ditingkatkan dalam pengetahuan bahasa jawa 9</v>
      </c>
      <c r="CW40" s="108" t="str">
        <f>IF(CI40="","",VLOOKUP(CI40,DATAPENG!$BT$3:$BU$12,2,FALSE))</f>
        <v>pengetahuan bahasa jawa 1</v>
      </c>
      <c r="CX40" s="108" t="str">
        <f>IF(CJ40="","",VLOOKUP(CJ40,DATAPENG!$BT$3:$BU$12,2,FALSE))</f>
        <v>pengetahuan bahasa jawa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bahasa jawa 3, dan perlu ditingkatkan dalam pengetahuan bahasa jawa 10</v>
      </c>
      <c r="CW41" s="108" t="str">
        <f>IF(CI41="","",VLOOKUP(CI41,DATAPENG!$BV$3:$BW$12,2,FALSE))</f>
        <v>pengetahuan bahasa jawa 3</v>
      </c>
      <c r="CX41" s="108" t="str">
        <f>IF(CJ41="","",VLOOKUP(CJ41,DATAPENG!$BV$3:$BW$12,2,FALSE))</f>
        <v>pengetahuan bahasa jawa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bahasa jawa 8, dan perlu ditingkatkan dalam pengetahuan bahasa jawa 10</v>
      </c>
      <c r="CW42" s="108" t="str">
        <f>IF(CI42="","",VLOOKUP(CI42,DATAPENG!$BX$3:$BY$12,2,FALSE))</f>
        <v>pengetahuan bahasa jawa 8</v>
      </c>
      <c r="CX42" s="108" t="str">
        <f>IF(CJ42="","",VLOOKUP(CJ42,DATAPENG!$BX$3:$BY$12,2,FALSE))</f>
        <v>pengetahuan bahasa jawa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bahasa jawa 4, dan perlu ditingkatkan dalam pengetahuan bahasa jawa 10</v>
      </c>
      <c r="CW43" s="108" t="str">
        <f>IF(CI43="","",VLOOKUP(CI43,DATAPENG!$BZ$3:$CA$12,2,FALSE))</f>
        <v>pengetahuan bahasa jawa 4</v>
      </c>
      <c r="CX43" s="108" t="str">
        <f>IF(CJ43="","",VLOOKUP(CJ43,DATAPENG!$BZ$3:$CA$12,2,FALSE))</f>
        <v>pengetahuan bahasa jawa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bahasa jawa 2, dan perlu ditingkatkan dalam pengetahuan bahasa jawa 9</v>
      </c>
      <c r="CW44" s="108" t="str">
        <f>IF(CI44="","",VLOOKUP(CI44,DATAPENG!$CB$3:$CC$12,2,FALSE))</f>
        <v>pengetahuan bahasa jawa 2</v>
      </c>
      <c r="CX44" s="108" t="str">
        <f>IF(CJ44="","",VLOOKUP(CJ44,DATAPENG!$CB$3:$CC$12,2,FALSE))</f>
        <v>pengetahuan bahasa jawa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bahasa jawa 1, dan perlu ditingkatkan dalam pengetahuan bahasa jawa 10</v>
      </c>
      <c r="CW45" s="108" t="str">
        <f>IF(CI45="","",VLOOKUP(CI45,DATAPENG!$CD$3:$CE$12,2,FALSE))</f>
        <v>pengetahuan bahasa jawa 1</v>
      </c>
      <c r="CX45" s="108" t="str">
        <f>IF(CJ45="","",VLOOKUP(CJ45,DATAPENG!$CD$3:$CE$12,2,FALSE))</f>
        <v>pengetahuan bahasa jawa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bahasa jawa 4, dan perlu ditingkatkan dalam pengetahuan bahasa jawa 6</v>
      </c>
      <c r="CW46" s="108" t="str">
        <f>IF(CI46="","",VLOOKUP(CI46,DATAPENG!$CF$3:$CG$12,2,FALSE))</f>
        <v>pengetahuan bahasa jawa 4</v>
      </c>
      <c r="CX46" s="108" t="str">
        <f>IF(CJ46="","",VLOOKUP(CJ46,DATAPENG!$CF$3:$CG$12,2,FALSE))</f>
        <v>pengetahuan bahasa jawa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bahasa jawa 4, dan perlu ditingkatkan dalam pengetahuan bahasa jawa 6</v>
      </c>
      <c r="CW47" s="108" t="str">
        <f>IF(CI47="","",VLOOKUP(CI47,DATAPENG!$CH$3:$CI$12,2,FALSE))</f>
        <v>pengetahuan bahasa jawa 4</v>
      </c>
      <c r="CX47" s="108" t="str">
        <f>IF(CJ47="","",VLOOKUP(CJ47,DATAPENG!$CH$3:$CI$12,2,FALSE))</f>
        <v>pengetahuan bahasa jawa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bahasa jawa 2, dan perlu ditingkatkan dalam pengetahuan bahasa jawa 10</v>
      </c>
      <c r="CW48" s="108" t="str">
        <f>IF(CI48="","",VLOOKUP(CI48,DATAPENG!$CJ$3:$CK$12,2,FALSE))</f>
        <v>pengetahuan bahasa jawa 2</v>
      </c>
      <c r="CX48" s="108" t="str">
        <f>IF(CJ48="","",VLOOKUP(CJ48,DATAPENG!$CJ$3:$CK$12,2,FALSE))</f>
        <v>pengetahuan bahasa jawa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bahasa jawa 8, dan perlu ditingkatkan dalam pengetahuan bahasa jawa 6</v>
      </c>
      <c r="CW49" s="108" t="str">
        <f>IF(CI49="","",VLOOKUP(CI49,DATAPENG!$CL$3:$CM$12,2,FALSE))</f>
        <v>pengetahuan bahasa jawa 8</v>
      </c>
      <c r="CX49" s="108" t="str">
        <f>IF(CJ49="","",VLOOKUP(CJ49,DATAPENG!$CL$3:$CM$12,2,FALSE))</f>
        <v>pengetahuan bahasa jawa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bahasa jawa 4, dan perlu ditingkatkan dalam pengetahuan bahasa jawa 9</v>
      </c>
      <c r="CW50" s="108" t="str">
        <f>IF(CI50="","",VLOOKUP(CI50,DATAPENG!$CN$3:$CO$12,2,FALSE))</f>
        <v>pengetahuan bahasa jawa 4</v>
      </c>
      <c r="CX50" s="108" t="str">
        <f>IF(CJ50="","",VLOOKUP(CJ50,DATAPENG!$CN$3:$CO$12,2,FALSE))</f>
        <v>pengetahuan bahasa jawa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bahasa jawa 4, dan perlu ditingkatkan dalam pengetahuan bahasa jawa 6</v>
      </c>
      <c r="CW51" s="108" t="str">
        <f>IF(CI51="","",VLOOKUP(CI51,DATAPENG!$CP$3:$CQ$12,2,FALSE))</f>
        <v>pengetahuan bahasa jawa 4</v>
      </c>
      <c r="CX51" s="108" t="str">
        <f>IF(CJ51="","",VLOOKUP(CJ51,DATAPENG!$CP$3:$CQ$12,2,FALSE))</f>
        <v>pengetahuan bahasa jawa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bahasa jawa 2, dan perlu ditingkatkan dalam pengetahuan bahasa jawa 10</v>
      </c>
      <c r="CW52" s="108" t="str">
        <f>IF(CI52="","",VLOOKUP(CI52,DATAPENG!$CR$3:$CS$12,2,FALSE))</f>
        <v>pengetahuan bahasa jawa 2</v>
      </c>
      <c r="CX52" s="108" t="str">
        <f>IF(CJ52="","",VLOOKUP(CJ52,DATAPENG!$CR$3:$CS$12,2,FALSE))</f>
        <v>pengetahuan bahasa jawa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bahasa jawa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bahasa jawa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bahasa jawa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bahasa jawa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bahasa jawa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bahasa jawa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bahasa jawa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bahasa jawa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bahasa jawa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bahasa jawa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bahasa jawa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bahasa jawa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bahasa jawa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bahasa jawa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bahasa jawa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bahasa jawa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bahasa jawa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bahasa jawa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bahasa jawa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bahasa jawa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bahasa jawa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bahasa jawa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bahasa jawa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bahasa jawa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bahasa jawa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bahasa jawa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bahasa jawa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bahasa jawa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bahasa jawa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bahasa jawa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bahasa jawa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bahasa jawa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bahasa jawa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bahasa jawa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bahasa jawa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bahasa jawa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bahasa jawa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bahasa jawa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bahasa jawa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bahasa jawa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bahasa jawa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bahasa jawa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bahasa jawa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bahasa jawa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bahasa jawa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bahasa jawa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bahasa jawa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bahasa jawa 1</v>
      </c>
    </row>
    <row r="4" spans="1:97">
      <c r="A4" s="72">
        <v>2</v>
      </c>
      <c r="B4" s="89">
        <f>IF('Input Nilai Pengetahuan'!U5="","",'Input Nilai Pengetahuan'!U5)</f>
        <v>98</v>
      </c>
      <c r="C4" s="89" t="str">
        <f>IF(B4="","",IF('Input Nilai Pengetahuan'!$N$1="","",'Input Nilai Pengetahuan'!$N$1))</f>
        <v>pengetahuan bahasa jawa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bahasa jawa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bahasa jawa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bahasa jawa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bahasa jawa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bahasa jawa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bahasa jawa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bahasa jawa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bahasa jawa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bahasa jawa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bahasa jawa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bahasa jawa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bahasa jawa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bahasa jawa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bahasa jawa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bahasa jawa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bahasa jawa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bahasa jawa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bahasa jawa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bahasa jawa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bahasa jawa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bahasa jawa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bahasa jawa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bahasa jawa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bahasa jawa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bahasa jawa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bahasa jawa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bahasa jawa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bahasa jawa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bahasa jawa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bahasa jawa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bahasa jawa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bahasa jawa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bahasa jawa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bahasa jawa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bahasa jawa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bahasa jawa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bahasa jawa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bahasa jawa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bahasa jawa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bahasa jawa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bahasa jawa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bahasa jawa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bahasa jawa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bahasa jawa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bahasa jawa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bahasa jawa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bahasa jawa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bahasa jawa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bahasa jawa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bahasa jawa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bahasa jawa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bahasa jawa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bahasa jawa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bahasa jawa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bahasa jawa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bahasa jawa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bahasa jawa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bahasa jawa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bahasa jawa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bahasa jawa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bahasa jawa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bahasa jawa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bahasa jawa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bahasa jawa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bahasa jawa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bahasa jawa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bahasa jawa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bahasa jawa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bahasa jawa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bahasa jawa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bahasa jawa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bahasa jawa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bahasa jawa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bahasa jawa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bahasa jawa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bahasa jawa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bahasa jawa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bahasa jawa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bahasa jawa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bahasa jawa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bahasa jawa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bahasa jawa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bahasa jawa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bahasa jawa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bahasa jawa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bahasa jawa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bahasa jawa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bahasa jawa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bahasa jawa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bahasa jawa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bahasa jawa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bahasa jawa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bahasa jawa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bahasa jawa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bahasa jawa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bahasa jawa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bahasa jawa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bahasa jawa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bahasa jawa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bahasa jawa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bahasa jawa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bahasa jawa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bahasa jawa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bahasa jawa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bahasa jawa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bahasa jawa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bahasa jawa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bahasa jawa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bahasa jawa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bahasa jawa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bahasa jawa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bahasa jawa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bahasa jawa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bahasa jawa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bahasa jawa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bahasa jawa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bahasa jawa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bahasa jawa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bahasa jawa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bahasa jawa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bahasa jawa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bahasa jawa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bahasa jawa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bahasa jawa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bahasa jawa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bahasa jawa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bahasa jawa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bahasa jawa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bahasa jawa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bahasa jawa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bahasa jawa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bahasa jawa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bahasa jawa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bahasa jawa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bahasa jawa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bahasa jawa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bahasa jawa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bahasa jawa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bahasa jawa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bahasa jawa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bahasa jawa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bahasa jawa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bahasa jawa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bahasa jawa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bahasa jawa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bahasa jawa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bahasa jawa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bahasa jawa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bahasa jawa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bahasa jawa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bahasa jawa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bahasa jawa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bahasa jawa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bahasa jawa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bahasa jawa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bahasa jawa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bahasa jawa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bahasa jawa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bahasa jawa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bahasa jawa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bahasa jawa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bahasa jawa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bahasa jawa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bahasa jawa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bahasa jawa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bahasa jawa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bahasa jawa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bahasa jawa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bahasa jawa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bahasa jawa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bahasa jawa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bahasa jawa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bahasa jawa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bahasa jawa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bahasa jawa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bahasa jawa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bahasa jawa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bahasa jawa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bahasa jawa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bahasa jawa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bahasa jawa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bahasa jawa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bahasa jawa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bahasa jawa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bahasa jawa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bahasa jawa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bahasa jawa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bahasa jawa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bahasa jawa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bahasa jawa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bahasa jawa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bahasa jawa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bahasa jawa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bahasa jawa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bahasa jawa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bahasa jawa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bahasa jawa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bahasa jawa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bahasa jawa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bahasa jawa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bahasa jawa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bahasa jawa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bahasa jawa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bahasa jawa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bahasa jawa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bahasa jawa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bahasa jawa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bahasa jawa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bahasa jawa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bahasa jawa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bahasa jawa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bahasa jawa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bahasa jawa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bahasa jawa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bahasa jawa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bahasa jawa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bahasa jawa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bahasa jawa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bahasa jawa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bahasa jawa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bahasa jawa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bahasa jawa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bahasa jawa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bahasa jawa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bahasa jawa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bahasa jawa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bahasa jawa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bahasa jawa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bahasa jawa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bahasa jawa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bahasa jawa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bahasa jawa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bahasa jawa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bahasa jawa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bahasa jawa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bahasa jawa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bahasa jawa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bahasa jawa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bahasa jawa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bahasa jawa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bahasa jawa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bahasa jawa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bahasa jawa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bahasa jawa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bahasa jawa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bahasa jawa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bahasa jawa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bahasa jawa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bahasa jawa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bahasa jawa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bahasa jawa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bahasa jawa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bahasa jawa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bahasa jawa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bahasa jawa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bahasa jawa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bahasa jawa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bahasa jawa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bahasa jawa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bahasa jawa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bahasa jawa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bahasa jawa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bahasa jawa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bahasa jawa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bahasa jawa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bahasa jawa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bahasa jawa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bahasa jawa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bahasa jawa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bahasa jawa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bahasa jawa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bahasa jawa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bahasa jawa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bahasa jawa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bahasa jawa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bahasa jawa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bahasa jawa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bahasa jawa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bahasa jawa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bahasa jawa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bahasa jawa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bahasa jawa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bahasa jawa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bahasa jawa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bahasa jawa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bahasa jawa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bahasa jawa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bahasa jawa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bahasa jawa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bahasa jawa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bahasa jawa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bahasa jawa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bahasa jawa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bahasa jawa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bahasa jawa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bahasa jawa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bahasa jawa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bahasa jawa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bahasa jawa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bahasa jawa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bahasa jawa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bahasa jawa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bahasa jawa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bahasa jawa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bahasa jawa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bahasa jawa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bahasa jawa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bahasa jawa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bahasa jawa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bahasa jawa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bahasa jawa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bahasa jawa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bahasa jawa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bahasa jawa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bahasa jawa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bahasa jawa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bahasa jawa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bahasa jawa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bahasa jawa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bahasa jawa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bahasa jawa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bahasa jawa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bahasa jawa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bahasa jawa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bahasa jawa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bahasa jawa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bahasa jawa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bahasa jawa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bahasa jawa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bahasa jawa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bahasa jawa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bahasa jawa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bahasa jawa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bahasa jawa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bahasa jawa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bahasa jawa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bahasa jawa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bahasa jawa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bahasa jawa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bahasa jawa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bahasa jawa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bahasa jawa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bahasa jawa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bahasa jawa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bahasa jawa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bahasa jawa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bahasa jawa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bahasa jawa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bahasa jawa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bahasa jawa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bahasa jawa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bahasa jawa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bahasa jawa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bahasa jawa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bahasa jawa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bahasa jawa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bahasa jawa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bahasa jawa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bahasa jawa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bahasa jawa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bahasa jawa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bahasa jawa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bahasa jawa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bahasa jawa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bahasa jawa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bahasa jawa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bahasa jawa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bahasa jawa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bahasa jawa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bahasa jawa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bahasa jawa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bahasa jawa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bahasa jawa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bahasa jawa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bahasa jawa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bahasa jawa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bahasa jawa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bahasa jawa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bahasa jawa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bahasa jawa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bahasa jawa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bahasa jawa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bahasa jawa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bahasa jawa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bahasa jawa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bahasa jawa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bahasa jawa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bahasa jawa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bahasa jawa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bahasa jawa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bahasa jawa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bahasa jawa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bahasa jawa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bahasa jawa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bahasa jawa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bahasa jawa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bahasa jawa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bahasa jawa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bahasa jawa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bahasa jawa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bahasa jawa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bahasa jawa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bahasa jawa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bahasa jawa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bahasa jawa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bahasa jawa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bahasa jawa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bahasa jawa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bahasa jawa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bahasa jawa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bahasa jawa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bahasa jawa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bahasa jawa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bahasa jawa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bahasa jawa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bahasa jawa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bahasa jawa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bahasa jawa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bahasa jawa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bahasa jawa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bahasa jawa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bahasa jawa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bahasa jawa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bahasa jawa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bahasa jawa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bahasa jawa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bahasa jawa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bahasa jawa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bahasa jawa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bahasa jawa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bahasa jawa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bahasa jawa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I5" sqref="I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bahasa jawa 1</v>
      </c>
      <c r="G1" s="629"/>
      <c r="H1" s="629"/>
      <c r="I1" s="629"/>
      <c r="J1" s="618" t="s">
        <v>7</v>
      </c>
      <c r="K1" s="629" t="str">
        <f>IF(KDOKE!B30="","",KDOKE!B30)</f>
        <v>ketrampilan bahasa jawa 2</v>
      </c>
      <c r="L1" s="629"/>
      <c r="M1" s="629"/>
      <c r="N1" s="629"/>
      <c r="O1" s="618" t="s">
        <v>7</v>
      </c>
      <c r="P1" s="629" t="str">
        <f>IF(KDOKE!B31="","",KDOKE!B31)</f>
        <v>ketrampilan bahasa jawa 3</v>
      </c>
      <c r="Q1" s="629"/>
      <c r="R1" s="629"/>
      <c r="S1" s="629"/>
      <c r="T1" s="618" t="s">
        <v>7</v>
      </c>
      <c r="U1" s="629" t="str">
        <f>IF(KDOKE!B32="","",KDOKE!B32)</f>
        <v>ketrampilan bahasa jawa 4</v>
      </c>
      <c r="V1" s="629"/>
      <c r="W1" s="629"/>
      <c r="X1" s="629"/>
      <c r="Y1" s="618" t="s">
        <v>7</v>
      </c>
      <c r="Z1" s="629" t="str">
        <f>IF(KDOKE!B33="","",KDOKE!B33)</f>
        <v>ketrampilan bahasa jawa 5</v>
      </c>
      <c r="AA1" s="629"/>
      <c r="AB1" s="629"/>
      <c r="AC1" s="629"/>
      <c r="AD1" s="618" t="s">
        <v>7</v>
      </c>
      <c r="AE1" s="629" t="str">
        <f>IF(KDOKE!B34="","",KDOKE!B34)</f>
        <v>ketrampilan bahasa jawa 6</v>
      </c>
      <c r="AF1" s="629"/>
      <c r="AG1" s="629"/>
      <c r="AH1" s="629"/>
      <c r="AI1" s="618" t="s">
        <v>7</v>
      </c>
      <c r="AJ1" s="629" t="str">
        <f>IF(KDOKE!B35="","",KDOKE!B35)</f>
        <v>ketrampilan bahasa jawa 7</v>
      </c>
      <c r="AK1" s="629"/>
      <c r="AL1" s="629"/>
      <c r="AM1" s="629"/>
      <c r="AN1" s="618" t="s">
        <v>7</v>
      </c>
      <c r="AO1" s="629" t="str">
        <f>IF(KDOKE!B36="","",KDOKE!B36)</f>
        <v>ketrampilan bahasa jawa 8</v>
      </c>
      <c r="AP1" s="629"/>
      <c r="AQ1" s="629"/>
      <c r="AR1" s="629"/>
      <c r="AS1" s="622" t="s">
        <v>7</v>
      </c>
      <c r="AT1" s="629" t="str">
        <f>IF(KDOKE!B37="","",KDOKE!B37)</f>
        <v>ketrampilan bahasa jawa 9</v>
      </c>
      <c r="AU1" s="629"/>
      <c r="AV1" s="629"/>
      <c r="AW1" s="629"/>
      <c r="AX1" s="622" t="s">
        <v>7</v>
      </c>
      <c r="AY1" s="629" t="str">
        <f>IF(KDOKE!B38="","",KDOKE!B38)</f>
        <v>ketrampilan bahasa jawa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>
        <v>80</v>
      </c>
      <c r="H5" s="90">
        <v>60</v>
      </c>
      <c r="I5" s="90"/>
      <c r="J5" s="311">
        <f>IF(AND(F5="",G5="",H5="",I5=""),"",AVERAGE(F5:I5))</f>
        <v>76.666666666666671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84.216666666666669</v>
      </c>
      <c r="BF5" s="314">
        <f>IF(BE5="","",ROUND(BE5,0))</f>
        <v>84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bahasa jawa 4</v>
      </c>
      <c r="BK5" s="104" t="str">
        <f>IF(BF5="","",BI5&amp;" "&amp;BJ5)</f>
        <v>cukup terampil ketrampilan bahasa jawa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bahasa jawa 7</v>
      </c>
      <c r="BK6" s="104" t="str">
        <f t="shared" ref="BK6:BK52" si="14">IF(BF6="","",BI6&amp;" "&amp;BJ6)</f>
        <v>cukup terampil ketrampilan bahasa jawa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bahasa jawa 1</v>
      </c>
      <c r="BK7" s="104" t="str">
        <f t="shared" si="14"/>
        <v>terampil ketrampilan bahasa jawa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bahasa jawa 1</v>
      </c>
      <c r="BK8" s="104" t="str">
        <f t="shared" si="14"/>
        <v>cukup terampil ketrampilan bahasa jawa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bahasa jawa 7</v>
      </c>
      <c r="BK9" s="104" t="str">
        <f t="shared" si="14"/>
        <v>kurang terampil ketrampilan bahasa jawa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bahasa jawa 2</v>
      </c>
      <c r="BK10" s="104" t="str">
        <f t="shared" si="14"/>
        <v>cukup terampil ketrampilan bahasa jawa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bahasa jawa 4</v>
      </c>
      <c r="BK11" s="104" t="str">
        <f t="shared" si="14"/>
        <v>cukup terampil ketrampilan bahasa jawa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bahasa jawa 4</v>
      </c>
      <c r="BK12" s="104" t="str">
        <f t="shared" si="14"/>
        <v>cukup terampil ketrampilan bahasa jawa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bahasa jawa 4</v>
      </c>
      <c r="BK13" s="104" t="str">
        <f t="shared" si="14"/>
        <v>cukup terampil ketrampilan bahasa jawa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bahasa jawa 7</v>
      </c>
      <c r="BK14" s="104" t="str">
        <f t="shared" si="14"/>
        <v>cukup terampil ketrampilan bahasa jawa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bahasa jawa 10</v>
      </c>
      <c r="BK15" s="104" t="str">
        <f t="shared" si="14"/>
        <v>kurang terampil ketrampilan bahasa jawa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bahasa jawa 1</v>
      </c>
      <c r="BK16" s="104" t="str">
        <f t="shared" si="14"/>
        <v>cukup terampil ketrampilan bahasa jawa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bahasa jawa 2</v>
      </c>
      <c r="BK17" s="104" t="str">
        <f t="shared" si="14"/>
        <v>cukup terampil ketrampilan bahasa jawa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bahasa jawa 1</v>
      </c>
      <c r="BK18" s="104" t="str">
        <f t="shared" si="14"/>
        <v>cukup terampil ketrampilan bahasa jawa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bahasa jawa 1</v>
      </c>
      <c r="BK19" s="104" t="str">
        <f t="shared" si="14"/>
        <v>cukup terampil ketrampilan bahasa jawa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bahasa jawa 4</v>
      </c>
      <c r="BK20" s="104" t="str">
        <f t="shared" si="14"/>
        <v>cukup terampil ketrampilan bahasa jawa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bahasa jawa 1</v>
      </c>
      <c r="BK21" s="104" t="str">
        <f t="shared" si="14"/>
        <v>cukup terampil ketrampilan bahasa jawa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bahasa jawa 7</v>
      </c>
      <c r="BK22" s="104" t="str">
        <f t="shared" si="14"/>
        <v>cukup terampil ketrampilan bahasa jawa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bahasa jawa 4</v>
      </c>
      <c r="BK23" s="104" t="str">
        <f t="shared" si="14"/>
        <v>kurang terampil ketrampilan bahasa jawa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bahasa jawa 7</v>
      </c>
      <c r="BK24" s="104" t="str">
        <f t="shared" si="14"/>
        <v>cukup terampil ketrampilan bahasa jawa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bahasa jawa 1</v>
      </c>
      <c r="BK25" s="104" t="str">
        <f t="shared" si="14"/>
        <v>cukup terampil ketrampilan bahasa jawa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bahasa jawa 10</v>
      </c>
      <c r="BK26" s="104" t="str">
        <f t="shared" si="14"/>
        <v>cukup terampil ketrampilan bahasa jawa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bahasa jawa 4</v>
      </c>
      <c r="BK27" s="104" t="str">
        <f t="shared" si="14"/>
        <v>cukup terampil ketrampilan bahasa jawa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bahasa jawa 1</v>
      </c>
      <c r="BK28" s="104" t="str">
        <f t="shared" si="14"/>
        <v>cukup terampil ketrampilan bahasa jawa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bahasa jawa 7</v>
      </c>
      <c r="BK29" s="104" t="str">
        <f t="shared" si="14"/>
        <v>cukup terampil ketrampilan bahasa jawa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bahasa jawa 4</v>
      </c>
      <c r="BK30" s="104" t="str">
        <f t="shared" si="14"/>
        <v>cukup terampil ketrampilan bahasa jawa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bahasa jawa 4</v>
      </c>
      <c r="BK31" s="104" t="str">
        <f t="shared" si="14"/>
        <v>terampil ketrampilan bahasa jawa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bahasa jawa 10</v>
      </c>
      <c r="BK32" s="104" t="str">
        <f t="shared" si="14"/>
        <v>cukup terampil ketrampilan bahasa jawa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bahasa jawa 9</v>
      </c>
      <c r="BK33" s="104" t="str">
        <f t="shared" si="14"/>
        <v>cukup terampil ketrampilan bahasa jawa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bahasa jawa 1</v>
      </c>
      <c r="BK34" s="104" t="str">
        <f t="shared" si="14"/>
        <v>cukup terampil ketrampilan bahasa jawa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bahasa jawa 2</v>
      </c>
      <c r="BK35" s="104" t="str">
        <f t="shared" si="14"/>
        <v>terampil ketrampilan bahasa jawa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bahasa jawa 4</v>
      </c>
      <c r="BK36" s="104" t="str">
        <f t="shared" si="14"/>
        <v>cukup terampil ketrampilan bahasa jawa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bahasa jawa 1</v>
      </c>
      <c r="BK37" s="104" t="str">
        <f t="shared" si="14"/>
        <v>terampil ketrampilan bahasa jawa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bahasa jawa 7</v>
      </c>
      <c r="BK38" s="104" t="str">
        <f t="shared" si="14"/>
        <v>kurang terampil ketrampilan bahasa jawa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bahasa jawa 4</v>
      </c>
      <c r="BK39" s="104" t="str">
        <f t="shared" si="14"/>
        <v>cukup terampil ketrampilan bahasa jawa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bahasa jawa 1</v>
      </c>
      <c r="BK40" s="104" t="str">
        <f t="shared" si="14"/>
        <v>kurang terampil ketrampilan bahasa jawa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bahasa jawa 3</v>
      </c>
      <c r="BK41" s="104" t="str">
        <f t="shared" si="14"/>
        <v>cukup terampil ketrampilan bahasa jawa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bahasa jawa 1</v>
      </c>
      <c r="BK42" s="104" t="str">
        <f t="shared" si="14"/>
        <v>cukup terampil ketrampilan bahasa jawa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bahasa jawa 4</v>
      </c>
      <c r="BK43" s="104" t="str">
        <f t="shared" si="14"/>
        <v>cukup terampil ketrampilan bahasa jawa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bahasa jawa 2</v>
      </c>
      <c r="BK44" s="104" t="str">
        <f t="shared" si="14"/>
        <v>cukup terampil ketrampilan bahasa jawa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bahasa jawa 10</v>
      </c>
      <c r="BK45" s="104" t="str">
        <f t="shared" si="14"/>
        <v>cukup terampil ketrampilan bahasa jawa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bahasa jawa 4</v>
      </c>
      <c r="BK46" s="104" t="str">
        <f t="shared" si="14"/>
        <v>cukup terampil ketrampilan bahasa jawa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bahasa jawa 4</v>
      </c>
      <c r="BK47" s="104" t="str">
        <f t="shared" si="14"/>
        <v>cukup terampil ketrampilan bahasa jawa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bahasa jawa 2</v>
      </c>
      <c r="BK48" s="104" t="str">
        <f t="shared" si="14"/>
        <v>cukup terampil ketrampilan bahasa jawa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bahasa jawa 5</v>
      </c>
      <c r="BK49" s="104" t="str">
        <f t="shared" si="14"/>
        <v>cukup terampil ketrampilan bahasa jawa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bahasa jawa 10</v>
      </c>
      <c r="BK50" s="104" t="str">
        <f t="shared" si="14"/>
        <v>cukup terampil ketrampilan bahasa jawa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bahasa jawa 4</v>
      </c>
      <c r="BK51" s="104" t="str">
        <f t="shared" si="14"/>
        <v>cukup terampil ketrampilan bahasa jawa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bahasa jawa 2</v>
      </c>
      <c r="BK52" s="104" t="str">
        <f t="shared" si="14"/>
        <v>cukup terampil ketrampilan bahasa jawa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76.666666666666671</v>
      </c>
      <c r="C3" s="89" t="str">
        <f>IF(B3="","",IF('Input Nilai Ketrampilan'!$F$1="","",'Input Nilai Ketrampilan'!$F$1))</f>
        <v>ketrampilan bahasa jawa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bahasa jawa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bahasa jawa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bahasa jawa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bahasa jawa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bahasa jawa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bahasa jawa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bahasa jawa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bahasa jawa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bahasa jawa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bahasa jawa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bahasa jawa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bahasa jawa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bahasa jawa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bahasa jawa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bahasa jawa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bahasa jawa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bahasa jawa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bahasa jawa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bahasa jawa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bahasa jawa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bahasa jawa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bahasa jawa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bahasa jawa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bahasa jawa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bahasa jawa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bahasa jawa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bahasa jawa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bahasa jawa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bahasa jawa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bahasa jawa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bahasa jawa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bahasa jawa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bahasa jawa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bahasa jawa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bahasa jawa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bahasa jawa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bahasa jawa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bahasa jawa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bahasa jawa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bahasa jawa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bahasa jawa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bahasa jawa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bahasa jawa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bahasa jawa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bahasa jawa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bahasa jawa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bahasa jawa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bahasa jawa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bahasa jawa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bahasa jawa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bahasa jawa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bahasa jawa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bahasa jawa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bahasa jawa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bahasa jawa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bahasa jawa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bahasa jawa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bahasa jawa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bahasa jawa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bahasa jawa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bahasa jawa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bahasa jawa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bahasa jawa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bahasa jawa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bahasa jawa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bahasa jawa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bahasa jawa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bahasa jawa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bahasa jawa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bahasa jawa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bahasa jawa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bahasa jawa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bahasa jawa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bahasa jawa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bahasa jawa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bahasa jawa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bahasa jawa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bahasa jawa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bahasa jawa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bahasa jawa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bahasa jawa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bahasa jawa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bahasa jawa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bahasa jawa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bahasa jawa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bahasa jawa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bahasa jawa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bahasa jawa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bahasa jawa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bahasa jawa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bahasa jawa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bahasa jawa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bahasa jawa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bahasa jawa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bahasa jawa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bahasa jawa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bahasa jawa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bahasa jawa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bahasa jawa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bahasa jawa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bahasa jawa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bahasa jawa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bahasa jawa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bahasa jawa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bahasa jawa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bahasa jawa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bahasa jawa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bahasa jawa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bahasa jawa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bahasa jawa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bahasa jawa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bahasa jawa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bahasa jawa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bahasa jawa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bahasa jawa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bahasa jawa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bahasa jawa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bahasa jawa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bahasa jawa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bahasa jawa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bahasa jawa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bahasa jawa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bahasa jawa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bahasa jawa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bahasa jawa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bahasa jawa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bahasa jawa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bahasa jawa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bahasa jawa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bahasa jawa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bahasa jawa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bahasa jawa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bahasa jawa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bahasa jawa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bahasa jawa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bahasa jawa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bahasa jawa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bahasa jawa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bahasa jawa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bahasa jawa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bahasa jawa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bahasa jawa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bahasa jawa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bahasa jawa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bahasa jawa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bahasa jawa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bahasa jawa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bahasa jawa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bahasa jawa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bahasa jawa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bahasa jawa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bahasa jawa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bahasa jawa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bahasa jawa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bahasa jawa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bahasa jawa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bahasa jawa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bahasa jawa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bahasa jawa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bahasa jawa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bahasa jawa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bahasa jawa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bahasa jawa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bahasa jawa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bahasa jawa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bahasa jawa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bahasa jawa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bahasa jawa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bahasa jawa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bahasa jawa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bahasa jawa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bahasa jawa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bahasa jawa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bahasa jawa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bahasa jawa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bahasa jawa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bahasa jawa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bahasa jawa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bahasa jawa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bahasa jawa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bahasa jawa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bahasa jawa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bahasa jawa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bahasa jawa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bahasa jawa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bahasa jawa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bahasa jawa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bahasa jawa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bahasa jawa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bahasa jawa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bahasa jawa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bahasa jawa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bahasa jawa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bahasa jawa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bahasa jawa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bahasa jawa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bahasa jawa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bahasa jawa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bahasa jawa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bahasa jawa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bahasa jawa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bahasa jawa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bahasa jawa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bahasa jawa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bahasa jawa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bahasa jawa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bahasa jawa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bahasa jawa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bahasa jawa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bahasa jawa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bahasa jawa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bahasa jawa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bahasa jawa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bahasa jawa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bahasa jawa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bahasa jawa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bahasa jawa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bahasa jawa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bahasa jawa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bahasa jawa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bahasa jawa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bahasa jawa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bahasa jawa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bahasa jawa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bahasa jawa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bahasa jawa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bahasa jawa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bahasa jawa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bahasa jawa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bahasa jawa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bahasa jawa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bahasa jawa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bahasa jawa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bahasa jawa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bahasa jawa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bahasa jawa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bahasa jawa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bahasa jawa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bahasa jawa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bahasa jawa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bahasa jawa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bahasa jawa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bahasa jawa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bahasa jawa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bahasa jawa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bahasa jawa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bahasa jawa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bahasa jawa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bahasa jawa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bahasa jawa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bahasa jawa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bahasa jawa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bahasa jawa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bahasa jawa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bahasa jawa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bahasa jawa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bahasa jawa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bahasa jawa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bahasa jawa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bahasa jawa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bahasa jawa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bahasa jawa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bahasa jawa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bahasa jawa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bahasa jawa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bahasa jawa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bahasa jawa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bahasa jawa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bahasa jawa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bahasa jawa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bahasa jawa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bahasa jawa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bahasa jawa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bahasa jawa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bahasa jawa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bahasa jawa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bahasa jawa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bahasa jawa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bahasa jawa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bahasa jawa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bahasa jawa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bahasa jawa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bahasa jawa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bahasa jawa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bahasa jawa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bahasa jawa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bahasa jawa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bahasa jawa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bahasa jawa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bahasa jawa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bahasa jawa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bahasa jawa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bahasa jawa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bahasa jawa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bahasa jawa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bahasa jawa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bahasa jawa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bahasa jawa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bahasa jawa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bahasa jawa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bahasa jawa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bahasa jawa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bahasa jawa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bahasa jawa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bahasa jawa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bahasa jawa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bahasa jawa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bahasa jawa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bahasa jawa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bahasa jawa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bahasa jawa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bahasa jawa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bahasa jawa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bahasa jawa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bahasa jawa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bahasa jawa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bahasa jawa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bahasa jawa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bahasa jawa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bahasa jawa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bahasa jawa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bahasa jawa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bahasa jawa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bahasa jawa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bahasa jawa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bahasa jawa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bahasa jawa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bahasa jawa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bahasa jawa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bahasa jawa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bahasa jawa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bahasa jawa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bahasa jawa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bahasa jawa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bahasa jawa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bahasa jawa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bahasa jawa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bahasa jawa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bahasa jawa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bahasa jawa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bahasa jawa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bahasa jawa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bahasa jawa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bahasa jawa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bahasa jawa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bahasa jawa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bahasa jawa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bahasa jawa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bahasa jawa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bahasa jawa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bahasa jawa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bahasa jawa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bahasa jawa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bahasa jawa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bahasa jawa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bahasa jawa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bahasa jawa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bahasa jawa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bahasa jawa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bahasa jawa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bahasa jawa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bahasa jawa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bahasa jawa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bahasa jawa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bahasa jawa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bahasa jawa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bahasa jawa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bahasa jawa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bahasa jawa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bahasa jawa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bahasa jawa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bahasa jawa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bahasa jawa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bahasa jawa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bahasa jawa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bahasa jawa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bahasa jawa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bahasa jawa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bahasa jawa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bahasa jawa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bahasa jawa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bahasa jawa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bahasa jawa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bahasa jawa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bahasa jawa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bahasa jawa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bahasa jawa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bahasa jawa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bahasa jawa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bahasa jawa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bahasa jawa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bahasa jawa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bahasa jawa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bahasa jawa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bahasa jawa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bahasa jawa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bahasa jawa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bahasa jawa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bahasa jawa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bahasa jawa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bahasa jawa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bahasa jawa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bahasa jawa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bahasa jawa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bahasa jawa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bahasa jawa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bahasa jawa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bahasa jawa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bahasa jawa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bahasa jawa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bahasa jawa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bahasa jawa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bahasa jawa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bahasa jawa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bahasa jawa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bahasa jawa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bahasa jawa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bahasa jawa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bahasa jawa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bahasa jawa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bahasa jawa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bahasa jawa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bahasa jawa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bahasa jawa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bahasa jawa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bahasa jawa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bahasa jawa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bahasa jawa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bahasa jawa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bahasa jawa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bahasa jawa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bahasa jawa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bahasa jawa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bahasa jawa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bahasa jawa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bahasa jawa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bahasa jawa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bahasa jawa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bahasa jawa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bahasa jawa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bahasa jawa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bahasa jawa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bahasa jawa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bahasa jawa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bahasa jawa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bahasa jawa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bahasa jawa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bahasa jawa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bahasa jawa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bahasa jawa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bahasa jawa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bahasa jawa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bahasa jawa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bahasa jawa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bahasa jawa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bahasa jawa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bahasa jawa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bahasa jawa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bahasa jawa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bahasa jawa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bahasa jawa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bahasa jawa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bahasa jawa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bahasa jawa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bahasa jawa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bahasa jawa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bahasa jawa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bahasa jawa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bahasa jawa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bahasa jawa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bahasa jawa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bahasa jawa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bahasa jawa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bahasa jawa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bahasa jawa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bahasa jawa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bahasa jawa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bahasa jawa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bahasa jawa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bahasa jawa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2017-06-06T21:51:19Z</dcterms:modified>
</cp:coreProperties>
</file>