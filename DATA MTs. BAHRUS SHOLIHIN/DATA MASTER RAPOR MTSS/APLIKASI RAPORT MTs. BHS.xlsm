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drawings/drawing19.xml" ContentType="application/vnd.openxmlformats-officedocument.drawing+xml"/>
  <Override PartName="/xl/comments8.xml" ContentType="application/vnd.openxmlformats-officedocument.spreadsheetml.comment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drawings/drawing4.xml" ContentType="application/vnd.openxmlformats-officedocument.drawing+xml"/>
  <Override PartName="/xl/drawings/drawing17.xml" ContentType="application/vnd.openxmlformats-officedocument.drawing+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drawings/drawing26.xml" ContentType="application/vnd.openxmlformats-officedocument.drawing+xml"/>
  <Override PartName="/xl/worksheets/sheet3.xml" ContentType="application/vnd.openxmlformats-officedocument.spreadsheetml.worksheet+xml"/>
  <Override PartName="/xl/comments2.xml" ContentType="application/vnd.openxmlformats-officedocument.spreadsheetml.comments+xml"/>
  <Override PartName="/xl/drawings/drawing13.xml" ContentType="application/vnd.openxmlformats-officedocument.drawing+xml"/>
  <Override PartName="/xl/drawings/drawing22.xml" ContentType="application/vnd.openxmlformats-officedocument.drawing+xml"/>
  <Override PartName="/xl/drawings/drawing24.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drawings/drawing11.xml" ContentType="application/vnd.openxmlformats-officedocument.drawing+xml"/>
  <Override PartName="/xl/drawings/drawing20.xml" ContentType="application/vnd.openxmlformats-officedocument.drawing+xml"/>
  <Override PartName="/xl/worksheets/sheet19.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Override PartName="/xl/drawings/drawing5.xml" ContentType="application/vnd.openxmlformats-officedocument.drawing+xml"/>
  <Override PartName="/xl/drawings/drawing18.xml" ContentType="application/vnd.openxmlformats-officedocument.drawing+xml"/>
  <Override PartName="/xl/comments7.xml" ContentType="application/vnd.openxmlformats-officedocument.spreadsheetml.comments+xml"/>
  <Override PartName="/xl/drawings/drawing27.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drawings/drawing25.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drawings/drawing23.xml" ContentType="application/vnd.openxmlformats-officedocument.drawing+xml"/>
  <Default Extension="vml" ContentType="application/vnd.openxmlformats-officedocument.vmlDrawing"/>
  <Override PartName="/xl/comments1.xml" ContentType="application/vnd.openxmlformats-officedocument.spreadsheetml.comments+xml"/>
  <Override PartName="/xl/drawings/drawing12.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8C4F1C90-05EB-6A55-5F09-09C24B55AC0B}"/>
  <workbookPr codeName="ThisWorkbook" defaultThemeVersion="124226"/>
  <bookViews>
    <workbookView showSheetTabs="0" xWindow="-15" yWindow="-15" windowWidth="10980" windowHeight="7545"/>
  </bookViews>
  <sheets>
    <sheet name="menu" sheetId="28" r:id="rId1"/>
    <sheet name="profil" sheetId="46" r:id="rId2"/>
    <sheet name="KDOKE" sheetId="43" r:id="rId3"/>
    <sheet name="LIHAT" sheetId="42" r:id="rId4"/>
    <sheet name="DATA SISWA" sheetId="18" r:id="rId5"/>
    <sheet name="UTSangka" sheetId="34" r:id="rId6"/>
    <sheet name="NILAI_JADI" sheetId="31" r:id="rId7"/>
    <sheet name="Form Nilai Pengetahuan" sheetId="38" r:id="rId8"/>
    <sheet name="Input Nilai Pengetahuan" sheetId="6" r:id="rId9"/>
    <sheet name="DATAPENG" sheetId="44" state="hidden" r:id="rId10"/>
    <sheet name="Sheet1" sheetId="33" r:id="rId11"/>
    <sheet name="Form NilKet" sheetId="39" r:id="rId12"/>
    <sheet name="Input Nilai Ketrampilan" sheetId="8" r:id="rId13"/>
    <sheet name="DATAKET" sheetId="45" state="hidden" r:id="rId14"/>
    <sheet name="proyek" sheetId="17" r:id="rId15"/>
    <sheet name="praktek" sheetId="16" r:id="rId16"/>
    <sheet name="form penilaian teman" sheetId="19" r:id="rId17"/>
    <sheet name="form penilaian diri" sheetId="20" r:id="rId18"/>
    <sheet name="rekap antar teman" sheetId="21" r:id="rId19"/>
    <sheet name="FORM Nil Sikap" sheetId="40" r:id="rId20"/>
    <sheet name="Input Nilai Sikap" sheetId="9" r:id="rId21"/>
    <sheet name="observasi2" sheetId="37" r:id="rId22"/>
    <sheet name="observasi1" sheetId="36" r:id="rId23"/>
    <sheet name="rekap observasi" sheetId="27" r:id="rId24"/>
    <sheet name="Sheet2" sheetId="35" r:id="rId25"/>
    <sheet name="REKAP PENILAIAN DIRI" sheetId="23" r:id="rId26"/>
    <sheet name="jurnal" sheetId="24" r:id="rId27"/>
    <sheet name="PORTOFOLIO" sheetId="30" r:id="rId28"/>
    <sheet name="FORM PORTOFOLIO" sheetId="29" r:id="rId29"/>
  </sheets>
  <externalReferences>
    <externalReference r:id="rId30"/>
    <externalReference r:id="rId31"/>
  </externalReferences>
  <definedNames>
    <definedName name="_xlnm._FilterDatabase" localSheetId="4" hidden="1">'DATA SISWA'!$A$4:$E$44</definedName>
    <definedName name="_xlnm._FilterDatabase" localSheetId="19" hidden="1">'FORM Nil Sikap'!$A$8:$AR$48</definedName>
    <definedName name="_xlnm._FilterDatabase" localSheetId="7" hidden="1">'Form Nilai Pengetahuan'!$A$7:$E$7</definedName>
    <definedName name="_xlnm._FilterDatabase" localSheetId="11" hidden="1">'Form NilKet'!$A$7:$U$47</definedName>
    <definedName name="_xlnm._FilterDatabase" localSheetId="12" hidden="1">'Input Nilai Ketrampilan'!$A$4:$BK$44</definedName>
    <definedName name="_xlnm._FilterDatabase" localSheetId="8" hidden="1">'Input Nilai Pengetahuan'!$A$4:$CX$4</definedName>
    <definedName name="_xlnm._FilterDatabase" localSheetId="20" hidden="1">'Input Nilai Sikap'!$A$6:$AL$46</definedName>
    <definedName name="KD">#REF!</definedName>
    <definedName name="nilai_jadi">NILAI_JADI!$A$14:$S$61</definedName>
    <definedName name="_xlnm.Print_Area" localSheetId="4">'DATA SISWA'!$A$1:$F$53</definedName>
    <definedName name="_xlnm.Print_Area" localSheetId="17">'form penilaian diri'!$A$1:$G$64</definedName>
    <definedName name="_xlnm.Print_Area" localSheetId="16">'form penilaian teman'!$A$1:$F$56</definedName>
    <definedName name="_xlnm.Print_Area" localSheetId="28">'FORM PORTOFOLIO'!$A$1:$L$70</definedName>
    <definedName name="_xlnm.Print_Area" localSheetId="12">'Input Nilai Ketrampilan'!$A$1:$BK$52</definedName>
    <definedName name="_xlnm.Print_Area" localSheetId="20">'Input Nilai Sikap'!$A$1:$AL$54</definedName>
    <definedName name="_xlnm.Print_Area" localSheetId="3">LIHAT!$B$1:$N$14</definedName>
    <definedName name="_xlnm.Print_Titles" localSheetId="19">'FORM Nil Sikap'!$A:$D</definedName>
    <definedName name="_xlnm.Print_Titles" localSheetId="26">jurnal!$1:$4</definedName>
  </definedNames>
  <calcPr calcId="124519"/>
  <fileRecoveryPr autoRecover="0"/>
</workbook>
</file>

<file path=xl/calcChain.xml><?xml version="1.0" encoding="utf-8"?>
<calcChain xmlns="http://schemas.openxmlformats.org/spreadsheetml/2006/main">
  <c r="CD52" i="6"/>
  <c r="CD51"/>
  <c r="CG51" s="1"/>
  <c r="CD50"/>
  <c r="CD49"/>
  <c r="CD48"/>
  <c r="CG47"/>
  <c r="CD47"/>
  <c r="CD46"/>
  <c r="CD45"/>
  <c r="CD44"/>
  <c r="CG43"/>
  <c r="CD43"/>
  <c r="CD42"/>
  <c r="CD41"/>
  <c r="CD40"/>
  <c r="CG39"/>
  <c r="CD39"/>
  <c r="CD38"/>
  <c r="CD37"/>
  <c r="CD36"/>
  <c r="CG35"/>
  <c r="CD35"/>
  <c r="CD34"/>
  <c r="CD33"/>
  <c r="CD32"/>
  <c r="CG31"/>
  <c r="CD31"/>
  <c r="CD30"/>
  <c r="CD29"/>
  <c r="CD28"/>
  <c r="CG27"/>
  <c r="CD27"/>
  <c r="CD26"/>
  <c r="CD25"/>
  <c r="CD24"/>
  <c r="CG23"/>
  <c r="CD23"/>
  <c r="CD22"/>
  <c r="CD21"/>
  <c r="CD20"/>
  <c r="CG19"/>
  <c r="CD19"/>
  <c r="CD18"/>
  <c r="CD17"/>
  <c r="CD16"/>
  <c r="CG15"/>
  <c r="CD15"/>
  <c r="CD14"/>
  <c r="CD13"/>
  <c r="CD12"/>
  <c r="CG11"/>
  <c r="CD11"/>
  <c r="CD10"/>
  <c r="CD9"/>
  <c r="CD8"/>
  <c r="CG7"/>
  <c r="CD7"/>
  <c r="CD6"/>
  <c r="CD5"/>
  <c r="BV52"/>
  <c r="BY51"/>
  <c r="BV51"/>
  <c r="BV50"/>
  <c r="BV49"/>
  <c r="BV48"/>
  <c r="BY47"/>
  <c r="BV47"/>
  <c r="BV46"/>
  <c r="BV45"/>
  <c r="BV44"/>
  <c r="BY43"/>
  <c r="BV43"/>
  <c r="BV42"/>
  <c r="BV41"/>
  <c r="BV40"/>
  <c r="BY39"/>
  <c r="BV39"/>
  <c r="BV38"/>
  <c r="BV37"/>
  <c r="BV36"/>
  <c r="BY35"/>
  <c r="BV35"/>
  <c r="BV34"/>
  <c r="BV33"/>
  <c r="BV32"/>
  <c r="BY31"/>
  <c r="BV31"/>
  <c r="BV30"/>
  <c r="BV29"/>
  <c r="BV28"/>
  <c r="BY27"/>
  <c r="BV27"/>
  <c r="BV26"/>
  <c r="BV25"/>
  <c r="BV24"/>
  <c r="BY23"/>
  <c r="BV23"/>
  <c r="BV22"/>
  <c r="BV21"/>
  <c r="BV20"/>
  <c r="BY19"/>
  <c r="BV19"/>
  <c r="BV18"/>
  <c r="BV17"/>
  <c r="BV16"/>
  <c r="BY15"/>
  <c r="BV15"/>
  <c r="BV14"/>
  <c r="BV13"/>
  <c r="BV12"/>
  <c r="BY11"/>
  <c r="BV11"/>
  <c r="BV10"/>
  <c r="BV9"/>
  <c r="BV8"/>
  <c r="BY7"/>
  <c r="BV7"/>
  <c r="BV6"/>
  <c r="BV5"/>
  <c r="BN52"/>
  <c r="BQ51"/>
  <c r="BN51"/>
  <c r="BN50"/>
  <c r="BN49"/>
  <c r="BN48"/>
  <c r="BQ47"/>
  <c r="BN47"/>
  <c r="BN46"/>
  <c r="BN45"/>
  <c r="BN44"/>
  <c r="BQ43"/>
  <c r="BN43"/>
  <c r="BN42"/>
  <c r="BN41"/>
  <c r="BN40"/>
  <c r="BQ39"/>
  <c r="BN39"/>
  <c r="BN38"/>
  <c r="BN37"/>
  <c r="BN36"/>
  <c r="BQ35"/>
  <c r="BN35"/>
  <c r="BN34"/>
  <c r="BN33"/>
  <c r="BN32"/>
  <c r="BQ31"/>
  <c r="BN31"/>
  <c r="BN30"/>
  <c r="BN29"/>
  <c r="BN28"/>
  <c r="BQ27"/>
  <c r="BN27"/>
  <c r="BN26"/>
  <c r="BN25"/>
  <c r="BN24"/>
  <c r="BQ23"/>
  <c r="BN23"/>
  <c r="BN22"/>
  <c r="BN21"/>
  <c r="BN20"/>
  <c r="BQ19"/>
  <c r="BN19"/>
  <c r="BN18"/>
  <c r="BN17"/>
  <c r="BN16"/>
  <c r="BQ15"/>
  <c r="BN15"/>
  <c r="BN14"/>
  <c r="BN13"/>
  <c r="BN12"/>
  <c r="BQ11"/>
  <c r="BN11"/>
  <c r="BN10"/>
  <c r="BN9"/>
  <c r="BN8"/>
  <c r="BQ7"/>
  <c r="BN7"/>
  <c r="BN6"/>
  <c r="BN5"/>
  <c r="BF52"/>
  <c r="BF51"/>
  <c r="BI51" s="1"/>
  <c r="BF50"/>
  <c r="BF49"/>
  <c r="BF48"/>
  <c r="BI47"/>
  <c r="BF47"/>
  <c r="BF46"/>
  <c r="BF45"/>
  <c r="BF44"/>
  <c r="BI43"/>
  <c r="BF43"/>
  <c r="BF42"/>
  <c r="BF41"/>
  <c r="BF40"/>
  <c r="BI39"/>
  <c r="BF39"/>
  <c r="BF38"/>
  <c r="BF37"/>
  <c r="BF36"/>
  <c r="BI35"/>
  <c r="BF35"/>
  <c r="BF34"/>
  <c r="BF33"/>
  <c r="BF32"/>
  <c r="BI31"/>
  <c r="BF31"/>
  <c r="BF30"/>
  <c r="BF29"/>
  <c r="BF28"/>
  <c r="BI27"/>
  <c r="BF27"/>
  <c r="BF26"/>
  <c r="BF25"/>
  <c r="BF24"/>
  <c r="BI23"/>
  <c r="BF23"/>
  <c r="BF22"/>
  <c r="BF21"/>
  <c r="BF20"/>
  <c r="BI19"/>
  <c r="BF19"/>
  <c r="BF18"/>
  <c r="BF17"/>
  <c r="BF16"/>
  <c r="BI15"/>
  <c r="BF15"/>
  <c r="BF14"/>
  <c r="BF13"/>
  <c r="BF12"/>
  <c r="BI11"/>
  <c r="BF11"/>
  <c r="BF10"/>
  <c r="BF9"/>
  <c r="BF8"/>
  <c r="BI7"/>
  <c r="BF7"/>
  <c r="BF6"/>
  <c r="BF5"/>
  <c r="AX52"/>
  <c r="BA51"/>
  <c r="AX51"/>
  <c r="AX50"/>
  <c r="AX49"/>
  <c r="AX48"/>
  <c r="BA47"/>
  <c r="AX47"/>
  <c r="AX46"/>
  <c r="AX45"/>
  <c r="AX44"/>
  <c r="BA43"/>
  <c r="AX43"/>
  <c r="AX42"/>
  <c r="AX41"/>
  <c r="AX40"/>
  <c r="BA39"/>
  <c r="AX39"/>
  <c r="AX38"/>
  <c r="AX37"/>
  <c r="AX36"/>
  <c r="BA35"/>
  <c r="AX35"/>
  <c r="AX34"/>
  <c r="AX33"/>
  <c r="AX32"/>
  <c r="BA31"/>
  <c r="AX31"/>
  <c r="AX30"/>
  <c r="AX29"/>
  <c r="AX28"/>
  <c r="BA27"/>
  <c r="AX27"/>
  <c r="AX26"/>
  <c r="AX25"/>
  <c r="AX24"/>
  <c r="BA23"/>
  <c r="AX23"/>
  <c r="AX22"/>
  <c r="AX21"/>
  <c r="AX20"/>
  <c r="BA19"/>
  <c r="AX19"/>
  <c r="AX18"/>
  <c r="AX17"/>
  <c r="AX16"/>
  <c r="BA15"/>
  <c r="AX15"/>
  <c r="AX14"/>
  <c r="AX13"/>
  <c r="AX12"/>
  <c r="BA11"/>
  <c r="AX11"/>
  <c r="AX10"/>
  <c r="AX9"/>
  <c r="AX8"/>
  <c r="BA7"/>
  <c r="AX7"/>
  <c r="AX6"/>
  <c r="AX5"/>
  <c r="AP52"/>
  <c r="AP51"/>
  <c r="AS51" s="1"/>
  <c r="AP50"/>
  <c r="AP49"/>
  <c r="AP48"/>
  <c r="AP47"/>
  <c r="AS47" s="1"/>
  <c r="AP46"/>
  <c r="AP45"/>
  <c r="AP44"/>
  <c r="AP43"/>
  <c r="AS43" s="1"/>
  <c r="AP42"/>
  <c r="AP41"/>
  <c r="AP40"/>
  <c r="AP39"/>
  <c r="AS39" s="1"/>
  <c r="AP38"/>
  <c r="AP37"/>
  <c r="AP36"/>
  <c r="AP35"/>
  <c r="AS35" s="1"/>
  <c r="AP34"/>
  <c r="AP33"/>
  <c r="AP32"/>
  <c r="AP31"/>
  <c r="AS31" s="1"/>
  <c r="AP30"/>
  <c r="AP29"/>
  <c r="AP28"/>
  <c r="AP27"/>
  <c r="AS27" s="1"/>
  <c r="AP26"/>
  <c r="AP25"/>
  <c r="AP24"/>
  <c r="AP23"/>
  <c r="AS23" s="1"/>
  <c r="AP22"/>
  <c r="AP21"/>
  <c r="AP20"/>
  <c r="AP19"/>
  <c r="AS19" s="1"/>
  <c r="AP18"/>
  <c r="AP17"/>
  <c r="AP16"/>
  <c r="AS15"/>
  <c r="AP15"/>
  <c r="AP14"/>
  <c r="AP13"/>
  <c r="AP12"/>
  <c r="AS11"/>
  <c r="AP11"/>
  <c r="AP10"/>
  <c r="AP9"/>
  <c r="AP8"/>
  <c r="AS7"/>
  <c r="AP7"/>
  <c r="AP6"/>
  <c r="AP5"/>
  <c r="AH52"/>
  <c r="AH51"/>
  <c r="AK51" s="1"/>
  <c r="AH50"/>
  <c r="AH49"/>
  <c r="AH48"/>
  <c r="AK47"/>
  <c r="AH47"/>
  <c r="AH46"/>
  <c r="AH45"/>
  <c r="AH44"/>
  <c r="AK43"/>
  <c r="AH43"/>
  <c r="AH42"/>
  <c r="AH41"/>
  <c r="AH40"/>
  <c r="AH39"/>
  <c r="AK39" s="1"/>
  <c r="AH38"/>
  <c r="AH37"/>
  <c r="AH36"/>
  <c r="AH35"/>
  <c r="AK35" s="1"/>
  <c r="AH34"/>
  <c r="AH33"/>
  <c r="AH32"/>
  <c r="AK31"/>
  <c r="AH31"/>
  <c r="AH30"/>
  <c r="AH29"/>
  <c r="AH28"/>
  <c r="AK27"/>
  <c r="AH27"/>
  <c r="AH26"/>
  <c r="AH25"/>
  <c r="AH24"/>
  <c r="AH23"/>
  <c r="AK23" s="1"/>
  <c r="AH22"/>
  <c r="AH21"/>
  <c r="AH20"/>
  <c r="AH19"/>
  <c r="AK19" s="1"/>
  <c r="AH18"/>
  <c r="AH17"/>
  <c r="AH16"/>
  <c r="AH15"/>
  <c r="AK15" s="1"/>
  <c r="AH14"/>
  <c r="AH13"/>
  <c r="AH12"/>
  <c r="AH11"/>
  <c r="AK11" s="1"/>
  <c r="AH10"/>
  <c r="AH9"/>
  <c r="AH8"/>
  <c r="AH7"/>
  <c r="AK7" s="1"/>
  <c r="AH6"/>
  <c r="AH5"/>
  <c r="Z52"/>
  <c r="Z51"/>
  <c r="AC51" s="1"/>
  <c r="Z50"/>
  <c r="Z49"/>
  <c r="Z48"/>
  <c r="AC47"/>
  <c r="Z47"/>
  <c r="Z46"/>
  <c r="Z45"/>
  <c r="Z44"/>
  <c r="AC43"/>
  <c r="Z43"/>
  <c r="Z42"/>
  <c r="Z41"/>
  <c r="Z40"/>
  <c r="Z39"/>
  <c r="AC39" s="1"/>
  <c r="Z38"/>
  <c r="Z37"/>
  <c r="Z36"/>
  <c r="Z35"/>
  <c r="AC35" s="1"/>
  <c r="Z34"/>
  <c r="Z33"/>
  <c r="Z32"/>
  <c r="Z31"/>
  <c r="AC31" s="1"/>
  <c r="Z30"/>
  <c r="Z29"/>
  <c r="Z28"/>
  <c r="Z27"/>
  <c r="AC27" s="1"/>
  <c r="Z26"/>
  <c r="Z25"/>
  <c r="Z24"/>
  <c r="Z23"/>
  <c r="AC23" s="1"/>
  <c r="Z22"/>
  <c r="Z21"/>
  <c r="Z20"/>
  <c r="Z19"/>
  <c r="AC19" s="1"/>
  <c r="Z18"/>
  <c r="Z17"/>
  <c r="Z16"/>
  <c r="Z15"/>
  <c r="AC15" s="1"/>
  <c r="Z14"/>
  <c r="Z13"/>
  <c r="Z12"/>
  <c r="Z11"/>
  <c r="AC11" s="1"/>
  <c r="Z10"/>
  <c r="Z9"/>
  <c r="Z8"/>
  <c r="Z7"/>
  <c r="AC7" s="1"/>
  <c r="Z6"/>
  <c r="Z5"/>
  <c r="R52"/>
  <c r="R51"/>
  <c r="U51" s="1"/>
  <c r="R50"/>
  <c r="R49"/>
  <c r="R48"/>
  <c r="U47"/>
  <c r="R47"/>
  <c r="R46"/>
  <c r="R45"/>
  <c r="R44"/>
  <c r="U43"/>
  <c r="R43"/>
  <c r="R42"/>
  <c r="R41"/>
  <c r="R40"/>
  <c r="R39"/>
  <c r="U39" s="1"/>
  <c r="R38"/>
  <c r="R37"/>
  <c r="R36"/>
  <c r="U35"/>
  <c r="R35"/>
  <c r="R34"/>
  <c r="R33"/>
  <c r="R32"/>
  <c r="R31"/>
  <c r="U31" s="1"/>
  <c r="R30"/>
  <c r="R29"/>
  <c r="R28"/>
  <c r="R27"/>
  <c r="U27" s="1"/>
  <c r="R26"/>
  <c r="R25"/>
  <c r="R24"/>
  <c r="R23"/>
  <c r="U23" s="1"/>
  <c r="R22"/>
  <c r="R21"/>
  <c r="R20"/>
  <c r="U19"/>
  <c r="R19"/>
  <c r="R18"/>
  <c r="R17"/>
  <c r="R16"/>
  <c r="R15"/>
  <c r="U15" s="1"/>
  <c r="R14"/>
  <c r="R13"/>
  <c r="R12"/>
  <c r="R11"/>
  <c r="U11" s="1"/>
  <c r="R10"/>
  <c r="R9"/>
  <c r="R8"/>
  <c r="R7"/>
  <c r="U7" s="1"/>
  <c r="R6"/>
  <c r="R5"/>
  <c r="J52"/>
  <c r="M51"/>
  <c r="J51"/>
  <c r="J50"/>
  <c r="J49"/>
  <c r="J48"/>
  <c r="M47"/>
  <c r="J47"/>
  <c r="J46"/>
  <c r="J45"/>
  <c r="J44"/>
  <c r="M43"/>
  <c r="J43"/>
  <c r="J42"/>
  <c r="J41"/>
  <c r="J40"/>
  <c r="J39"/>
  <c r="M39" s="1"/>
  <c r="J38"/>
  <c r="J37"/>
  <c r="J36"/>
  <c r="M35"/>
  <c r="J35"/>
  <c r="J34"/>
  <c r="J33"/>
  <c r="J32"/>
  <c r="J31"/>
  <c r="M31" s="1"/>
  <c r="J30"/>
  <c r="J29"/>
  <c r="J28"/>
  <c r="J27"/>
  <c r="M27" s="1"/>
  <c r="J26"/>
  <c r="J25"/>
  <c r="J24"/>
  <c r="J23"/>
  <c r="M23" s="1"/>
  <c r="J22"/>
  <c r="J21"/>
  <c r="J20"/>
  <c r="J19"/>
  <c r="M19" s="1"/>
  <c r="J18"/>
  <c r="J17"/>
  <c r="J16"/>
  <c r="J15"/>
  <c r="M15" s="1"/>
  <c r="J14"/>
  <c r="J13"/>
  <c r="J12"/>
  <c r="J11"/>
  <c r="M11" s="1"/>
  <c r="J10"/>
  <c r="J9"/>
  <c r="J8"/>
  <c r="J6"/>
  <c r="J7"/>
  <c r="M7" s="1"/>
  <c r="J5"/>
  <c r="AK54" i="9" l="1"/>
  <c r="AK53"/>
  <c r="AK52"/>
  <c r="AK51"/>
  <c r="AK50"/>
  <c r="AK49"/>
  <c r="AK48"/>
  <c r="AK47"/>
  <c r="AK46"/>
  <c r="AK45"/>
  <c r="AK44"/>
  <c r="AK43"/>
  <c r="AK42"/>
  <c r="AK41"/>
  <c r="AK40"/>
  <c r="AK39"/>
  <c r="AK38"/>
  <c r="AK37"/>
  <c r="AK36"/>
  <c r="AK35"/>
  <c r="AK34"/>
  <c r="AK33"/>
  <c r="AK32"/>
  <c r="AK31"/>
  <c r="AK30"/>
  <c r="AK29"/>
  <c r="AK28"/>
  <c r="AK27"/>
  <c r="AK26"/>
  <c r="AK25"/>
  <c r="AK24"/>
  <c r="AK23"/>
  <c r="AK22"/>
  <c r="AK21"/>
  <c r="AK20"/>
  <c r="AK19"/>
  <c r="AK18"/>
  <c r="AK17"/>
  <c r="AK16"/>
  <c r="AK15"/>
  <c r="AK14"/>
  <c r="AK13"/>
  <c r="AK12"/>
  <c r="AK11"/>
  <c r="AK10"/>
  <c r="AK9"/>
  <c r="AK8"/>
  <c r="AK7"/>
  <c r="AG54"/>
  <c r="AG53"/>
  <c r="AG52"/>
  <c r="AG51"/>
  <c r="AG50"/>
  <c r="AG49"/>
  <c r="AG48"/>
  <c r="AG47"/>
  <c r="AG46"/>
  <c r="AG45"/>
  <c r="AG44"/>
  <c r="AG43"/>
  <c r="AG42"/>
  <c r="AG41"/>
  <c r="AG40"/>
  <c r="AG39"/>
  <c r="AG38"/>
  <c r="AG37"/>
  <c r="AG36"/>
  <c r="AG35"/>
  <c r="AG34"/>
  <c r="AG33"/>
  <c r="AG32"/>
  <c r="AG31"/>
  <c r="AG30"/>
  <c r="AG29"/>
  <c r="AG28"/>
  <c r="AG27"/>
  <c r="AG26"/>
  <c r="AG25"/>
  <c r="AG24"/>
  <c r="AG23"/>
  <c r="AG22"/>
  <c r="AG21"/>
  <c r="AG20"/>
  <c r="AG19"/>
  <c r="AG18"/>
  <c r="AG17"/>
  <c r="AG16"/>
  <c r="AG15"/>
  <c r="AG14"/>
  <c r="AG13"/>
  <c r="AG12"/>
  <c r="AG11"/>
  <c r="AG10"/>
  <c r="AG9"/>
  <c r="AG8"/>
  <c r="AG7"/>
  <c r="AC54"/>
  <c r="AC53"/>
  <c r="AC52"/>
  <c r="AC51"/>
  <c r="AC50"/>
  <c r="AC49"/>
  <c r="AC48"/>
  <c r="AC47"/>
  <c r="AC46"/>
  <c r="AC45"/>
  <c r="AC44"/>
  <c r="AC43"/>
  <c r="AC42"/>
  <c r="AC41"/>
  <c r="AC40"/>
  <c r="AC39"/>
  <c r="AC38"/>
  <c r="AC37"/>
  <c r="AC36"/>
  <c r="AC35"/>
  <c r="AC34"/>
  <c r="AC33"/>
  <c r="AC32"/>
  <c r="AC31"/>
  <c r="AC30"/>
  <c r="AC29"/>
  <c r="AC28"/>
  <c r="AC27"/>
  <c r="AC26"/>
  <c r="AC25"/>
  <c r="AC24"/>
  <c r="AC23"/>
  <c r="AC22"/>
  <c r="AC21"/>
  <c r="AC20"/>
  <c r="AC19"/>
  <c r="AC18"/>
  <c r="AC17"/>
  <c r="AC16"/>
  <c r="AC15"/>
  <c r="AC14"/>
  <c r="AC13"/>
  <c r="AC12"/>
  <c r="AC11"/>
  <c r="AC10"/>
  <c r="AC9"/>
  <c r="AC8"/>
  <c r="AC7"/>
  <c r="Y54"/>
  <c r="Y53"/>
  <c r="Y52"/>
  <c r="Y51"/>
  <c r="Y50"/>
  <c r="Y49"/>
  <c r="Y48"/>
  <c r="Y47"/>
  <c r="Y46"/>
  <c r="Y45"/>
  <c r="Y44"/>
  <c r="Y43"/>
  <c r="Y42"/>
  <c r="Y41"/>
  <c r="Y40"/>
  <c r="Y39"/>
  <c r="Y38"/>
  <c r="Y37"/>
  <c r="Y36"/>
  <c r="Y35"/>
  <c r="Y34"/>
  <c r="Y33"/>
  <c r="Y32"/>
  <c r="Y31"/>
  <c r="Y30"/>
  <c r="Y29"/>
  <c r="Y28"/>
  <c r="Y27"/>
  <c r="Y26"/>
  <c r="Y25"/>
  <c r="Y24"/>
  <c r="Y23"/>
  <c r="Y22"/>
  <c r="Y21"/>
  <c r="Y20"/>
  <c r="Y19"/>
  <c r="Y18"/>
  <c r="Y17"/>
  <c r="Y16"/>
  <c r="Y15"/>
  <c r="Y14"/>
  <c r="Y13"/>
  <c r="Y12"/>
  <c r="Y11"/>
  <c r="Y10"/>
  <c r="Y9"/>
  <c r="Y8"/>
  <c r="Y7"/>
  <c r="U54"/>
  <c r="U53"/>
  <c r="U52"/>
  <c r="U51"/>
  <c r="U50"/>
  <c r="U49"/>
  <c r="U48"/>
  <c r="U47"/>
  <c r="U46"/>
  <c r="U45"/>
  <c r="U44"/>
  <c r="U43"/>
  <c r="U42"/>
  <c r="U41"/>
  <c r="U40"/>
  <c r="U39"/>
  <c r="U38"/>
  <c r="U37"/>
  <c r="U36"/>
  <c r="U35"/>
  <c r="U34"/>
  <c r="U33"/>
  <c r="U32"/>
  <c r="U31"/>
  <c r="U30"/>
  <c r="U29"/>
  <c r="U28"/>
  <c r="U27"/>
  <c r="U26"/>
  <c r="U25"/>
  <c r="U24"/>
  <c r="U23"/>
  <c r="U22"/>
  <c r="U21"/>
  <c r="U20"/>
  <c r="U19"/>
  <c r="U18"/>
  <c r="U17"/>
  <c r="U16"/>
  <c r="U15"/>
  <c r="U14"/>
  <c r="U13"/>
  <c r="U12"/>
  <c r="U11"/>
  <c r="U10"/>
  <c r="U9"/>
  <c r="U8"/>
  <c r="U7"/>
  <c r="Q54"/>
  <c r="Q53"/>
  <c r="Q52"/>
  <c r="Q51"/>
  <c r="Q50"/>
  <c r="Q49"/>
  <c r="Q48"/>
  <c r="Q47"/>
  <c r="Q46"/>
  <c r="Q45"/>
  <c r="Q44"/>
  <c r="Q43"/>
  <c r="Q42"/>
  <c r="Q41"/>
  <c r="Q40"/>
  <c r="Q39"/>
  <c r="Q38"/>
  <c r="Q37"/>
  <c r="Q36"/>
  <c r="Q35"/>
  <c r="Q34"/>
  <c r="Q33"/>
  <c r="Q32"/>
  <c r="Q31"/>
  <c r="Q30"/>
  <c r="Q29"/>
  <c r="Q28"/>
  <c r="Q27"/>
  <c r="Q26"/>
  <c r="Q25"/>
  <c r="Q24"/>
  <c r="Q23"/>
  <c r="Q22"/>
  <c r="Q21"/>
  <c r="Q20"/>
  <c r="Q19"/>
  <c r="Q18"/>
  <c r="Q17"/>
  <c r="Q16"/>
  <c r="Q15"/>
  <c r="Q14"/>
  <c r="Q13"/>
  <c r="Q12"/>
  <c r="Q11"/>
  <c r="Q10"/>
  <c r="Q9"/>
  <c r="Q8"/>
  <c r="Q7"/>
  <c r="M8"/>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7"/>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7"/>
  <c r="BC52" i="8"/>
  <c r="BC51"/>
  <c r="BC50"/>
  <c r="BC49"/>
  <c r="BC48"/>
  <c r="BC47"/>
  <c r="BC46"/>
  <c r="BC45"/>
  <c r="BC44"/>
  <c r="BC43"/>
  <c r="BC42"/>
  <c r="BC41"/>
  <c r="BC40"/>
  <c r="BC39"/>
  <c r="BC38"/>
  <c r="BC37"/>
  <c r="BC36"/>
  <c r="BC35"/>
  <c r="BC34"/>
  <c r="BC33"/>
  <c r="BC32"/>
  <c r="BC31"/>
  <c r="BC30"/>
  <c r="BC29"/>
  <c r="BC28"/>
  <c r="BC27"/>
  <c r="BC26"/>
  <c r="BC25"/>
  <c r="BC24"/>
  <c r="BC23"/>
  <c r="BC22"/>
  <c r="BC21"/>
  <c r="BC20"/>
  <c r="BC19"/>
  <c r="BC18"/>
  <c r="BC17"/>
  <c r="BC16"/>
  <c r="BC15"/>
  <c r="BC14"/>
  <c r="BC13"/>
  <c r="BC12"/>
  <c r="BC11"/>
  <c r="BC10"/>
  <c r="BC9"/>
  <c r="BC8"/>
  <c r="BC7"/>
  <c r="BC6"/>
  <c r="BC5"/>
  <c r="AX52"/>
  <c r="AX51"/>
  <c r="AX50"/>
  <c r="AX49"/>
  <c r="AX48"/>
  <c r="AX47"/>
  <c r="AX46"/>
  <c r="AX45"/>
  <c r="AX44"/>
  <c r="AX43"/>
  <c r="AX42"/>
  <c r="AX41"/>
  <c r="AX40"/>
  <c r="AX39"/>
  <c r="AX38"/>
  <c r="AX37"/>
  <c r="AX36"/>
  <c r="AX35"/>
  <c r="AX34"/>
  <c r="AX33"/>
  <c r="AX32"/>
  <c r="AX31"/>
  <c r="AX30"/>
  <c r="AX29"/>
  <c r="AX28"/>
  <c r="AX27"/>
  <c r="AX26"/>
  <c r="AX25"/>
  <c r="AX24"/>
  <c r="AX23"/>
  <c r="AX22"/>
  <c r="AX21"/>
  <c r="AX20"/>
  <c r="AX19"/>
  <c r="AX18"/>
  <c r="AX17"/>
  <c r="AX16"/>
  <c r="AX15"/>
  <c r="AX14"/>
  <c r="AX13"/>
  <c r="AX12"/>
  <c r="AX11"/>
  <c r="AX10"/>
  <c r="AX9"/>
  <c r="AX8"/>
  <c r="AX7"/>
  <c r="AX6"/>
  <c r="AX5"/>
  <c r="AS52"/>
  <c r="AS51"/>
  <c r="AS50"/>
  <c r="AS49"/>
  <c r="AS48"/>
  <c r="AS47"/>
  <c r="AS46"/>
  <c r="AS45"/>
  <c r="AS44"/>
  <c r="AS43"/>
  <c r="AS42"/>
  <c r="AS41"/>
  <c r="AS40"/>
  <c r="AS39"/>
  <c r="AS38"/>
  <c r="AS37"/>
  <c r="AS36"/>
  <c r="AS35"/>
  <c r="AS34"/>
  <c r="AS33"/>
  <c r="AS32"/>
  <c r="AS31"/>
  <c r="AS30"/>
  <c r="AS29"/>
  <c r="AS28"/>
  <c r="AS27"/>
  <c r="AS26"/>
  <c r="AS25"/>
  <c r="AS24"/>
  <c r="AS23"/>
  <c r="AS22"/>
  <c r="AS21"/>
  <c r="AS20"/>
  <c r="AS19"/>
  <c r="AS18"/>
  <c r="AS17"/>
  <c r="AS16"/>
  <c r="AS15"/>
  <c r="AS14"/>
  <c r="AS13"/>
  <c r="AS12"/>
  <c r="AS11"/>
  <c r="AS10"/>
  <c r="AS9"/>
  <c r="AS8"/>
  <c r="AS7"/>
  <c r="AS6"/>
  <c r="AS5"/>
  <c r="AN52"/>
  <c r="AN51"/>
  <c r="AN50"/>
  <c r="AN49"/>
  <c r="AN48"/>
  <c r="AN47"/>
  <c r="AN46"/>
  <c r="AN45"/>
  <c r="AN44"/>
  <c r="AN43"/>
  <c r="AN42"/>
  <c r="AN41"/>
  <c r="AN40"/>
  <c r="AN39"/>
  <c r="AN38"/>
  <c r="AN37"/>
  <c r="AN36"/>
  <c r="AN35"/>
  <c r="AN34"/>
  <c r="AN33"/>
  <c r="AN32"/>
  <c r="AN31"/>
  <c r="AN30"/>
  <c r="AN29"/>
  <c r="AN28"/>
  <c r="AN27"/>
  <c r="AN26"/>
  <c r="AN25"/>
  <c r="AN24"/>
  <c r="AN23"/>
  <c r="AN22"/>
  <c r="AN21"/>
  <c r="AN20"/>
  <c r="AN19"/>
  <c r="AN18"/>
  <c r="AN17"/>
  <c r="AN16"/>
  <c r="AN15"/>
  <c r="AN14"/>
  <c r="AN13"/>
  <c r="AN12"/>
  <c r="AN11"/>
  <c r="AN10"/>
  <c r="AN9"/>
  <c r="AN8"/>
  <c r="AN7"/>
  <c r="AN6"/>
  <c r="AN5"/>
  <c r="AI52"/>
  <c r="AI51"/>
  <c r="AI50"/>
  <c r="AI49"/>
  <c r="AI48"/>
  <c r="AI47"/>
  <c r="AI46"/>
  <c r="AI45"/>
  <c r="AI44"/>
  <c r="AI43"/>
  <c r="AI42"/>
  <c r="AI41"/>
  <c r="AI40"/>
  <c r="AI39"/>
  <c r="AI38"/>
  <c r="AI37"/>
  <c r="AI36"/>
  <c r="AI35"/>
  <c r="AI34"/>
  <c r="AI33"/>
  <c r="AI32"/>
  <c r="AI31"/>
  <c r="AI30"/>
  <c r="AI29"/>
  <c r="AI28"/>
  <c r="AI27"/>
  <c r="AI26"/>
  <c r="AI25"/>
  <c r="AI24"/>
  <c r="AI23"/>
  <c r="AI22"/>
  <c r="AI21"/>
  <c r="AI20"/>
  <c r="AI19"/>
  <c r="AI18"/>
  <c r="AI17"/>
  <c r="AI16"/>
  <c r="AI15"/>
  <c r="AI14"/>
  <c r="AI13"/>
  <c r="AI12"/>
  <c r="AI11"/>
  <c r="AI10"/>
  <c r="AI9"/>
  <c r="AI8"/>
  <c r="AI7"/>
  <c r="AI6"/>
  <c r="AI5"/>
  <c r="AD52"/>
  <c r="AD51"/>
  <c r="AD50"/>
  <c r="AD49"/>
  <c r="AD48"/>
  <c r="AD47"/>
  <c r="AD46"/>
  <c r="AD45"/>
  <c r="AD44"/>
  <c r="AD43"/>
  <c r="AD42"/>
  <c r="AD41"/>
  <c r="AD40"/>
  <c r="AD39"/>
  <c r="AD38"/>
  <c r="AD37"/>
  <c r="AD36"/>
  <c r="AD35"/>
  <c r="AD34"/>
  <c r="AD33"/>
  <c r="AD32"/>
  <c r="AD31"/>
  <c r="AD30"/>
  <c r="AD29"/>
  <c r="AD28"/>
  <c r="AD27"/>
  <c r="AD26"/>
  <c r="AD25"/>
  <c r="AD24"/>
  <c r="AD23"/>
  <c r="AD22"/>
  <c r="AD21"/>
  <c r="AD20"/>
  <c r="AD19"/>
  <c r="AD18"/>
  <c r="AD17"/>
  <c r="AD16"/>
  <c r="AD15"/>
  <c r="AD14"/>
  <c r="AD13"/>
  <c r="AD12"/>
  <c r="AD11"/>
  <c r="AD10"/>
  <c r="AD9"/>
  <c r="AD8"/>
  <c r="AD7"/>
  <c r="AD6"/>
  <c r="AD5"/>
  <c r="Y52"/>
  <c r="Y51"/>
  <c r="Y50"/>
  <c r="Y49"/>
  <c r="Y48"/>
  <c r="Y47"/>
  <c r="Y46"/>
  <c r="Y45"/>
  <c r="Y44"/>
  <c r="Y43"/>
  <c r="Y42"/>
  <c r="Y41"/>
  <c r="Y40"/>
  <c r="Y39"/>
  <c r="Y38"/>
  <c r="Y37"/>
  <c r="Y36"/>
  <c r="Y35"/>
  <c r="Y34"/>
  <c r="Y33"/>
  <c r="Y32"/>
  <c r="Y31"/>
  <c r="Y30"/>
  <c r="Y29"/>
  <c r="Y28"/>
  <c r="Y27"/>
  <c r="Y26"/>
  <c r="Y25"/>
  <c r="Y24"/>
  <c r="Y23"/>
  <c r="Y22"/>
  <c r="Y21"/>
  <c r="Y20"/>
  <c r="Y19"/>
  <c r="Y18"/>
  <c r="Y17"/>
  <c r="Y16"/>
  <c r="Y15"/>
  <c r="Y14"/>
  <c r="Y13"/>
  <c r="Y12"/>
  <c r="Y11"/>
  <c r="Y10"/>
  <c r="Y9"/>
  <c r="Y8"/>
  <c r="Y7"/>
  <c r="Y6"/>
  <c r="Y5"/>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J6"/>
  <c r="J7"/>
  <c r="J8"/>
  <c r="J9"/>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
  <c r="BH2"/>
  <c r="CT2" i="6"/>
  <c r="BQ50" l="1"/>
  <c r="BQ49"/>
  <c r="BQ48"/>
  <c r="BQ46"/>
  <c r="BQ45"/>
  <c r="BQ44"/>
  <c r="BQ42"/>
  <c r="BQ41"/>
  <c r="BQ40"/>
  <c r="BQ38"/>
  <c r="BQ37"/>
  <c r="BQ36"/>
  <c r="BQ34"/>
  <c r="BQ33"/>
  <c r="BQ32"/>
  <c r="BQ30"/>
  <c r="BQ29"/>
  <c r="BQ28"/>
  <c r="BQ26"/>
  <c r="BQ25"/>
  <c r="BQ24"/>
  <c r="BQ22"/>
  <c r="BQ21"/>
  <c r="BQ20"/>
  <c r="BQ18"/>
  <c r="BQ17"/>
  <c r="BQ16"/>
  <c r="BQ14"/>
  <c r="BQ13"/>
  <c r="BQ12"/>
  <c r="BQ10"/>
  <c r="BQ9"/>
  <c r="BQ8"/>
  <c r="BQ6"/>
  <c r="BQ5"/>
  <c r="BI50"/>
  <c r="BI49"/>
  <c r="BI48"/>
  <c r="BI46"/>
  <c r="BI45"/>
  <c r="BI44"/>
  <c r="BI42"/>
  <c r="BI41"/>
  <c r="BI40"/>
  <c r="BI38"/>
  <c r="BI37"/>
  <c r="BI36"/>
  <c r="BI34"/>
  <c r="BI33"/>
  <c r="BI32"/>
  <c r="BI30"/>
  <c r="BI29"/>
  <c r="BI28"/>
  <c r="BI26"/>
  <c r="BI25"/>
  <c r="BI24"/>
  <c r="BI22"/>
  <c r="BI21"/>
  <c r="BI20"/>
  <c r="BI18"/>
  <c r="BI17"/>
  <c r="BI16"/>
  <c r="BI14"/>
  <c r="BI13"/>
  <c r="BI12"/>
  <c r="BI10"/>
  <c r="BI9"/>
  <c r="BI8"/>
  <c r="BI6"/>
  <c r="BI5"/>
  <c r="BA52"/>
  <c r="BA50"/>
  <c r="BA49"/>
  <c r="BA48"/>
  <c r="BA46"/>
  <c r="BA45"/>
  <c r="BA44"/>
  <c r="BA42"/>
  <c r="BA41"/>
  <c r="BA40"/>
  <c r="BA38"/>
  <c r="BA37"/>
  <c r="BA36"/>
  <c r="BA34"/>
  <c r="BA33"/>
  <c r="BA32"/>
  <c r="BA30"/>
  <c r="BA29"/>
  <c r="BA28"/>
  <c r="BA26"/>
  <c r="BA25"/>
  <c r="BA24"/>
  <c r="BA22"/>
  <c r="BA21"/>
  <c r="BA20"/>
  <c r="BA18"/>
  <c r="BA17"/>
  <c r="BA16"/>
  <c r="BA14"/>
  <c r="BA13"/>
  <c r="BA12"/>
  <c r="BA10"/>
  <c r="BA9"/>
  <c r="BA8"/>
  <c r="BA6"/>
  <c r="BA5"/>
  <c r="AS50"/>
  <c r="AS42"/>
  <c r="AS34"/>
  <c r="AS26"/>
  <c r="AS18"/>
  <c r="AK18"/>
  <c r="AK10"/>
  <c r="AC50"/>
  <c r="M50"/>
  <c r="M49"/>
  <c r="M48"/>
  <c r="M46"/>
  <c r="M45"/>
  <c r="M44"/>
  <c r="M42"/>
  <c r="M41"/>
  <c r="M38"/>
  <c r="M37"/>
  <c r="M36"/>
  <c r="M34"/>
  <c r="M33"/>
  <c r="M32"/>
  <c r="M30"/>
  <c r="M29"/>
  <c r="M26"/>
  <c r="M25"/>
  <c r="M24"/>
  <c r="M22"/>
  <c r="M21"/>
  <c r="M20"/>
  <c r="M18"/>
  <c r="M17"/>
  <c r="M14"/>
  <c r="M13"/>
  <c r="M10"/>
  <c r="M6"/>
  <c r="U36"/>
  <c r="U34"/>
  <c r="U29"/>
  <c r="U26"/>
  <c r="U22"/>
  <c r="U20"/>
  <c r="U17"/>
  <c r="U16"/>
  <c r="U13"/>
  <c r="U10"/>
  <c r="U5"/>
  <c r="CG50"/>
  <c r="CG49"/>
  <c r="CG48"/>
  <c r="CG46"/>
  <c r="CG45"/>
  <c r="CG44"/>
  <c r="CG42"/>
  <c r="CG41"/>
  <c r="CG40"/>
  <c r="CG38"/>
  <c r="CG37"/>
  <c r="CG36"/>
  <c r="CG34"/>
  <c r="CG33"/>
  <c r="CG32"/>
  <c r="CG30"/>
  <c r="CG29"/>
  <c r="CG28"/>
  <c r="CG26"/>
  <c r="CG25"/>
  <c r="CG24"/>
  <c r="CG22"/>
  <c r="CG21"/>
  <c r="CG20"/>
  <c r="CG18"/>
  <c r="CG17"/>
  <c r="CG16"/>
  <c r="CG14"/>
  <c r="CG13"/>
  <c r="CG12"/>
  <c r="CG10"/>
  <c r="CG9"/>
  <c r="CG8"/>
  <c r="CG6"/>
  <c r="CG5"/>
  <c r="BY52"/>
  <c r="BY50"/>
  <c r="BY49"/>
  <c r="BY48"/>
  <c r="BY46"/>
  <c r="BY45"/>
  <c r="BY44"/>
  <c r="BY42"/>
  <c r="BY41"/>
  <c r="BY40"/>
  <c r="BY38"/>
  <c r="BY37"/>
  <c r="BY36"/>
  <c r="BY34"/>
  <c r="BY33"/>
  <c r="BY32"/>
  <c r="BY30"/>
  <c r="BY29"/>
  <c r="BY28"/>
  <c r="BY26"/>
  <c r="BY25"/>
  <c r="BY24"/>
  <c r="BY22"/>
  <c r="BY21"/>
  <c r="BY20"/>
  <c r="BY18"/>
  <c r="BY17"/>
  <c r="BY16"/>
  <c r="BY14"/>
  <c r="BY13"/>
  <c r="BY12"/>
  <c r="BY10"/>
  <c r="BY9"/>
  <c r="BY8"/>
  <c r="BY6"/>
  <c r="BY5"/>
  <c r="AS46"/>
  <c r="AS38"/>
  <c r="AS30"/>
  <c r="AS22"/>
  <c r="AS16"/>
  <c r="AS14"/>
  <c r="AS13"/>
  <c r="AS12"/>
  <c r="AS10"/>
  <c r="AS9"/>
  <c r="AS8"/>
  <c r="AS6"/>
  <c r="AS5"/>
  <c r="AK50"/>
  <c r="AK49"/>
  <c r="AK48"/>
  <c r="AK46"/>
  <c r="AK45"/>
  <c r="AK44"/>
  <c r="AK42"/>
  <c r="AK41"/>
  <c r="AK40"/>
  <c r="AK38"/>
  <c r="AK37"/>
  <c r="AK36"/>
  <c r="AK34"/>
  <c r="AK33"/>
  <c r="AK32"/>
  <c r="AK30"/>
  <c r="AK29"/>
  <c r="AK28"/>
  <c r="AK26"/>
  <c r="AK25"/>
  <c r="AK22"/>
  <c r="AK14"/>
  <c r="AK6"/>
  <c r="AC48"/>
  <c r="AC46"/>
  <c r="AC45"/>
  <c r="AC44"/>
  <c r="AC42"/>
  <c r="AC41"/>
  <c r="AC40"/>
  <c r="AC38"/>
  <c r="AC37"/>
  <c r="AC36"/>
  <c r="AC34"/>
  <c r="AC33"/>
  <c r="AC32"/>
  <c r="AC30"/>
  <c r="AC29"/>
  <c r="AC28"/>
  <c r="AC26"/>
  <c r="AC25"/>
  <c r="AC24"/>
  <c r="AC22"/>
  <c r="AC21"/>
  <c r="AC20"/>
  <c r="AC18"/>
  <c r="AC17"/>
  <c r="AC16"/>
  <c r="AC14"/>
  <c r="AC13"/>
  <c r="AC12"/>
  <c r="AC10"/>
  <c r="AC9"/>
  <c r="AC8"/>
  <c r="AC6"/>
  <c r="AC5"/>
  <c r="U50"/>
  <c r="U49"/>
  <c r="U48"/>
  <c r="U46"/>
  <c r="U45"/>
  <c r="U44"/>
  <c r="U42"/>
  <c r="U41"/>
  <c r="U40"/>
  <c r="U38"/>
  <c r="U37"/>
  <c r="U33"/>
  <c r="U32"/>
  <c r="U30"/>
  <c r="U28"/>
  <c r="U25"/>
  <c r="U24"/>
  <c r="U21"/>
  <c r="U18"/>
  <c r="U14"/>
  <c r="U12"/>
  <c r="U9"/>
  <c r="U8"/>
  <c r="U6"/>
  <c r="BI52"/>
  <c r="AS49"/>
  <c r="AS41"/>
  <c r="AS33"/>
  <c r="AS25"/>
  <c r="AS17"/>
  <c r="AK17"/>
  <c r="AK9"/>
  <c r="AC49"/>
  <c r="M28"/>
  <c r="M12"/>
  <c r="M5"/>
  <c r="M8"/>
  <c r="BQ52"/>
  <c r="AS45"/>
  <c r="AS37"/>
  <c r="AS29"/>
  <c r="AS21"/>
  <c r="AK24"/>
  <c r="AK16"/>
  <c r="AK8"/>
  <c r="U52"/>
  <c r="AS52"/>
  <c r="AS44"/>
  <c r="AS36"/>
  <c r="AS28"/>
  <c r="AS20"/>
  <c r="AK20"/>
  <c r="AK12"/>
  <c r="AC52"/>
  <c r="M40"/>
  <c r="M16"/>
  <c r="M9"/>
  <c r="M52"/>
  <c r="CG52"/>
  <c r="AS48"/>
  <c r="AS40"/>
  <c r="AS32"/>
  <c r="AS24"/>
  <c r="AK52"/>
  <c r="AK21"/>
  <c r="AK13"/>
  <c r="AK5"/>
  <c r="CN6"/>
  <c r="CO6"/>
  <c r="CN7"/>
  <c r="CO7"/>
  <c r="CN8"/>
  <c r="CO8"/>
  <c r="CN9"/>
  <c r="CO9"/>
  <c r="CN10"/>
  <c r="CO10"/>
  <c r="CN11"/>
  <c r="CO11"/>
  <c r="CN12"/>
  <c r="CO12"/>
  <c r="CN13"/>
  <c r="CO13"/>
  <c r="CN14"/>
  <c r="CO14"/>
  <c r="CN15"/>
  <c r="CO15"/>
  <c r="CN16"/>
  <c r="CO16"/>
  <c r="CN17"/>
  <c r="CO17"/>
  <c r="CN18"/>
  <c r="CO18"/>
  <c r="CN19"/>
  <c r="CO19"/>
  <c r="CN20"/>
  <c r="CO20"/>
  <c r="CN21"/>
  <c r="CO21"/>
  <c r="CN22"/>
  <c r="CO22"/>
  <c r="CN23"/>
  <c r="CO23"/>
  <c r="CN24"/>
  <c r="CO24"/>
  <c r="CN25"/>
  <c r="CO25"/>
  <c r="CN26"/>
  <c r="CO26"/>
  <c r="CN27"/>
  <c r="CO27"/>
  <c r="CN28"/>
  <c r="CO28"/>
  <c r="CN29"/>
  <c r="CO29"/>
  <c r="CN30"/>
  <c r="CO30"/>
  <c r="CN31"/>
  <c r="CO31"/>
  <c r="CN32"/>
  <c r="CO32"/>
  <c r="CN33"/>
  <c r="CO33"/>
  <c r="CN34"/>
  <c r="CO34"/>
  <c r="CN35"/>
  <c r="CO35"/>
  <c r="CN36"/>
  <c r="CO36"/>
  <c r="CN37"/>
  <c r="CO37"/>
  <c r="CN38"/>
  <c r="CO38"/>
  <c r="CN39"/>
  <c r="CO39"/>
  <c r="CN40"/>
  <c r="CO40"/>
  <c r="CN41"/>
  <c r="CO41"/>
  <c r="CN42"/>
  <c r="CO42"/>
  <c r="CN43"/>
  <c r="CO43"/>
  <c r="CN44"/>
  <c r="CO44"/>
  <c r="CN45"/>
  <c r="CO45"/>
  <c r="CN46"/>
  <c r="CO46"/>
  <c r="CN47"/>
  <c r="CO47"/>
  <c r="CN48"/>
  <c r="CO48"/>
  <c r="CN49"/>
  <c r="CO49"/>
  <c r="CN50"/>
  <c r="CO50"/>
  <c r="CN51"/>
  <c r="CO51"/>
  <c r="CN52"/>
  <c r="CO52"/>
  <c r="CN5"/>
  <c r="CO5"/>
  <c r="E5" i="18" l="1"/>
  <c r="E6"/>
  <c r="E7"/>
  <c r="E8"/>
  <c r="E9"/>
  <c r="E10"/>
  <c r="E11"/>
  <c r="E12"/>
  <c r="E13"/>
  <c r="E14"/>
  <c r="E15"/>
  <c r="E16"/>
  <c r="E17"/>
  <c r="E18"/>
  <c r="E19"/>
  <c r="E20"/>
  <c r="E21"/>
  <c r="E22"/>
  <c r="E23"/>
  <c r="E24"/>
  <c r="E25"/>
  <c r="E26"/>
  <c r="E27"/>
  <c r="E28"/>
  <c r="E29"/>
  <c r="E30"/>
  <c r="E31"/>
  <c r="E32"/>
  <c r="E33"/>
  <c r="E34"/>
  <c r="E35"/>
  <c r="E36"/>
  <c r="AY1" i="8" l="1"/>
  <c r="AT1"/>
  <c r="AO1"/>
  <c r="AJ1"/>
  <c r="AE1"/>
  <c r="Z1"/>
  <c r="U1"/>
  <c r="P1"/>
  <c r="K1"/>
  <c r="F1"/>
  <c r="AY2"/>
  <c r="AT2"/>
  <c r="AO2"/>
  <c r="AJ2"/>
  <c r="AE2"/>
  <c r="Z2"/>
  <c r="U2"/>
  <c r="P2"/>
  <c r="K2"/>
  <c r="F2"/>
  <c r="BZ2" i="6"/>
  <c r="BZ1"/>
  <c r="BR2"/>
  <c r="BR1"/>
  <c r="BJ2"/>
  <c r="BJ1"/>
  <c r="BB2"/>
  <c r="BB1"/>
  <c r="AT2"/>
  <c r="AT1"/>
  <c r="AL2"/>
  <c r="AL1"/>
  <c r="AD1"/>
  <c r="AD2"/>
  <c r="V1"/>
  <c r="V2"/>
  <c r="N2"/>
  <c r="N1"/>
  <c r="F1"/>
  <c r="F2"/>
  <c r="P3" i="34"/>
  <c r="C4" i="29"/>
  <c r="A2" i="39"/>
  <c r="J15" i="31"/>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L15"/>
  <c r="L16"/>
  <c r="L17"/>
  <c r="L18"/>
  <c r="L19"/>
  <c r="L20"/>
  <c r="L21"/>
  <c r="L22"/>
  <c r="L23"/>
  <c r="L24"/>
  <c r="L25"/>
  <c r="L26"/>
  <c r="L27"/>
  <c r="L28"/>
  <c r="L29"/>
  <c r="L30"/>
  <c r="L31"/>
  <c r="L32"/>
  <c r="L33"/>
  <c r="L34"/>
  <c r="L35"/>
  <c r="L36"/>
  <c r="L37"/>
  <c r="L38"/>
  <c r="L39"/>
  <c r="L40"/>
  <c r="L41"/>
  <c r="L42"/>
  <c r="L43"/>
  <c r="L44"/>
  <c r="L45"/>
  <c r="L46"/>
  <c r="L47"/>
  <c r="L48"/>
  <c r="L49"/>
  <c r="L50"/>
  <c r="L51"/>
  <c r="L52"/>
  <c r="L53"/>
  <c r="L54"/>
  <c r="L55"/>
  <c r="L56"/>
  <c r="L57"/>
  <c r="L58"/>
  <c r="L59"/>
  <c r="L60"/>
  <c r="L61"/>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P15"/>
  <c r="P16"/>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Q15"/>
  <c r="Q16"/>
  <c r="Q17"/>
  <c r="Q18"/>
  <c r="Q19"/>
  <c r="Q20"/>
  <c r="Q21"/>
  <c r="Q22"/>
  <c r="Q23"/>
  <c r="Q24"/>
  <c r="Q25"/>
  <c r="Q26"/>
  <c r="Q27"/>
  <c r="Q28"/>
  <c r="Q29"/>
  <c r="Q30"/>
  <c r="Q31"/>
  <c r="Q32"/>
  <c r="Q33"/>
  <c r="Q34"/>
  <c r="Q35"/>
  <c r="Q36"/>
  <c r="Q37"/>
  <c r="Q38"/>
  <c r="Q39"/>
  <c r="Q40"/>
  <c r="Q41"/>
  <c r="Q42"/>
  <c r="Q43"/>
  <c r="Q44"/>
  <c r="Q45"/>
  <c r="Q46"/>
  <c r="Q47"/>
  <c r="Q48"/>
  <c r="Q49"/>
  <c r="Q50"/>
  <c r="Q51"/>
  <c r="Q52"/>
  <c r="Q53"/>
  <c r="Q54"/>
  <c r="Q55"/>
  <c r="Q56"/>
  <c r="Q57"/>
  <c r="Q58"/>
  <c r="Q59"/>
  <c r="Q60"/>
  <c r="Q61"/>
  <c r="R15"/>
  <c r="R16"/>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R14"/>
  <c r="Q14"/>
  <c r="P14"/>
  <c r="O14"/>
  <c r="N14"/>
  <c r="M14"/>
  <c r="L14"/>
  <c r="F1" i="9" l="1"/>
  <c r="J1" l="1"/>
  <c r="D8" i="31"/>
  <c r="A2" i="38"/>
  <c r="AL8" i="9" l="1"/>
  <c r="S15" i="31" s="1"/>
  <c r="AL10" i="9"/>
  <c r="S17" i="31" s="1"/>
  <c r="AL12" i="9"/>
  <c r="S19" i="31" s="1"/>
  <c r="AL14" i="9"/>
  <c r="S21" i="31" s="1"/>
  <c r="AL16" i="9"/>
  <c r="S23" i="31" s="1"/>
  <c r="AL18" i="9"/>
  <c r="AL20"/>
  <c r="S27" i="31" s="1"/>
  <c r="AL22" i="9"/>
  <c r="S29" i="31" s="1"/>
  <c r="AL24" i="9"/>
  <c r="S31" i="31" s="1"/>
  <c r="AL26" i="9"/>
  <c r="AL28"/>
  <c r="S35" i="31" s="1"/>
  <c r="AL30" i="9"/>
  <c r="S37" i="31" s="1"/>
  <c r="AL32" i="9"/>
  <c r="S39" i="31" s="1"/>
  <c r="AL34" i="9"/>
  <c r="S41" i="31" s="1"/>
  <c r="AL36" i="9"/>
  <c r="S43" i="31" s="1"/>
  <c r="AL38" i="9"/>
  <c r="S45" i="31" s="1"/>
  <c r="AL40" i="9"/>
  <c r="S47" i="31" s="1"/>
  <c r="AL42" i="9"/>
  <c r="AL44"/>
  <c r="S51" i="31" s="1"/>
  <c r="AL46" i="9"/>
  <c r="S53" i="31" s="1"/>
  <c r="AL48" i="9"/>
  <c r="S55" i="31" s="1"/>
  <c r="AL50" i="9"/>
  <c r="S57" i="31" s="1"/>
  <c r="AL52" i="9"/>
  <c r="S59" i="31" s="1"/>
  <c r="AL54" i="9"/>
  <c r="S61" i="31" s="1"/>
  <c r="AL7" i="9"/>
  <c r="AL9"/>
  <c r="AL11"/>
  <c r="S18" i="31" s="1"/>
  <c r="AL13" i="9"/>
  <c r="S20" i="31" s="1"/>
  <c r="AL15" i="9"/>
  <c r="S22" i="31" s="1"/>
  <c r="AL17" i="9"/>
  <c r="AL19"/>
  <c r="S26" i="31" s="1"/>
  <c r="AL21" i="9"/>
  <c r="S28" i="31" s="1"/>
  <c r="AL23" i="9"/>
  <c r="AL25"/>
  <c r="S32" i="31" s="1"/>
  <c r="AL27" i="9"/>
  <c r="S34" i="31" s="1"/>
  <c r="AL29" i="9"/>
  <c r="S36" i="31" s="1"/>
  <c r="AL31" i="9"/>
  <c r="AL33"/>
  <c r="S40" i="31" s="1"/>
  <c r="AL35" i="9"/>
  <c r="S42" i="31" s="1"/>
  <c r="AL37" i="9"/>
  <c r="S44" i="31" s="1"/>
  <c r="AL39" i="9"/>
  <c r="AL41"/>
  <c r="AL43"/>
  <c r="S50" i="31" s="1"/>
  <c r="AL45" i="9"/>
  <c r="S52" i="31" s="1"/>
  <c r="AL47" i="9"/>
  <c r="AL49"/>
  <c r="AL51"/>
  <c r="S58" i="31" s="1"/>
  <c r="AL53" i="9"/>
  <c r="S60" i="31" s="1"/>
  <c r="S14"/>
  <c r="S56"/>
  <c r="S54"/>
  <c r="S48"/>
  <c r="S46"/>
  <c r="S38"/>
  <c r="S30"/>
  <c r="S24"/>
  <c r="S16"/>
  <c r="S49"/>
  <c r="S33"/>
  <c r="S25"/>
  <c r="I54" i="9"/>
  <c r="K61" i="31" s="1"/>
  <c r="I52" i="9"/>
  <c r="K59" i="31" s="1"/>
  <c r="I50" i="9"/>
  <c r="K57" i="31" s="1"/>
  <c r="I48" i="9"/>
  <c r="K55" i="31" s="1"/>
  <c r="I46" i="9"/>
  <c r="K53" i="31" s="1"/>
  <c r="I44" i="9"/>
  <c r="K51" i="31" s="1"/>
  <c r="I42" i="9"/>
  <c r="K49" i="31" s="1"/>
  <c r="I40" i="9"/>
  <c r="K47" i="31" s="1"/>
  <c r="I38" i="9"/>
  <c r="K45" i="31" s="1"/>
  <c r="I36" i="9"/>
  <c r="K43" i="31" s="1"/>
  <c r="I34" i="9"/>
  <c r="K41" i="31" s="1"/>
  <c r="I32" i="9"/>
  <c r="K39" i="31" s="1"/>
  <c r="I30" i="9"/>
  <c r="K37" i="31" s="1"/>
  <c r="I28" i="9"/>
  <c r="K35" i="31" s="1"/>
  <c r="I26" i="9"/>
  <c r="K33" i="31" s="1"/>
  <c r="I24" i="9"/>
  <c r="K31" i="31" s="1"/>
  <c r="I22" i="9"/>
  <c r="K29" i="31" s="1"/>
  <c r="I20" i="9"/>
  <c r="K27" i="31" s="1"/>
  <c r="I18" i="9"/>
  <c r="K25" i="31" s="1"/>
  <c r="I16" i="9"/>
  <c r="K23" i="31" s="1"/>
  <c r="I14" i="9"/>
  <c r="K21" i="31" s="1"/>
  <c r="I12" i="9"/>
  <c r="K19" i="31" s="1"/>
  <c r="I10" i="9"/>
  <c r="K17" i="31" s="1"/>
  <c r="I8" i="9"/>
  <c r="K15" i="31" s="1"/>
  <c r="I53" i="9"/>
  <c r="K60" i="31" s="1"/>
  <c r="I51" i="9"/>
  <c r="K58" i="31" s="1"/>
  <c r="I49" i="9"/>
  <c r="K56" i="31" s="1"/>
  <c r="I47" i="9"/>
  <c r="K54" i="31" s="1"/>
  <c r="I45" i="9"/>
  <c r="K52" i="31" s="1"/>
  <c r="I43" i="9"/>
  <c r="K50" i="31" s="1"/>
  <c r="I41" i="9"/>
  <c r="K48" i="31" s="1"/>
  <c r="I39" i="9"/>
  <c r="K46" i="31" s="1"/>
  <c r="I37" i="9"/>
  <c r="K44" i="31" s="1"/>
  <c r="I35" i="9"/>
  <c r="K42" i="31" s="1"/>
  <c r="I33" i="9"/>
  <c r="K40" i="31" s="1"/>
  <c r="I31" i="9"/>
  <c r="K38" i="31" s="1"/>
  <c r="I29" i="9"/>
  <c r="K36" i="31" s="1"/>
  <c r="I27" i="9"/>
  <c r="K34" i="31" s="1"/>
  <c r="I25" i="9"/>
  <c r="K32" i="31" s="1"/>
  <c r="I23" i="9"/>
  <c r="K30" i="31" s="1"/>
  <c r="I21" i="9"/>
  <c r="K28" i="31" s="1"/>
  <c r="I19" i="9"/>
  <c r="K26" i="31" s="1"/>
  <c r="I17" i="9"/>
  <c r="K24" i="31" s="1"/>
  <c r="I15" i="9"/>
  <c r="K22" i="31" s="1"/>
  <c r="I13" i="9"/>
  <c r="K20" i="31" s="1"/>
  <c r="I11" i="9"/>
  <c r="K18" i="31" s="1"/>
  <c r="I9" i="9"/>
  <c r="K16" i="31" s="1"/>
  <c r="J14"/>
  <c r="I7" i="9"/>
  <c r="K14" i="31" s="1"/>
  <c r="D16" i="45"/>
  <c r="H25"/>
  <c r="F25"/>
  <c r="D25"/>
  <c r="H24"/>
  <c r="F24"/>
  <c r="D24"/>
  <c r="H23"/>
  <c r="F23"/>
  <c r="D23"/>
  <c r="H22"/>
  <c r="F22"/>
  <c r="D22"/>
  <c r="H21"/>
  <c r="F21"/>
  <c r="D21"/>
  <c r="H20"/>
  <c r="F20"/>
  <c r="D20"/>
  <c r="H19"/>
  <c r="F19"/>
  <c r="D19"/>
  <c r="H18"/>
  <c r="F18"/>
  <c r="D18"/>
  <c r="H17"/>
  <c r="F17"/>
  <c r="D17"/>
  <c r="H16"/>
  <c r="F16"/>
  <c r="J15"/>
  <c r="D25" i="44"/>
  <c r="D24"/>
  <c r="D23"/>
  <c r="D22"/>
  <c r="D21"/>
  <c r="D20"/>
  <c r="D19"/>
  <c r="D18"/>
  <c r="D17"/>
  <c r="D16"/>
  <c r="F25"/>
  <c r="F24"/>
  <c r="F23"/>
  <c r="F22"/>
  <c r="F21"/>
  <c r="F20"/>
  <c r="F19"/>
  <c r="F18"/>
  <c r="F17"/>
  <c r="F16"/>
  <c r="H25"/>
  <c r="H24"/>
  <c r="H23"/>
  <c r="H22"/>
  <c r="H21"/>
  <c r="H20"/>
  <c r="H19"/>
  <c r="H18"/>
  <c r="H17"/>
  <c r="H16"/>
  <c r="J15"/>
  <c r="J24" s="1"/>
  <c r="J19" l="1"/>
  <c r="L15"/>
  <c r="L24" s="1"/>
  <c r="J23"/>
  <c r="J21"/>
  <c r="J17"/>
  <c r="J25"/>
  <c r="L18"/>
  <c r="L23"/>
  <c r="J16"/>
  <c r="J18"/>
  <c r="J20"/>
  <c r="J22"/>
  <c r="J25" i="45"/>
  <c r="J23"/>
  <c r="J21"/>
  <c r="J19"/>
  <c r="J17"/>
  <c r="J24"/>
  <c r="J22"/>
  <c r="J20"/>
  <c r="J18"/>
  <c r="J16"/>
  <c r="L15"/>
  <c r="L19" i="44" l="1"/>
  <c r="L20"/>
  <c r="N15"/>
  <c r="N22" s="1"/>
  <c r="L22"/>
  <c r="L16"/>
  <c r="L21"/>
  <c r="L17"/>
  <c r="L25"/>
  <c r="N24"/>
  <c r="N20"/>
  <c r="N16"/>
  <c r="N21"/>
  <c r="N23"/>
  <c r="P15"/>
  <c r="L24" i="45"/>
  <c r="L22"/>
  <c r="L20"/>
  <c r="L18"/>
  <c r="L16"/>
  <c r="L25"/>
  <c r="L23"/>
  <c r="L21"/>
  <c r="L19"/>
  <c r="L17"/>
  <c r="N15"/>
  <c r="E37" i="18"/>
  <c r="E38"/>
  <c r="E39"/>
  <c r="E40"/>
  <c r="E41"/>
  <c r="E42"/>
  <c r="E43"/>
  <c r="E44"/>
  <c r="E45"/>
  <c r="E46"/>
  <c r="E47"/>
  <c r="E48"/>
  <c r="E49"/>
  <c r="E50"/>
  <c r="E51"/>
  <c r="E52"/>
  <c r="W9" i="34"/>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8"/>
  <c r="N19" i="44" l="1"/>
  <c r="N17"/>
  <c r="N25"/>
  <c r="N18"/>
  <c r="P24"/>
  <c r="P22"/>
  <c r="P20"/>
  <c r="P18"/>
  <c r="P16"/>
  <c r="R15"/>
  <c r="P23"/>
  <c r="P19"/>
  <c r="P25"/>
  <c r="P21"/>
  <c r="P17"/>
  <c r="N25" i="45"/>
  <c r="N23"/>
  <c r="N21"/>
  <c r="N19"/>
  <c r="N17"/>
  <c r="N24"/>
  <c r="N22"/>
  <c r="N20"/>
  <c r="N18"/>
  <c r="N16"/>
  <c r="P15"/>
  <c r="L2" i="16"/>
  <c r="DG14" i="30"/>
  <c r="CU14"/>
  <c r="CI14"/>
  <c r="BW14"/>
  <c r="BK14"/>
  <c r="AY14"/>
  <c r="AM14"/>
  <c r="AA14"/>
  <c r="O14"/>
  <c r="C14"/>
  <c r="F2" i="34"/>
  <c r="R24" i="44" l="1"/>
  <c r="R22"/>
  <c r="R20"/>
  <c r="R18"/>
  <c r="R16"/>
  <c r="R25"/>
  <c r="R21"/>
  <c r="R17"/>
  <c r="T15"/>
  <c r="R23"/>
  <c r="R19"/>
  <c r="P24" i="45"/>
  <c r="P22"/>
  <c r="P20"/>
  <c r="P18"/>
  <c r="P16"/>
  <c r="P25"/>
  <c r="P23"/>
  <c r="P21"/>
  <c r="P19"/>
  <c r="P17"/>
  <c r="R15"/>
  <c r="B59" i="31"/>
  <c r="C59"/>
  <c r="B60"/>
  <c r="C60"/>
  <c r="B61"/>
  <c r="C61"/>
  <c r="A59"/>
  <c r="A60"/>
  <c r="A61"/>
  <c r="BH2" i="16"/>
  <c r="AY2" i="17"/>
  <c r="BB2" i="16"/>
  <c r="AT2" i="17"/>
  <c r="AV2" i="16"/>
  <c r="AO2" i="17"/>
  <c r="AP2" i="16"/>
  <c r="AJ2" i="17"/>
  <c r="AJ2" i="16"/>
  <c r="AE2" i="17"/>
  <c r="AD2" i="16"/>
  <c r="Z2" i="17"/>
  <c r="X2" i="16"/>
  <c r="U2" i="17"/>
  <c r="R2" i="16"/>
  <c r="P2" i="17"/>
  <c r="K2"/>
  <c r="F2" i="16"/>
  <c r="F2" i="17"/>
  <c r="I8" i="31"/>
  <c r="D9"/>
  <c r="T24" i="44" l="1"/>
  <c r="T22"/>
  <c r="T20"/>
  <c r="T18"/>
  <c r="T16"/>
  <c r="V15"/>
  <c r="T23"/>
  <c r="T19"/>
  <c r="T25"/>
  <c r="T21"/>
  <c r="T17"/>
  <c r="R25" i="45"/>
  <c r="R23"/>
  <c r="R21"/>
  <c r="R19"/>
  <c r="R17"/>
  <c r="R24"/>
  <c r="R22"/>
  <c r="R20"/>
  <c r="R18"/>
  <c r="R16"/>
  <c r="T15"/>
  <c r="I2" i="30"/>
  <c r="I1"/>
  <c r="L5" i="29"/>
  <c r="A67"/>
  <c r="B67"/>
  <c r="A68"/>
  <c r="B68"/>
  <c r="A69"/>
  <c r="B69"/>
  <c r="V24" i="44" l="1"/>
  <c r="V22"/>
  <c r="V20"/>
  <c r="V18"/>
  <c r="V16"/>
  <c r="V25"/>
  <c r="V21"/>
  <c r="V17"/>
  <c r="V23"/>
  <c r="V19"/>
  <c r="X15"/>
  <c r="T24" i="45"/>
  <c r="T22"/>
  <c r="T20"/>
  <c r="T18"/>
  <c r="T16"/>
  <c r="T25"/>
  <c r="T23"/>
  <c r="T21"/>
  <c r="T19"/>
  <c r="T17"/>
  <c r="V15"/>
  <c r="R2" i="39"/>
  <c r="A1"/>
  <c r="X24" i="44" l="1"/>
  <c r="X22"/>
  <c r="X20"/>
  <c r="X18"/>
  <c r="X16"/>
  <c r="Z15"/>
  <c r="X25"/>
  <c r="X21"/>
  <c r="X17"/>
  <c r="X23"/>
  <c r="X19"/>
  <c r="V25" i="45"/>
  <c r="V23"/>
  <c r="V21"/>
  <c r="V19"/>
  <c r="V17"/>
  <c r="V24"/>
  <c r="V22"/>
  <c r="V20"/>
  <c r="V18"/>
  <c r="V16"/>
  <c r="X15"/>
  <c r="K2" i="40"/>
  <c r="A2"/>
  <c r="A1"/>
  <c r="D56"/>
  <c r="C56"/>
  <c r="B56"/>
  <c r="A56"/>
  <c r="D55"/>
  <c r="C55"/>
  <c r="B55"/>
  <c r="A55"/>
  <c r="D54"/>
  <c r="C54"/>
  <c r="B54"/>
  <c r="A54"/>
  <c r="D53"/>
  <c r="C53"/>
  <c r="B53"/>
  <c r="A53"/>
  <c r="D52"/>
  <c r="C52"/>
  <c r="B52"/>
  <c r="A52"/>
  <c r="D51"/>
  <c r="C51"/>
  <c r="B51"/>
  <c r="A51"/>
  <c r="D50"/>
  <c r="C50"/>
  <c r="B50"/>
  <c r="A50"/>
  <c r="D49"/>
  <c r="C49"/>
  <c r="B49"/>
  <c r="A49"/>
  <c r="D48"/>
  <c r="C48"/>
  <c r="B48"/>
  <c r="A48"/>
  <c r="D47"/>
  <c r="C47"/>
  <c r="B47"/>
  <c r="A47"/>
  <c r="D46"/>
  <c r="C46"/>
  <c r="B46"/>
  <c r="A46"/>
  <c r="D45"/>
  <c r="C45"/>
  <c r="B45"/>
  <c r="A45"/>
  <c r="D44"/>
  <c r="C44"/>
  <c r="B44"/>
  <c r="A44"/>
  <c r="D43"/>
  <c r="C43"/>
  <c r="B43"/>
  <c r="A43"/>
  <c r="D42"/>
  <c r="C42"/>
  <c r="B42"/>
  <c r="A42"/>
  <c r="D41"/>
  <c r="C41"/>
  <c r="B41"/>
  <c r="A41"/>
  <c r="D40"/>
  <c r="C40"/>
  <c r="B40"/>
  <c r="A40"/>
  <c r="D39"/>
  <c r="C39"/>
  <c r="B39"/>
  <c r="A39"/>
  <c r="D38"/>
  <c r="C38"/>
  <c r="B38"/>
  <c r="A38"/>
  <c r="D37"/>
  <c r="C37"/>
  <c r="B37"/>
  <c r="A37"/>
  <c r="D36"/>
  <c r="C36"/>
  <c r="B36"/>
  <c r="A36"/>
  <c r="D35"/>
  <c r="C35"/>
  <c r="B35"/>
  <c r="A35"/>
  <c r="D34"/>
  <c r="C34"/>
  <c r="B34"/>
  <c r="A34"/>
  <c r="D33"/>
  <c r="C33"/>
  <c r="B33"/>
  <c r="A33"/>
  <c r="D32"/>
  <c r="C32"/>
  <c r="B32"/>
  <c r="A32"/>
  <c r="D31"/>
  <c r="C31"/>
  <c r="B31"/>
  <c r="A31"/>
  <c r="D30"/>
  <c r="C30"/>
  <c r="B30"/>
  <c r="A30"/>
  <c r="D29"/>
  <c r="C29"/>
  <c r="B29"/>
  <c r="A29"/>
  <c r="D28"/>
  <c r="C28"/>
  <c r="B28"/>
  <c r="A28"/>
  <c r="D27"/>
  <c r="C27"/>
  <c r="B27"/>
  <c r="A27"/>
  <c r="D26"/>
  <c r="C26"/>
  <c r="B26"/>
  <c r="A26"/>
  <c r="D25"/>
  <c r="C25"/>
  <c r="B25"/>
  <c r="A25"/>
  <c r="D24"/>
  <c r="C24"/>
  <c r="B24"/>
  <c r="A24"/>
  <c r="D23"/>
  <c r="C23"/>
  <c r="B23"/>
  <c r="A23"/>
  <c r="D22"/>
  <c r="C22"/>
  <c r="B22"/>
  <c r="A22"/>
  <c r="D21"/>
  <c r="C21"/>
  <c r="B21"/>
  <c r="A21"/>
  <c r="D20"/>
  <c r="C20"/>
  <c r="B20"/>
  <c r="A20"/>
  <c r="D19"/>
  <c r="C19"/>
  <c r="B19"/>
  <c r="A19"/>
  <c r="D18"/>
  <c r="C18"/>
  <c r="B18"/>
  <c r="A18"/>
  <c r="D17"/>
  <c r="C17"/>
  <c r="B17"/>
  <c r="A17"/>
  <c r="D16"/>
  <c r="C16"/>
  <c r="B16"/>
  <c r="A16"/>
  <c r="D15"/>
  <c r="C15"/>
  <c r="B15"/>
  <c r="A15"/>
  <c r="D14"/>
  <c r="C14"/>
  <c r="B14"/>
  <c r="A14"/>
  <c r="D13"/>
  <c r="C13"/>
  <c r="B13"/>
  <c r="A13"/>
  <c r="D12"/>
  <c r="C12"/>
  <c r="B12"/>
  <c r="A12"/>
  <c r="D11"/>
  <c r="C11"/>
  <c r="B11"/>
  <c r="A11"/>
  <c r="D10"/>
  <c r="C10"/>
  <c r="B10"/>
  <c r="A10"/>
  <c r="D9"/>
  <c r="C9"/>
  <c r="B9"/>
  <c r="A9"/>
  <c r="D55" i="39"/>
  <c r="C55"/>
  <c r="B55"/>
  <c r="A55"/>
  <c r="D54"/>
  <c r="C54"/>
  <c r="B54"/>
  <c r="A54"/>
  <c r="D53"/>
  <c r="C53"/>
  <c r="B53"/>
  <c r="A53"/>
  <c r="D52"/>
  <c r="C52"/>
  <c r="B52"/>
  <c r="A52"/>
  <c r="D51"/>
  <c r="C51"/>
  <c r="B51"/>
  <c r="A51"/>
  <c r="D50"/>
  <c r="C50"/>
  <c r="B50"/>
  <c r="A50"/>
  <c r="D49"/>
  <c r="C49"/>
  <c r="B49"/>
  <c r="A49"/>
  <c r="D48"/>
  <c r="C48"/>
  <c r="B48"/>
  <c r="A48"/>
  <c r="D47"/>
  <c r="C47"/>
  <c r="B47"/>
  <c r="A47"/>
  <c r="D46"/>
  <c r="C46"/>
  <c r="B46"/>
  <c r="A46"/>
  <c r="D45"/>
  <c r="C45"/>
  <c r="B45"/>
  <c r="A45"/>
  <c r="D44"/>
  <c r="C44"/>
  <c r="B44"/>
  <c r="A44"/>
  <c r="D43"/>
  <c r="C43"/>
  <c r="B43"/>
  <c r="A43"/>
  <c r="D42"/>
  <c r="C42"/>
  <c r="B42"/>
  <c r="A42"/>
  <c r="D41"/>
  <c r="C41"/>
  <c r="B41"/>
  <c r="A41"/>
  <c r="D40"/>
  <c r="C40"/>
  <c r="B40"/>
  <c r="A40"/>
  <c r="D39"/>
  <c r="C39"/>
  <c r="B39"/>
  <c r="A39"/>
  <c r="D38"/>
  <c r="C38"/>
  <c r="B38"/>
  <c r="A38"/>
  <c r="D37"/>
  <c r="C37"/>
  <c r="B37"/>
  <c r="A37"/>
  <c r="D36"/>
  <c r="C36"/>
  <c r="B36"/>
  <c r="A36"/>
  <c r="D35"/>
  <c r="C35"/>
  <c r="B35"/>
  <c r="A35"/>
  <c r="D34"/>
  <c r="C34"/>
  <c r="B34"/>
  <c r="A34"/>
  <c r="D33"/>
  <c r="C33"/>
  <c r="B33"/>
  <c r="A33"/>
  <c r="D32"/>
  <c r="C32"/>
  <c r="B32"/>
  <c r="A32"/>
  <c r="D31"/>
  <c r="C31"/>
  <c r="B31"/>
  <c r="A31"/>
  <c r="D30"/>
  <c r="C30"/>
  <c r="B30"/>
  <c r="A30"/>
  <c r="D29"/>
  <c r="C29"/>
  <c r="B29"/>
  <c r="A29"/>
  <c r="D28"/>
  <c r="C28"/>
  <c r="B28"/>
  <c r="A28"/>
  <c r="D27"/>
  <c r="C27"/>
  <c r="B27"/>
  <c r="A27"/>
  <c r="D26"/>
  <c r="C26"/>
  <c r="B26"/>
  <c r="A26"/>
  <c r="D25"/>
  <c r="C25"/>
  <c r="B25"/>
  <c r="A25"/>
  <c r="D24"/>
  <c r="C24"/>
  <c r="B24"/>
  <c r="A24"/>
  <c r="D23"/>
  <c r="C23"/>
  <c r="B23"/>
  <c r="A23"/>
  <c r="D22"/>
  <c r="C22"/>
  <c r="B22"/>
  <c r="A22"/>
  <c r="D21"/>
  <c r="C21"/>
  <c r="B21"/>
  <c r="A21"/>
  <c r="D20"/>
  <c r="C20"/>
  <c r="B20"/>
  <c r="A20"/>
  <c r="D19"/>
  <c r="C19"/>
  <c r="B19"/>
  <c r="A19"/>
  <c r="D18"/>
  <c r="C18"/>
  <c r="B18"/>
  <c r="A18"/>
  <c r="D17"/>
  <c r="C17"/>
  <c r="B17"/>
  <c r="A17"/>
  <c r="D16"/>
  <c r="C16"/>
  <c r="B16"/>
  <c r="A16"/>
  <c r="D15"/>
  <c r="C15"/>
  <c r="B15"/>
  <c r="A15"/>
  <c r="D14"/>
  <c r="C14"/>
  <c r="B14"/>
  <c r="A14"/>
  <c r="D13"/>
  <c r="C13"/>
  <c r="B13"/>
  <c r="A13"/>
  <c r="D12"/>
  <c r="C12"/>
  <c r="B12"/>
  <c r="A12"/>
  <c r="D11"/>
  <c r="C11"/>
  <c r="B11"/>
  <c r="A11"/>
  <c r="D10"/>
  <c r="C10"/>
  <c r="B10"/>
  <c r="A10"/>
  <c r="D9"/>
  <c r="C9"/>
  <c r="B9"/>
  <c r="A9"/>
  <c r="D8"/>
  <c r="C8"/>
  <c r="B8"/>
  <c r="A8"/>
  <c r="E10" i="4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5" i="38"/>
  <c r="E9" i="40"/>
  <c r="A1" i="38"/>
  <c r="D55"/>
  <c r="C55"/>
  <c r="B55"/>
  <c r="A55"/>
  <c r="E54"/>
  <c r="D54"/>
  <c r="C54"/>
  <c r="B54"/>
  <c r="A54"/>
  <c r="E53"/>
  <c r="D53"/>
  <c r="C53"/>
  <c r="B53"/>
  <c r="A53"/>
  <c r="E52"/>
  <c r="D52"/>
  <c r="C52"/>
  <c r="B52"/>
  <c r="A52"/>
  <c r="E51"/>
  <c r="D51"/>
  <c r="C51"/>
  <c r="B51"/>
  <c r="A51"/>
  <c r="E50"/>
  <c r="D50"/>
  <c r="C50"/>
  <c r="B50"/>
  <c r="A50"/>
  <c r="E49"/>
  <c r="D49"/>
  <c r="C49"/>
  <c r="B49"/>
  <c r="A49"/>
  <c r="E48"/>
  <c r="D48"/>
  <c r="C48"/>
  <c r="B48"/>
  <c r="A48"/>
  <c r="E47"/>
  <c r="D47"/>
  <c r="C47"/>
  <c r="B47"/>
  <c r="A47"/>
  <c r="E46"/>
  <c r="D46"/>
  <c r="C46"/>
  <c r="B46"/>
  <c r="A46"/>
  <c r="E45"/>
  <c r="D45"/>
  <c r="C45"/>
  <c r="B45"/>
  <c r="A45"/>
  <c r="E44"/>
  <c r="D44"/>
  <c r="C44"/>
  <c r="B44"/>
  <c r="A44"/>
  <c r="E43"/>
  <c r="D43"/>
  <c r="C43"/>
  <c r="B43"/>
  <c r="A43"/>
  <c r="E42"/>
  <c r="D42"/>
  <c r="C42"/>
  <c r="B42"/>
  <c r="A42"/>
  <c r="E41"/>
  <c r="D41"/>
  <c r="C41"/>
  <c r="B41"/>
  <c r="A41"/>
  <c r="E40"/>
  <c r="D40"/>
  <c r="C40"/>
  <c r="B40"/>
  <c r="A40"/>
  <c r="E39"/>
  <c r="D39"/>
  <c r="C39"/>
  <c r="B39"/>
  <c r="A39"/>
  <c r="E38"/>
  <c r="D38"/>
  <c r="C38"/>
  <c r="B38"/>
  <c r="A38"/>
  <c r="E37"/>
  <c r="D37"/>
  <c r="C37"/>
  <c r="B37"/>
  <c r="A37"/>
  <c r="E36"/>
  <c r="D36"/>
  <c r="C36"/>
  <c r="B36"/>
  <c r="A36"/>
  <c r="E35"/>
  <c r="D35"/>
  <c r="C35"/>
  <c r="B35"/>
  <c r="A35"/>
  <c r="E34"/>
  <c r="D34"/>
  <c r="C34"/>
  <c r="B34"/>
  <c r="A34"/>
  <c r="E33"/>
  <c r="D33"/>
  <c r="C33"/>
  <c r="B33"/>
  <c r="A33"/>
  <c r="E32"/>
  <c r="D32"/>
  <c r="C32"/>
  <c r="B32"/>
  <c r="A32"/>
  <c r="E31"/>
  <c r="D31"/>
  <c r="C31"/>
  <c r="B31"/>
  <c r="A31"/>
  <c r="E30"/>
  <c r="D30"/>
  <c r="C30"/>
  <c r="B30"/>
  <c r="A30"/>
  <c r="E29"/>
  <c r="D29"/>
  <c r="C29"/>
  <c r="B29"/>
  <c r="A29"/>
  <c r="E28"/>
  <c r="D28"/>
  <c r="C28"/>
  <c r="B28"/>
  <c r="A28"/>
  <c r="E27"/>
  <c r="D27"/>
  <c r="C27"/>
  <c r="B27"/>
  <c r="A27"/>
  <c r="E26"/>
  <c r="D26"/>
  <c r="C26"/>
  <c r="B26"/>
  <c r="A26"/>
  <c r="E25"/>
  <c r="D25"/>
  <c r="C25"/>
  <c r="B25"/>
  <c r="A25"/>
  <c r="E24"/>
  <c r="D24"/>
  <c r="C24"/>
  <c r="B24"/>
  <c r="A24"/>
  <c r="E23"/>
  <c r="D23"/>
  <c r="C23"/>
  <c r="B23"/>
  <c r="A23"/>
  <c r="E22"/>
  <c r="D22"/>
  <c r="C22"/>
  <c r="B22"/>
  <c r="A22"/>
  <c r="E21"/>
  <c r="D21"/>
  <c r="C21"/>
  <c r="B21"/>
  <c r="A21"/>
  <c r="E20"/>
  <c r="D20"/>
  <c r="C20"/>
  <c r="B20"/>
  <c r="A20"/>
  <c r="E19"/>
  <c r="D19"/>
  <c r="C19"/>
  <c r="B19"/>
  <c r="A19"/>
  <c r="E18"/>
  <c r="D18"/>
  <c r="C18"/>
  <c r="B18"/>
  <c r="A18"/>
  <c r="E17"/>
  <c r="D17"/>
  <c r="C17"/>
  <c r="B17"/>
  <c r="A17"/>
  <c r="E16"/>
  <c r="D16"/>
  <c r="C16"/>
  <c r="B16"/>
  <c r="A16"/>
  <c r="E15"/>
  <c r="D15"/>
  <c r="C15"/>
  <c r="B15"/>
  <c r="A15"/>
  <c r="E14"/>
  <c r="D14"/>
  <c r="C14"/>
  <c r="B14"/>
  <c r="A14"/>
  <c r="E13"/>
  <c r="D13"/>
  <c r="C13"/>
  <c r="B13"/>
  <c r="A13"/>
  <c r="E12"/>
  <c r="D12"/>
  <c r="C12"/>
  <c r="B12"/>
  <c r="A12"/>
  <c r="E11"/>
  <c r="D11"/>
  <c r="C11"/>
  <c r="B11"/>
  <c r="A11"/>
  <c r="E10"/>
  <c r="D10"/>
  <c r="C10"/>
  <c r="B10"/>
  <c r="A10"/>
  <c r="E9"/>
  <c r="D9"/>
  <c r="C9"/>
  <c r="B9"/>
  <c r="A9"/>
  <c r="E8"/>
  <c r="D8"/>
  <c r="C8"/>
  <c r="B8"/>
  <c r="A8"/>
  <c r="Z24" i="44" l="1"/>
  <c r="Z22"/>
  <c r="Z20"/>
  <c r="Z18"/>
  <c r="Z16"/>
  <c r="Z23"/>
  <c r="Z19"/>
  <c r="AB15"/>
  <c r="Z25"/>
  <c r="Z21"/>
  <c r="Z17"/>
  <c r="X24" i="45"/>
  <c r="X22"/>
  <c r="X20"/>
  <c r="X18"/>
  <c r="X16"/>
  <c r="X25"/>
  <c r="X23"/>
  <c r="X21"/>
  <c r="X19"/>
  <c r="X17"/>
  <c r="Z15"/>
  <c r="E8" i="39"/>
  <c r="E10"/>
  <c r="E12"/>
  <c r="E14"/>
  <c r="E16"/>
  <c r="E18"/>
  <c r="E20"/>
  <c r="E22"/>
  <c r="E24"/>
  <c r="E26"/>
  <c r="E28"/>
  <c r="E30"/>
  <c r="E32"/>
  <c r="E34"/>
  <c r="E36"/>
  <c r="E38"/>
  <c r="E40"/>
  <c r="E42"/>
  <c r="E44"/>
  <c r="E46"/>
  <c r="E48"/>
  <c r="E50"/>
  <c r="E52"/>
  <c r="E54"/>
  <c r="E9"/>
  <c r="E11"/>
  <c r="E13"/>
  <c r="E15"/>
  <c r="E17"/>
  <c r="E19"/>
  <c r="E21"/>
  <c r="E23"/>
  <c r="E25"/>
  <c r="E27"/>
  <c r="E29"/>
  <c r="E31"/>
  <c r="E33"/>
  <c r="E35"/>
  <c r="E37"/>
  <c r="E39"/>
  <c r="E41"/>
  <c r="E43"/>
  <c r="E45"/>
  <c r="E47"/>
  <c r="E49"/>
  <c r="E51"/>
  <c r="E53"/>
  <c r="E55"/>
  <c r="E56" i="40"/>
  <c r="AB24" i="44" l="1"/>
  <c r="AB22"/>
  <c r="AB20"/>
  <c r="AB18"/>
  <c r="AB16"/>
  <c r="AD15"/>
  <c r="AB23"/>
  <c r="AB19"/>
  <c r="AB25"/>
  <c r="AB21"/>
  <c r="AB17"/>
  <c r="Z25" i="45"/>
  <c r="Z23"/>
  <c r="Z21"/>
  <c r="Z19"/>
  <c r="Z17"/>
  <c r="Z24"/>
  <c r="Z22"/>
  <c r="Z20"/>
  <c r="Z18"/>
  <c r="Z16"/>
  <c r="AB15"/>
  <c r="AY52" i="23"/>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G52"/>
  <c r="F52"/>
  <c r="E52"/>
  <c r="D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G46"/>
  <c r="F46"/>
  <c r="E46"/>
  <c r="D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G40"/>
  <c r="F40"/>
  <c r="E40"/>
  <c r="D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G35"/>
  <c r="F35"/>
  <c r="E35"/>
  <c r="D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G29"/>
  <c r="F29"/>
  <c r="E29"/>
  <c r="D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G23"/>
  <c r="F23"/>
  <c r="E23"/>
  <c r="D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G14"/>
  <c r="F14"/>
  <c r="E14"/>
  <c r="D14"/>
  <c r="AY8"/>
  <c r="AX8"/>
  <c r="AW8"/>
  <c r="AV8"/>
  <c r="AU8"/>
  <c r="AT8"/>
  <c r="AS8"/>
  <c r="AR8"/>
  <c r="AQ8"/>
  <c r="AP8"/>
  <c r="AO8"/>
  <c r="AN8"/>
  <c r="AM8"/>
  <c r="AL8"/>
  <c r="AK8"/>
  <c r="AJ8"/>
  <c r="AI8"/>
  <c r="AH8"/>
  <c r="AG8"/>
  <c r="AF8"/>
  <c r="AE8"/>
  <c r="AD8"/>
  <c r="AC8"/>
  <c r="AB8"/>
  <c r="AA8"/>
  <c r="Z8"/>
  <c r="Y8"/>
  <c r="X8"/>
  <c r="W8"/>
  <c r="V8"/>
  <c r="U8"/>
  <c r="T8"/>
  <c r="S8"/>
  <c r="R8"/>
  <c r="Q8"/>
  <c r="P8"/>
  <c r="O8"/>
  <c r="N8"/>
  <c r="M8"/>
  <c r="L8"/>
  <c r="K8"/>
  <c r="J8"/>
  <c r="I8"/>
  <c r="H8"/>
  <c r="G8"/>
  <c r="F8"/>
  <c r="E8"/>
  <c r="D8"/>
  <c r="AY52" i="37"/>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G52"/>
  <c r="F52"/>
  <c r="E52"/>
  <c r="D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G46"/>
  <c r="F46"/>
  <c r="E46"/>
  <c r="D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G40"/>
  <c r="F40"/>
  <c r="E40"/>
  <c r="D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G35"/>
  <c r="F35"/>
  <c r="E35"/>
  <c r="D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G29"/>
  <c r="F29"/>
  <c r="E29"/>
  <c r="D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G23"/>
  <c r="F23"/>
  <c r="E23"/>
  <c r="D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G14"/>
  <c r="F14"/>
  <c r="E14"/>
  <c r="D14"/>
  <c r="AY8"/>
  <c r="AX8"/>
  <c r="AW8"/>
  <c r="AV8"/>
  <c r="AU8"/>
  <c r="AT8"/>
  <c r="AS8"/>
  <c r="AR8"/>
  <c r="AQ8"/>
  <c r="AP8"/>
  <c r="AO8"/>
  <c r="AN8"/>
  <c r="AM8"/>
  <c r="AL8"/>
  <c r="AK8"/>
  <c r="AJ8"/>
  <c r="AI8"/>
  <c r="AH8"/>
  <c r="AG8"/>
  <c r="AF8"/>
  <c r="AE8"/>
  <c r="AD8"/>
  <c r="AC8"/>
  <c r="AB8"/>
  <c r="AA8"/>
  <c r="Z8"/>
  <c r="Y8"/>
  <c r="X8"/>
  <c r="W8"/>
  <c r="V8"/>
  <c r="U8"/>
  <c r="T8"/>
  <c r="S8"/>
  <c r="R8"/>
  <c r="Q8"/>
  <c r="P8"/>
  <c r="O8"/>
  <c r="N8"/>
  <c r="M8"/>
  <c r="L8"/>
  <c r="K8"/>
  <c r="J8"/>
  <c r="I8"/>
  <c r="H8"/>
  <c r="G8"/>
  <c r="F8"/>
  <c r="E8"/>
  <c r="D8"/>
  <c r="E8" i="36"/>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D8"/>
  <c r="AY52"/>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G52"/>
  <c r="F52"/>
  <c r="E52"/>
  <c r="D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G46"/>
  <c r="F46"/>
  <c r="E46"/>
  <c r="D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G40"/>
  <c r="F40"/>
  <c r="E40"/>
  <c r="D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G35"/>
  <c r="F35"/>
  <c r="E35"/>
  <c r="D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G29"/>
  <c r="F29"/>
  <c r="E29"/>
  <c r="D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G23"/>
  <c r="F23"/>
  <c r="E23"/>
  <c r="D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G14"/>
  <c r="F14"/>
  <c r="E14"/>
  <c r="D14"/>
  <c r="E46" i="21"/>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D46"/>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D40"/>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D34"/>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D29"/>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D23"/>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D17"/>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D8"/>
  <c r="F3" i="34"/>
  <c r="A48"/>
  <c r="A49"/>
  <c r="A50"/>
  <c r="A51"/>
  <c r="A52"/>
  <c r="A53"/>
  <c r="A54"/>
  <c r="A55"/>
  <c r="B48"/>
  <c r="B49"/>
  <c r="B50"/>
  <c r="B51"/>
  <c r="B52"/>
  <c r="B53"/>
  <c r="B54"/>
  <c r="B55"/>
  <c r="AD24" i="44" l="1"/>
  <c r="AD22"/>
  <c r="AD20"/>
  <c r="AD18"/>
  <c r="AD16"/>
  <c r="AD25"/>
  <c r="AD21"/>
  <c r="AD17"/>
  <c r="AD23"/>
  <c r="AD19"/>
  <c r="AF15"/>
  <c r="AB24" i="45"/>
  <c r="AB22"/>
  <c r="AB20"/>
  <c r="AB18"/>
  <c r="AB16"/>
  <c r="AB25"/>
  <c r="AB23"/>
  <c r="AB21"/>
  <c r="AB19"/>
  <c r="AB17"/>
  <c r="AD15"/>
  <c r="AF24" i="44" l="1"/>
  <c r="AF22"/>
  <c r="AF20"/>
  <c r="AF18"/>
  <c r="AF16"/>
  <c r="AH15"/>
  <c r="AF23"/>
  <c r="AF19"/>
  <c r="AF25"/>
  <c r="AF21"/>
  <c r="AF17"/>
  <c r="AD25" i="45"/>
  <c r="AD23"/>
  <c r="AD21"/>
  <c r="AD19"/>
  <c r="AD17"/>
  <c r="AD24"/>
  <c r="AD22"/>
  <c r="AD20"/>
  <c r="AD18"/>
  <c r="AD16"/>
  <c r="AF15"/>
  <c r="AY7" i="27"/>
  <c r="AX7"/>
  <c r="AW7"/>
  <c r="AV7"/>
  <c r="AU7"/>
  <c r="AT7"/>
  <c r="AS7"/>
  <c r="AR7"/>
  <c r="AQ7"/>
  <c r="AP7"/>
  <c r="AO7"/>
  <c r="AN7"/>
  <c r="AM7"/>
  <c r="AL7"/>
  <c r="AK7"/>
  <c r="AJ7"/>
  <c r="AI7"/>
  <c r="AH7"/>
  <c r="AG7"/>
  <c r="AF7"/>
  <c r="AE7"/>
  <c r="AD7"/>
  <c r="AC7"/>
  <c r="AB7"/>
  <c r="AA7"/>
  <c r="Z7"/>
  <c r="Y7"/>
  <c r="X7"/>
  <c r="W7"/>
  <c r="V7"/>
  <c r="U7"/>
  <c r="T7"/>
  <c r="S7"/>
  <c r="R7"/>
  <c r="Q7"/>
  <c r="P7"/>
  <c r="O7"/>
  <c r="N7"/>
  <c r="M7"/>
  <c r="L7"/>
  <c r="K7"/>
  <c r="J7"/>
  <c r="I7"/>
  <c r="H7"/>
  <c r="G7"/>
  <c r="F7"/>
  <c r="E7"/>
  <c r="AY6"/>
  <c r="AX6"/>
  <c r="AW6"/>
  <c r="AV6"/>
  <c r="AU6"/>
  <c r="AT6"/>
  <c r="AS6"/>
  <c r="AR6"/>
  <c r="AQ6"/>
  <c r="AP6"/>
  <c r="AO6"/>
  <c r="AN6"/>
  <c r="AM6"/>
  <c r="AL6"/>
  <c r="AK6"/>
  <c r="AJ6"/>
  <c r="AI6"/>
  <c r="AH6"/>
  <c r="AG6"/>
  <c r="AF6"/>
  <c r="AE6"/>
  <c r="AD6"/>
  <c r="AC6"/>
  <c r="AB6"/>
  <c r="AA6"/>
  <c r="Z6"/>
  <c r="Y6"/>
  <c r="X6"/>
  <c r="W6"/>
  <c r="V6"/>
  <c r="U6"/>
  <c r="T6"/>
  <c r="S6"/>
  <c r="R6"/>
  <c r="Q6"/>
  <c r="P6"/>
  <c r="O6"/>
  <c r="N6"/>
  <c r="M6"/>
  <c r="L6"/>
  <c r="K6"/>
  <c r="J6"/>
  <c r="I6"/>
  <c r="H6"/>
  <c r="G6"/>
  <c r="F6"/>
  <c r="E6"/>
  <c r="AY5"/>
  <c r="AX5"/>
  <c r="AW5"/>
  <c r="AV5"/>
  <c r="AU5"/>
  <c r="AT5"/>
  <c r="AS5"/>
  <c r="AR5"/>
  <c r="AQ5"/>
  <c r="AP5"/>
  <c r="AO5"/>
  <c r="AN5"/>
  <c r="AM5"/>
  <c r="AL5"/>
  <c r="AK5"/>
  <c r="AJ5"/>
  <c r="AI5"/>
  <c r="AH5"/>
  <c r="AG5"/>
  <c r="AF5"/>
  <c r="AE5"/>
  <c r="AD5"/>
  <c r="AC5"/>
  <c r="AB5"/>
  <c r="AA5"/>
  <c r="Z5"/>
  <c r="Y5"/>
  <c r="X5"/>
  <c r="W5"/>
  <c r="V5"/>
  <c r="U5"/>
  <c r="T5"/>
  <c r="S5"/>
  <c r="R5"/>
  <c r="Q5"/>
  <c r="P5"/>
  <c r="O5"/>
  <c r="N5"/>
  <c r="M5"/>
  <c r="L5"/>
  <c r="K5"/>
  <c r="J5"/>
  <c r="I5"/>
  <c r="H5"/>
  <c r="G5"/>
  <c r="F5"/>
  <c r="E5"/>
  <c r="AY4"/>
  <c r="AX4"/>
  <c r="AW4"/>
  <c r="AV4"/>
  <c r="AU4"/>
  <c r="AT4"/>
  <c r="AS4"/>
  <c r="AR4"/>
  <c r="AQ4"/>
  <c r="AP4"/>
  <c r="AO4"/>
  <c r="AN4"/>
  <c r="AM4"/>
  <c r="AL4"/>
  <c r="AK4"/>
  <c r="AJ4"/>
  <c r="AI4"/>
  <c r="AH4"/>
  <c r="AG4"/>
  <c r="AF4"/>
  <c r="AE4"/>
  <c r="AD4"/>
  <c r="AC4"/>
  <c r="AB4"/>
  <c r="AA4"/>
  <c r="Z4"/>
  <c r="Y4"/>
  <c r="X4"/>
  <c r="W4"/>
  <c r="V4"/>
  <c r="U4"/>
  <c r="T4"/>
  <c r="S4"/>
  <c r="R4"/>
  <c r="Q4"/>
  <c r="P4"/>
  <c r="O4"/>
  <c r="N4"/>
  <c r="M4"/>
  <c r="L4"/>
  <c r="K4"/>
  <c r="J4"/>
  <c r="I4"/>
  <c r="H4"/>
  <c r="G4"/>
  <c r="F4"/>
  <c r="E4"/>
  <c r="AY3"/>
  <c r="AX3"/>
  <c r="AW3"/>
  <c r="AV3"/>
  <c r="AU3"/>
  <c r="AT3"/>
  <c r="AS3"/>
  <c r="AR3"/>
  <c r="AQ3"/>
  <c r="AP3"/>
  <c r="AO3"/>
  <c r="AN3"/>
  <c r="AM3"/>
  <c r="AL3"/>
  <c r="AK3"/>
  <c r="AJ3"/>
  <c r="AI3"/>
  <c r="AH3"/>
  <c r="AG3"/>
  <c r="AF3"/>
  <c r="AE3"/>
  <c r="AD3"/>
  <c r="AC3"/>
  <c r="AB3"/>
  <c r="AA3"/>
  <c r="Z3"/>
  <c r="Y3"/>
  <c r="X3"/>
  <c r="W3"/>
  <c r="V3"/>
  <c r="U3"/>
  <c r="T3"/>
  <c r="S3"/>
  <c r="R3"/>
  <c r="Q3"/>
  <c r="P3"/>
  <c r="O3"/>
  <c r="N3"/>
  <c r="M3"/>
  <c r="L3"/>
  <c r="K3"/>
  <c r="J3"/>
  <c r="I3"/>
  <c r="H3"/>
  <c r="G3"/>
  <c r="F3"/>
  <c r="E3"/>
  <c r="AY51"/>
  <c r="AX51"/>
  <c r="AW51"/>
  <c r="AV51"/>
  <c r="AU51"/>
  <c r="AT51"/>
  <c r="AS51"/>
  <c r="AR51"/>
  <c r="AQ51"/>
  <c r="AP51"/>
  <c r="AO51"/>
  <c r="AN51"/>
  <c r="AM51"/>
  <c r="AL51"/>
  <c r="AK51"/>
  <c r="AJ51"/>
  <c r="AI51"/>
  <c r="AH51"/>
  <c r="AG51"/>
  <c r="AF51"/>
  <c r="AE51"/>
  <c r="AD51"/>
  <c r="AC51"/>
  <c r="AB51"/>
  <c r="AA51"/>
  <c r="Z51"/>
  <c r="Y51"/>
  <c r="X51"/>
  <c r="W51"/>
  <c r="V51"/>
  <c r="U51"/>
  <c r="T51"/>
  <c r="S51"/>
  <c r="R51"/>
  <c r="Q51"/>
  <c r="P51"/>
  <c r="O51"/>
  <c r="N51"/>
  <c r="M51"/>
  <c r="L51"/>
  <c r="K51"/>
  <c r="J51"/>
  <c r="I51"/>
  <c r="H51"/>
  <c r="G51"/>
  <c r="F51"/>
  <c r="E51"/>
  <c r="AY50"/>
  <c r="AX50"/>
  <c r="AW50"/>
  <c r="AV50"/>
  <c r="AU50"/>
  <c r="AT50"/>
  <c r="AS50"/>
  <c r="AR50"/>
  <c r="AQ50"/>
  <c r="AP50"/>
  <c r="AO50"/>
  <c r="AN50"/>
  <c r="AM50"/>
  <c r="AL50"/>
  <c r="AK50"/>
  <c r="AJ50"/>
  <c r="AI50"/>
  <c r="AH50"/>
  <c r="AG50"/>
  <c r="AF50"/>
  <c r="AE50"/>
  <c r="AD50"/>
  <c r="AC50"/>
  <c r="AB50"/>
  <c r="AA50"/>
  <c r="Z50"/>
  <c r="Y50"/>
  <c r="X50"/>
  <c r="W50"/>
  <c r="V50"/>
  <c r="U50"/>
  <c r="T50"/>
  <c r="S50"/>
  <c r="R50"/>
  <c r="Q50"/>
  <c r="P50"/>
  <c r="O50"/>
  <c r="N50"/>
  <c r="M50"/>
  <c r="L50"/>
  <c r="K50"/>
  <c r="J50"/>
  <c r="I50"/>
  <c r="H50"/>
  <c r="G50"/>
  <c r="F50"/>
  <c r="E50"/>
  <c r="AY49"/>
  <c r="AX49"/>
  <c r="AW49"/>
  <c r="AV49"/>
  <c r="AU49"/>
  <c r="AT49"/>
  <c r="AS49"/>
  <c r="AR49"/>
  <c r="AQ49"/>
  <c r="AP49"/>
  <c r="AO49"/>
  <c r="AN49"/>
  <c r="AM49"/>
  <c r="AL49"/>
  <c r="AK49"/>
  <c r="AJ49"/>
  <c r="AI49"/>
  <c r="AH49"/>
  <c r="AG49"/>
  <c r="AF49"/>
  <c r="AE49"/>
  <c r="AD49"/>
  <c r="AC49"/>
  <c r="AB49"/>
  <c r="AA49"/>
  <c r="Z49"/>
  <c r="Y49"/>
  <c r="X49"/>
  <c r="W49"/>
  <c r="V49"/>
  <c r="U49"/>
  <c r="T49"/>
  <c r="S49"/>
  <c r="R49"/>
  <c r="Q49"/>
  <c r="P49"/>
  <c r="O49"/>
  <c r="N49"/>
  <c r="M49"/>
  <c r="L49"/>
  <c r="K49"/>
  <c r="J49"/>
  <c r="I49"/>
  <c r="H49"/>
  <c r="G49"/>
  <c r="F49"/>
  <c r="E49"/>
  <c r="AY48"/>
  <c r="AX48"/>
  <c r="AW48"/>
  <c r="AV48"/>
  <c r="AU48"/>
  <c r="AT48"/>
  <c r="AS48"/>
  <c r="AR48"/>
  <c r="AQ48"/>
  <c r="AP48"/>
  <c r="AO48"/>
  <c r="AN48"/>
  <c r="AM48"/>
  <c r="AL48"/>
  <c r="AK48"/>
  <c r="AJ48"/>
  <c r="AI48"/>
  <c r="AH48"/>
  <c r="AG48"/>
  <c r="AF48"/>
  <c r="AE48"/>
  <c r="AD48"/>
  <c r="AC48"/>
  <c r="AB48"/>
  <c r="AA48"/>
  <c r="Z48"/>
  <c r="Y48"/>
  <c r="X48"/>
  <c r="W48"/>
  <c r="V48"/>
  <c r="U48"/>
  <c r="T48"/>
  <c r="S48"/>
  <c r="R48"/>
  <c r="Q48"/>
  <c r="P48"/>
  <c r="O48"/>
  <c r="N48"/>
  <c r="M48"/>
  <c r="L48"/>
  <c r="K48"/>
  <c r="J48"/>
  <c r="I48"/>
  <c r="H48"/>
  <c r="G48"/>
  <c r="F48"/>
  <c r="E48"/>
  <c r="AY47"/>
  <c r="AX47"/>
  <c r="AW47"/>
  <c r="AV47"/>
  <c r="AU47"/>
  <c r="AT47"/>
  <c r="AS47"/>
  <c r="AR47"/>
  <c r="AQ47"/>
  <c r="AP47"/>
  <c r="AO47"/>
  <c r="AN47"/>
  <c r="AM47"/>
  <c r="AL47"/>
  <c r="AK47"/>
  <c r="AJ47"/>
  <c r="AI47"/>
  <c r="AH47"/>
  <c r="AG47"/>
  <c r="AF47"/>
  <c r="AE47"/>
  <c r="AD47"/>
  <c r="AC47"/>
  <c r="AB47"/>
  <c r="AA47"/>
  <c r="Z47"/>
  <c r="Y47"/>
  <c r="X47"/>
  <c r="W47"/>
  <c r="V47"/>
  <c r="U47"/>
  <c r="T47"/>
  <c r="S47"/>
  <c r="R47"/>
  <c r="Q47"/>
  <c r="P47"/>
  <c r="O47"/>
  <c r="N47"/>
  <c r="M47"/>
  <c r="L47"/>
  <c r="K47"/>
  <c r="J47"/>
  <c r="I47"/>
  <c r="H47"/>
  <c r="G47"/>
  <c r="F47"/>
  <c r="E47"/>
  <c r="AY45"/>
  <c r="AX45"/>
  <c r="AW45"/>
  <c r="AV45"/>
  <c r="AU45"/>
  <c r="AT45"/>
  <c r="AS45"/>
  <c r="AR45"/>
  <c r="AQ45"/>
  <c r="AP45"/>
  <c r="AO45"/>
  <c r="AN45"/>
  <c r="AM45"/>
  <c r="AL45"/>
  <c r="AK45"/>
  <c r="AJ45"/>
  <c r="AI45"/>
  <c r="AH45"/>
  <c r="AG45"/>
  <c r="AF45"/>
  <c r="AE45"/>
  <c r="AD45"/>
  <c r="AC45"/>
  <c r="AB45"/>
  <c r="AA45"/>
  <c r="Z45"/>
  <c r="Y45"/>
  <c r="X45"/>
  <c r="W45"/>
  <c r="V45"/>
  <c r="U45"/>
  <c r="T45"/>
  <c r="S45"/>
  <c r="R45"/>
  <c r="Q45"/>
  <c r="P45"/>
  <c r="O45"/>
  <c r="N45"/>
  <c r="M45"/>
  <c r="L45"/>
  <c r="K45"/>
  <c r="J45"/>
  <c r="I45"/>
  <c r="H45"/>
  <c r="G45"/>
  <c r="F45"/>
  <c r="E45"/>
  <c r="AY44"/>
  <c r="AX44"/>
  <c r="AW44"/>
  <c r="AV44"/>
  <c r="AU44"/>
  <c r="AT44"/>
  <c r="AS44"/>
  <c r="AR44"/>
  <c r="AQ44"/>
  <c r="AP44"/>
  <c r="AO44"/>
  <c r="AN44"/>
  <c r="AM44"/>
  <c r="AL44"/>
  <c r="AK44"/>
  <c r="AJ44"/>
  <c r="AI44"/>
  <c r="AH44"/>
  <c r="AG44"/>
  <c r="AF44"/>
  <c r="AE44"/>
  <c r="AD44"/>
  <c r="AC44"/>
  <c r="AB44"/>
  <c r="AA44"/>
  <c r="Z44"/>
  <c r="Y44"/>
  <c r="X44"/>
  <c r="W44"/>
  <c r="V44"/>
  <c r="U44"/>
  <c r="T44"/>
  <c r="S44"/>
  <c r="R44"/>
  <c r="Q44"/>
  <c r="P44"/>
  <c r="O44"/>
  <c r="N44"/>
  <c r="M44"/>
  <c r="L44"/>
  <c r="K44"/>
  <c r="J44"/>
  <c r="I44"/>
  <c r="H44"/>
  <c r="G44"/>
  <c r="F44"/>
  <c r="E44"/>
  <c r="AY43"/>
  <c r="AX43"/>
  <c r="AW43"/>
  <c r="AV43"/>
  <c r="AU43"/>
  <c r="AT43"/>
  <c r="AS43"/>
  <c r="AR43"/>
  <c r="AQ43"/>
  <c r="AP43"/>
  <c r="AO43"/>
  <c r="AN43"/>
  <c r="AM43"/>
  <c r="AL43"/>
  <c r="AK43"/>
  <c r="AJ43"/>
  <c r="AI43"/>
  <c r="AH43"/>
  <c r="AG43"/>
  <c r="AF43"/>
  <c r="AE43"/>
  <c r="AD43"/>
  <c r="AC43"/>
  <c r="AB43"/>
  <c r="AA43"/>
  <c r="Z43"/>
  <c r="Y43"/>
  <c r="X43"/>
  <c r="W43"/>
  <c r="V43"/>
  <c r="U43"/>
  <c r="T43"/>
  <c r="S43"/>
  <c r="R43"/>
  <c r="Q43"/>
  <c r="P43"/>
  <c r="O43"/>
  <c r="N43"/>
  <c r="M43"/>
  <c r="L43"/>
  <c r="K43"/>
  <c r="J43"/>
  <c r="I43"/>
  <c r="H43"/>
  <c r="G43"/>
  <c r="F43"/>
  <c r="E43"/>
  <c r="AY42"/>
  <c r="AX42"/>
  <c r="AW42"/>
  <c r="AV42"/>
  <c r="AU42"/>
  <c r="AT42"/>
  <c r="AS42"/>
  <c r="AR42"/>
  <c r="AQ42"/>
  <c r="AP42"/>
  <c r="AO42"/>
  <c r="AN42"/>
  <c r="AM42"/>
  <c r="AL42"/>
  <c r="AK42"/>
  <c r="AJ42"/>
  <c r="AI42"/>
  <c r="AH42"/>
  <c r="AG42"/>
  <c r="AF42"/>
  <c r="AE42"/>
  <c r="AD42"/>
  <c r="AC42"/>
  <c r="AB42"/>
  <c r="AA42"/>
  <c r="Z42"/>
  <c r="Y42"/>
  <c r="X42"/>
  <c r="W42"/>
  <c r="V42"/>
  <c r="U42"/>
  <c r="T42"/>
  <c r="S42"/>
  <c r="R42"/>
  <c r="Q42"/>
  <c r="P42"/>
  <c r="O42"/>
  <c r="N42"/>
  <c r="M42"/>
  <c r="L42"/>
  <c r="K42"/>
  <c r="J42"/>
  <c r="I42"/>
  <c r="H42"/>
  <c r="G42"/>
  <c r="F42"/>
  <c r="E42"/>
  <c r="AY41"/>
  <c r="AX41"/>
  <c r="AW41"/>
  <c r="AV41"/>
  <c r="AU41"/>
  <c r="AT41"/>
  <c r="AS41"/>
  <c r="AR41"/>
  <c r="AQ41"/>
  <c r="AP41"/>
  <c r="AO41"/>
  <c r="AN41"/>
  <c r="AM41"/>
  <c r="AL41"/>
  <c r="AK41"/>
  <c r="AJ41"/>
  <c r="AI41"/>
  <c r="AH41"/>
  <c r="AG41"/>
  <c r="AF41"/>
  <c r="AE41"/>
  <c r="AD41"/>
  <c r="AC41"/>
  <c r="AB41"/>
  <c r="AA41"/>
  <c r="Z41"/>
  <c r="Y41"/>
  <c r="X41"/>
  <c r="W41"/>
  <c r="V41"/>
  <c r="U41"/>
  <c r="T41"/>
  <c r="S41"/>
  <c r="R41"/>
  <c r="Q41"/>
  <c r="P41"/>
  <c r="O41"/>
  <c r="N41"/>
  <c r="M41"/>
  <c r="L41"/>
  <c r="K41"/>
  <c r="J41"/>
  <c r="I41"/>
  <c r="H41"/>
  <c r="G41"/>
  <c r="F41"/>
  <c r="E41"/>
  <c r="AY39"/>
  <c r="AX39"/>
  <c r="AW39"/>
  <c r="AV39"/>
  <c r="AU39"/>
  <c r="AT39"/>
  <c r="AS39"/>
  <c r="AR39"/>
  <c r="AQ39"/>
  <c r="AP39"/>
  <c r="AO39"/>
  <c r="AN39"/>
  <c r="AM39"/>
  <c r="AL39"/>
  <c r="AK39"/>
  <c r="AJ39"/>
  <c r="AI39"/>
  <c r="AH39"/>
  <c r="AG39"/>
  <c r="AF39"/>
  <c r="AE39"/>
  <c r="AD39"/>
  <c r="AC39"/>
  <c r="AB39"/>
  <c r="AA39"/>
  <c r="Z39"/>
  <c r="Y39"/>
  <c r="X39"/>
  <c r="W39"/>
  <c r="V39"/>
  <c r="U39"/>
  <c r="T39"/>
  <c r="S39"/>
  <c r="R39"/>
  <c r="Q39"/>
  <c r="P39"/>
  <c r="O39"/>
  <c r="N39"/>
  <c r="M39"/>
  <c r="L39"/>
  <c r="K39"/>
  <c r="J39"/>
  <c r="I39"/>
  <c r="H39"/>
  <c r="G39"/>
  <c r="F39"/>
  <c r="E39"/>
  <c r="AY38"/>
  <c r="AX38"/>
  <c r="AW38"/>
  <c r="AV38"/>
  <c r="AU38"/>
  <c r="AT38"/>
  <c r="AS38"/>
  <c r="AR38"/>
  <c r="AQ38"/>
  <c r="AP38"/>
  <c r="AO38"/>
  <c r="AN38"/>
  <c r="AM38"/>
  <c r="AL38"/>
  <c r="AK38"/>
  <c r="AJ38"/>
  <c r="AI38"/>
  <c r="AH38"/>
  <c r="AG38"/>
  <c r="AF38"/>
  <c r="AE38"/>
  <c r="AD38"/>
  <c r="AC38"/>
  <c r="AB38"/>
  <c r="AA38"/>
  <c r="Z38"/>
  <c r="Y38"/>
  <c r="X38"/>
  <c r="W38"/>
  <c r="V38"/>
  <c r="U38"/>
  <c r="T38"/>
  <c r="S38"/>
  <c r="R38"/>
  <c r="Q38"/>
  <c r="P38"/>
  <c r="O38"/>
  <c r="N38"/>
  <c r="M38"/>
  <c r="L38"/>
  <c r="K38"/>
  <c r="J38"/>
  <c r="I38"/>
  <c r="H38"/>
  <c r="G38"/>
  <c r="F38"/>
  <c r="E38"/>
  <c r="AY37"/>
  <c r="AX37"/>
  <c r="AW37"/>
  <c r="AV37"/>
  <c r="AU37"/>
  <c r="AT37"/>
  <c r="AS37"/>
  <c r="AR37"/>
  <c r="AQ37"/>
  <c r="AP37"/>
  <c r="AO37"/>
  <c r="AN37"/>
  <c r="AM37"/>
  <c r="AL37"/>
  <c r="AK37"/>
  <c r="AJ37"/>
  <c r="AI37"/>
  <c r="AH37"/>
  <c r="AG37"/>
  <c r="AF37"/>
  <c r="AE37"/>
  <c r="AD37"/>
  <c r="AC37"/>
  <c r="AB37"/>
  <c r="AA37"/>
  <c r="Z37"/>
  <c r="Y37"/>
  <c r="X37"/>
  <c r="W37"/>
  <c r="V37"/>
  <c r="U37"/>
  <c r="T37"/>
  <c r="S37"/>
  <c r="R37"/>
  <c r="Q37"/>
  <c r="P37"/>
  <c r="O37"/>
  <c r="N37"/>
  <c r="M37"/>
  <c r="L37"/>
  <c r="K37"/>
  <c r="J37"/>
  <c r="I37"/>
  <c r="H37"/>
  <c r="G37"/>
  <c r="F37"/>
  <c r="E37"/>
  <c r="AY36"/>
  <c r="AX36"/>
  <c r="AW36"/>
  <c r="AV36"/>
  <c r="AU36"/>
  <c r="AT36"/>
  <c r="AS36"/>
  <c r="AR36"/>
  <c r="AQ36"/>
  <c r="AP36"/>
  <c r="AO36"/>
  <c r="AN36"/>
  <c r="AM36"/>
  <c r="AL36"/>
  <c r="AK36"/>
  <c r="AJ36"/>
  <c r="AI36"/>
  <c r="AH36"/>
  <c r="AG36"/>
  <c r="AF36"/>
  <c r="AE36"/>
  <c r="AD36"/>
  <c r="AC36"/>
  <c r="AB36"/>
  <c r="AA36"/>
  <c r="Z36"/>
  <c r="Y36"/>
  <c r="X36"/>
  <c r="W36"/>
  <c r="V36"/>
  <c r="U36"/>
  <c r="T36"/>
  <c r="S36"/>
  <c r="R36"/>
  <c r="Q36"/>
  <c r="P36"/>
  <c r="O36"/>
  <c r="N36"/>
  <c r="M36"/>
  <c r="L36"/>
  <c r="K36"/>
  <c r="J36"/>
  <c r="I36"/>
  <c r="H36"/>
  <c r="G36"/>
  <c r="F36"/>
  <c r="E36"/>
  <c r="AY34"/>
  <c r="AX34"/>
  <c r="AW34"/>
  <c r="AV34"/>
  <c r="AU34"/>
  <c r="AT34"/>
  <c r="AS34"/>
  <c r="AR34"/>
  <c r="AQ34"/>
  <c r="AP34"/>
  <c r="AO34"/>
  <c r="AN34"/>
  <c r="AM34"/>
  <c r="AL34"/>
  <c r="AK34"/>
  <c r="AJ34"/>
  <c r="AI34"/>
  <c r="AH34"/>
  <c r="AG34"/>
  <c r="AF34"/>
  <c r="AE34"/>
  <c r="AD34"/>
  <c r="AC34"/>
  <c r="AB34"/>
  <c r="AA34"/>
  <c r="Z34"/>
  <c r="Y34"/>
  <c r="X34"/>
  <c r="W34"/>
  <c r="V34"/>
  <c r="U34"/>
  <c r="T34"/>
  <c r="S34"/>
  <c r="R34"/>
  <c r="Q34"/>
  <c r="P34"/>
  <c r="O34"/>
  <c r="N34"/>
  <c r="M34"/>
  <c r="L34"/>
  <c r="K34"/>
  <c r="J34"/>
  <c r="I34"/>
  <c r="H34"/>
  <c r="G34"/>
  <c r="F34"/>
  <c r="E34"/>
  <c r="AY33"/>
  <c r="AX33"/>
  <c r="AW33"/>
  <c r="AV33"/>
  <c r="AU33"/>
  <c r="AT33"/>
  <c r="AS33"/>
  <c r="AR33"/>
  <c r="AQ33"/>
  <c r="AP33"/>
  <c r="AO33"/>
  <c r="AN33"/>
  <c r="AM33"/>
  <c r="AL33"/>
  <c r="AK33"/>
  <c r="AJ33"/>
  <c r="AI33"/>
  <c r="AH33"/>
  <c r="AG33"/>
  <c r="AF33"/>
  <c r="AE33"/>
  <c r="AD33"/>
  <c r="AC33"/>
  <c r="AB33"/>
  <c r="AA33"/>
  <c r="Z33"/>
  <c r="Y33"/>
  <c r="X33"/>
  <c r="W33"/>
  <c r="V33"/>
  <c r="U33"/>
  <c r="T33"/>
  <c r="S33"/>
  <c r="R33"/>
  <c r="Q33"/>
  <c r="P33"/>
  <c r="O33"/>
  <c r="N33"/>
  <c r="M33"/>
  <c r="L33"/>
  <c r="K33"/>
  <c r="J33"/>
  <c r="I33"/>
  <c r="H33"/>
  <c r="G33"/>
  <c r="F33"/>
  <c r="E33"/>
  <c r="AY32"/>
  <c r="AX32"/>
  <c r="AW32"/>
  <c r="AV32"/>
  <c r="AU32"/>
  <c r="AT32"/>
  <c r="AS32"/>
  <c r="AR32"/>
  <c r="AQ32"/>
  <c r="AP32"/>
  <c r="AO32"/>
  <c r="AN32"/>
  <c r="AM32"/>
  <c r="AL32"/>
  <c r="AK32"/>
  <c r="AJ32"/>
  <c r="AI32"/>
  <c r="AH32"/>
  <c r="AG32"/>
  <c r="AF32"/>
  <c r="AE32"/>
  <c r="AD32"/>
  <c r="AC32"/>
  <c r="AB32"/>
  <c r="AA32"/>
  <c r="Z32"/>
  <c r="Y32"/>
  <c r="X32"/>
  <c r="W32"/>
  <c r="V32"/>
  <c r="U32"/>
  <c r="T32"/>
  <c r="S32"/>
  <c r="R32"/>
  <c r="Q32"/>
  <c r="P32"/>
  <c r="O32"/>
  <c r="N32"/>
  <c r="M32"/>
  <c r="L32"/>
  <c r="K32"/>
  <c r="J32"/>
  <c r="I32"/>
  <c r="H32"/>
  <c r="G32"/>
  <c r="F32"/>
  <c r="E32"/>
  <c r="AY31"/>
  <c r="AX31"/>
  <c r="AW31"/>
  <c r="AV31"/>
  <c r="AU31"/>
  <c r="AT31"/>
  <c r="AS31"/>
  <c r="AR31"/>
  <c r="AQ31"/>
  <c r="AP31"/>
  <c r="AO31"/>
  <c r="AN31"/>
  <c r="AM31"/>
  <c r="AL31"/>
  <c r="AK31"/>
  <c r="AJ31"/>
  <c r="AI31"/>
  <c r="AH31"/>
  <c r="AG31"/>
  <c r="AF31"/>
  <c r="AE31"/>
  <c r="AD31"/>
  <c r="AC31"/>
  <c r="AB31"/>
  <c r="AA31"/>
  <c r="Z31"/>
  <c r="Y31"/>
  <c r="X31"/>
  <c r="W31"/>
  <c r="V31"/>
  <c r="U31"/>
  <c r="T31"/>
  <c r="S31"/>
  <c r="R31"/>
  <c r="Q31"/>
  <c r="P31"/>
  <c r="O31"/>
  <c r="N31"/>
  <c r="M31"/>
  <c r="L31"/>
  <c r="K31"/>
  <c r="J31"/>
  <c r="I31"/>
  <c r="H31"/>
  <c r="G31"/>
  <c r="F31"/>
  <c r="E31"/>
  <c r="AY30"/>
  <c r="AX30"/>
  <c r="AW30"/>
  <c r="AV30"/>
  <c r="AU30"/>
  <c r="AT30"/>
  <c r="AS30"/>
  <c r="AR30"/>
  <c r="AQ30"/>
  <c r="AP30"/>
  <c r="AO30"/>
  <c r="AN30"/>
  <c r="AM30"/>
  <c r="AL30"/>
  <c r="AK30"/>
  <c r="AJ30"/>
  <c r="AI30"/>
  <c r="AH30"/>
  <c r="AG30"/>
  <c r="AF30"/>
  <c r="AE30"/>
  <c r="AD30"/>
  <c r="AC30"/>
  <c r="AB30"/>
  <c r="AA30"/>
  <c r="Z30"/>
  <c r="Y30"/>
  <c r="X30"/>
  <c r="W30"/>
  <c r="V30"/>
  <c r="U30"/>
  <c r="T30"/>
  <c r="S30"/>
  <c r="R30"/>
  <c r="Q30"/>
  <c r="P30"/>
  <c r="O30"/>
  <c r="N30"/>
  <c r="M30"/>
  <c r="L30"/>
  <c r="K30"/>
  <c r="J30"/>
  <c r="I30"/>
  <c r="H30"/>
  <c r="G30"/>
  <c r="F30"/>
  <c r="E30"/>
  <c r="AY28"/>
  <c r="AX28"/>
  <c r="AW28"/>
  <c r="AV28"/>
  <c r="AU28"/>
  <c r="AT28"/>
  <c r="AS28"/>
  <c r="AR28"/>
  <c r="AQ28"/>
  <c r="AP28"/>
  <c r="AO28"/>
  <c r="AN28"/>
  <c r="AM28"/>
  <c r="AL28"/>
  <c r="AK28"/>
  <c r="AJ28"/>
  <c r="AI28"/>
  <c r="AH28"/>
  <c r="AG28"/>
  <c r="AF28"/>
  <c r="AE28"/>
  <c r="AD28"/>
  <c r="AC28"/>
  <c r="AB28"/>
  <c r="AA28"/>
  <c r="Z28"/>
  <c r="Y28"/>
  <c r="X28"/>
  <c r="W28"/>
  <c r="V28"/>
  <c r="U28"/>
  <c r="T28"/>
  <c r="S28"/>
  <c r="R28"/>
  <c r="Q28"/>
  <c r="P28"/>
  <c r="O28"/>
  <c r="N28"/>
  <c r="M28"/>
  <c r="L28"/>
  <c r="K28"/>
  <c r="J28"/>
  <c r="I28"/>
  <c r="H28"/>
  <c r="G28"/>
  <c r="F28"/>
  <c r="E28"/>
  <c r="AY27"/>
  <c r="AX27"/>
  <c r="AW27"/>
  <c r="AV27"/>
  <c r="AU27"/>
  <c r="AT27"/>
  <c r="AS27"/>
  <c r="AR27"/>
  <c r="AQ27"/>
  <c r="AP27"/>
  <c r="AO27"/>
  <c r="AN27"/>
  <c r="AM27"/>
  <c r="AL27"/>
  <c r="AK27"/>
  <c r="AJ27"/>
  <c r="AI27"/>
  <c r="AH27"/>
  <c r="AG27"/>
  <c r="AF27"/>
  <c r="AE27"/>
  <c r="AD27"/>
  <c r="AC27"/>
  <c r="AB27"/>
  <c r="AA27"/>
  <c r="Z27"/>
  <c r="Y27"/>
  <c r="X27"/>
  <c r="W27"/>
  <c r="V27"/>
  <c r="U27"/>
  <c r="T27"/>
  <c r="S27"/>
  <c r="R27"/>
  <c r="Q27"/>
  <c r="P27"/>
  <c r="O27"/>
  <c r="N27"/>
  <c r="M27"/>
  <c r="L27"/>
  <c r="K27"/>
  <c r="J27"/>
  <c r="I27"/>
  <c r="H27"/>
  <c r="G27"/>
  <c r="F27"/>
  <c r="E27"/>
  <c r="AY26"/>
  <c r="AX26"/>
  <c r="AW26"/>
  <c r="AV26"/>
  <c r="AU26"/>
  <c r="AT26"/>
  <c r="AS26"/>
  <c r="AR26"/>
  <c r="AQ26"/>
  <c r="AP26"/>
  <c r="AO26"/>
  <c r="AN26"/>
  <c r="AM26"/>
  <c r="AL26"/>
  <c r="AK26"/>
  <c r="AJ26"/>
  <c r="AI26"/>
  <c r="AH26"/>
  <c r="AG26"/>
  <c r="AF26"/>
  <c r="AE26"/>
  <c r="AD26"/>
  <c r="AC26"/>
  <c r="AB26"/>
  <c r="AA26"/>
  <c r="Z26"/>
  <c r="Y26"/>
  <c r="X26"/>
  <c r="W26"/>
  <c r="V26"/>
  <c r="U26"/>
  <c r="T26"/>
  <c r="S26"/>
  <c r="R26"/>
  <c r="Q26"/>
  <c r="P26"/>
  <c r="O26"/>
  <c r="N26"/>
  <c r="M26"/>
  <c r="L26"/>
  <c r="K26"/>
  <c r="J26"/>
  <c r="I26"/>
  <c r="H26"/>
  <c r="G26"/>
  <c r="F26"/>
  <c r="E26"/>
  <c r="AY25"/>
  <c r="AX25"/>
  <c r="AW25"/>
  <c r="AV25"/>
  <c r="AU25"/>
  <c r="AT25"/>
  <c r="AS25"/>
  <c r="AR25"/>
  <c r="AQ25"/>
  <c r="AP25"/>
  <c r="AO25"/>
  <c r="AN25"/>
  <c r="AM25"/>
  <c r="AL25"/>
  <c r="AK25"/>
  <c r="AJ25"/>
  <c r="AI25"/>
  <c r="AH25"/>
  <c r="AG25"/>
  <c r="AF25"/>
  <c r="AE25"/>
  <c r="AD25"/>
  <c r="AC25"/>
  <c r="AB25"/>
  <c r="AA25"/>
  <c r="Z25"/>
  <c r="Y25"/>
  <c r="X25"/>
  <c r="W25"/>
  <c r="V25"/>
  <c r="U25"/>
  <c r="T25"/>
  <c r="S25"/>
  <c r="R25"/>
  <c r="Q25"/>
  <c r="P25"/>
  <c r="O25"/>
  <c r="N25"/>
  <c r="M25"/>
  <c r="L25"/>
  <c r="K25"/>
  <c r="J25"/>
  <c r="I25"/>
  <c r="H25"/>
  <c r="G25"/>
  <c r="F25"/>
  <c r="E25"/>
  <c r="AY24"/>
  <c r="AX24"/>
  <c r="AW24"/>
  <c r="AV24"/>
  <c r="AU24"/>
  <c r="AT24"/>
  <c r="AS24"/>
  <c r="AR24"/>
  <c r="AQ24"/>
  <c r="AP24"/>
  <c r="AO24"/>
  <c r="AN24"/>
  <c r="AM24"/>
  <c r="AL24"/>
  <c r="AK24"/>
  <c r="AJ24"/>
  <c r="AI24"/>
  <c r="AH24"/>
  <c r="AG24"/>
  <c r="AF24"/>
  <c r="AE24"/>
  <c r="AD24"/>
  <c r="AC24"/>
  <c r="AB24"/>
  <c r="AA24"/>
  <c r="Z24"/>
  <c r="Y24"/>
  <c r="X24"/>
  <c r="W24"/>
  <c r="V24"/>
  <c r="U24"/>
  <c r="T24"/>
  <c r="S24"/>
  <c r="R24"/>
  <c r="Q24"/>
  <c r="P24"/>
  <c r="O24"/>
  <c r="N24"/>
  <c r="M24"/>
  <c r="L24"/>
  <c r="K24"/>
  <c r="J24"/>
  <c r="I24"/>
  <c r="H24"/>
  <c r="G24"/>
  <c r="F24"/>
  <c r="E24"/>
  <c r="AY22"/>
  <c r="AX22"/>
  <c r="AW22"/>
  <c r="AV22"/>
  <c r="AU22"/>
  <c r="AT22"/>
  <c r="AS22"/>
  <c r="AR22"/>
  <c r="AQ22"/>
  <c r="AP22"/>
  <c r="AO22"/>
  <c r="AN22"/>
  <c r="AM22"/>
  <c r="AL22"/>
  <c r="AK22"/>
  <c r="AJ22"/>
  <c r="AI22"/>
  <c r="AH22"/>
  <c r="AG22"/>
  <c r="AF22"/>
  <c r="AE22"/>
  <c r="AD22"/>
  <c r="AC22"/>
  <c r="AB22"/>
  <c r="AA22"/>
  <c r="Z22"/>
  <c r="Y22"/>
  <c r="X22"/>
  <c r="W22"/>
  <c r="V22"/>
  <c r="U22"/>
  <c r="T22"/>
  <c r="S22"/>
  <c r="R22"/>
  <c r="Q22"/>
  <c r="P22"/>
  <c r="O22"/>
  <c r="N22"/>
  <c r="M22"/>
  <c r="L22"/>
  <c r="K22"/>
  <c r="J22"/>
  <c r="I22"/>
  <c r="H22"/>
  <c r="G22"/>
  <c r="F22"/>
  <c r="E22"/>
  <c r="AY21"/>
  <c r="AX21"/>
  <c r="AW21"/>
  <c r="AV21"/>
  <c r="AU21"/>
  <c r="AT21"/>
  <c r="AS21"/>
  <c r="AR21"/>
  <c r="AQ21"/>
  <c r="AP21"/>
  <c r="AO21"/>
  <c r="AN21"/>
  <c r="AM21"/>
  <c r="AL21"/>
  <c r="AK21"/>
  <c r="AJ21"/>
  <c r="AI21"/>
  <c r="AH21"/>
  <c r="AG21"/>
  <c r="AF21"/>
  <c r="AE21"/>
  <c r="AD21"/>
  <c r="AC21"/>
  <c r="AB21"/>
  <c r="AA21"/>
  <c r="Z21"/>
  <c r="Y21"/>
  <c r="X21"/>
  <c r="W21"/>
  <c r="V21"/>
  <c r="U21"/>
  <c r="T21"/>
  <c r="S21"/>
  <c r="R21"/>
  <c r="Q21"/>
  <c r="P21"/>
  <c r="O21"/>
  <c r="N21"/>
  <c r="M21"/>
  <c r="L21"/>
  <c r="K21"/>
  <c r="J21"/>
  <c r="I21"/>
  <c r="H21"/>
  <c r="G21"/>
  <c r="F21"/>
  <c r="E21"/>
  <c r="AY20"/>
  <c r="AX20"/>
  <c r="AW20"/>
  <c r="AV20"/>
  <c r="AU20"/>
  <c r="AT20"/>
  <c r="AS20"/>
  <c r="AR20"/>
  <c r="AQ20"/>
  <c r="AP20"/>
  <c r="AO20"/>
  <c r="AN20"/>
  <c r="AM20"/>
  <c r="AL20"/>
  <c r="AK20"/>
  <c r="AJ20"/>
  <c r="AI20"/>
  <c r="AH20"/>
  <c r="AG20"/>
  <c r="AF20"/>
  <c r="AE20"/>
  <c r="AD20"/>
  <c r="AC20"/>
  <c r="AB20"/>
  <c r="AA20"/>
  <c r="Z20"/>
  <c r="Y20"/>
  <c r="X20"/>
  <c r="W20"/>
  <c r="V20"/>
  <c r="U20"/>
  <c r="T20"/>
  <c r="S20"/>
  <c r="R20"/>
  <c r="Q20"/>
  <c r="P20"/>
  <c r="O20"/>
  <c r="N20"/>
  <c r="M20"/>
  <c r="L20"/>
  <c r="K20"/>
  <c r="J20"/>
  <c r="I20"/>
  <c r="H20"/>
  <c r="G20"/>
  <c r="F20"/>
  <c r="E20"/>
  <c r="AY19"/>
  <c r="AX19"/>
  <c r="AW19"/>
  <c r="AV19"/>
  <c r="AU19"/>
  <c r="AT19"/>
  <c r="AS19"/>
  <c r="AR19"/>
  <c r="AQ19"/>
  <c r="AP19"/>
  <c r="AO19"/>
  <c r="AN19"/>
  <c r="AM19"/>
  <c r="AL19"/>
  <c r="AK19"/>
  <c r="AJ19"/>
  <c r="AI19"/>
  <c r="AH19"/>
  <c r="AG19"/>
  <c r="AF19"/>
  <c r="AE19"/>
  <c r="AD19"/>
  <c r="AC19"/>
  <c r="AB19"/>
  <c r="AA19"/>
  <c r="Z19"/>
  <c r="Y19"/>
  <c r="X19"/>
  <c r="W19"/>
  <c r="V19"/>
  <c r="U19"/>
  <c r="T19"/>
  <c r="S19"/>
  <c r="R19"/>
  <c r="Q19"/>
  <c r="P19"/>
  <c r="O19"/>
  <c r="N19"/>
  <c r="M19"/>
  <c r="L19"/>
  <c r="K19"/>
  <c r="J19"/>
  <c r="I19"/>
  <c r="H19"/>
  <c r="G19"/>
  <c r="F19"/>
  <c r="E19"/>
  <c r="AY18"/>
  <c r="AX18"/>
  <c r="AW18"/>
  <c r="AV18"/>
  <c r="AU18"/>
  <c r="AT18"/>
  <c r="AS18"/>
  <c r="AR18"/>
  <c r="AQ18"/>
  <c r="AP18"/>
  <c r="AO18"/>
  <c r="AN18"/>
  <c r="AM18"/>
  <c r="AL18"/>
  <c r="AK18"/>
  <c r="AJ18"/>
  <c r="AI18"/>
  <c r="AH18"/>
  <c r="AG18"/>
  <c r="AF18"/>
  <c r="AE18"/>
  <c r="AD18"/>
  <c r="AC18"/>
  <c r="AB18"/>
  <c r="AA18"/>
  <c r="Z18"/>
  <c r="Y18"/>
  <c r="X18"/>
  <c r="W18"/>
  <c r="V18"/>
  <c r="U18"/>
  <c r="T18"/>
  <c r="S18"/>
  <c r="R18"/>
  <c r="Q18"/>
  <c r="P18"/>
  <c r="O18"/>
  <c r="N18"/>
  <c r="M18"/>
  <c r="L18"/>
  <c r="K18"/>
  <c r="J18"/>
  <c r="I18"/>
  <c r="H18"/>
  <c r="G18"/>
  <c r="F18"/>
  <c r="E18"/>
  <c r="AY17"/>
  <c r="AX17"/>
  <c r="AW17"/>
  <c r="AV17"/>
  <c r="AU17"/>
  <c r="AT17"/>
  <c r="AS17"/>
  <c r="AR17"/>
  <c r="AQ17"/>
  <c r="AP17"/>
  <c r="AO17"/>
  <c r="AN17"/>
  <c r="AM17"/>
  <c r="AL17"/>
  <c r="AK17"/>
  <c r="AJ17"/>
  <c r="AI17"/>
  <c r="AH17"/>
  <c r="AG17"/>
  <c r="AF17"/>
  <c r="AE17"/>
  <c r="AD17"/>
  <c r="AC17"/>
  <c r="AB17"/>
  <c r="AA17"/>
  <c r="Z17"/>
  <c r="Y17"/>
  <c r="X17"/>
  <c r="W17"/>
  <c r="V17"/>
  <c r="U17"/>
  <c r="T17"/>
  <c r="S17"/>
  <c r="R17"/>
  <c r="Q17"/>
  <c r="P17"/>
  <c r="O17"/>
  <c r="N17"/>
  <c r="M17"/>
  <c r="L17"/>
  <c r="K17"/>
  <c r="J17"/>
  <c r="I17"/>
  <c r="H17"/>
  <c r="G17"/>
  <c r="F17"/>
  <c r="E17"/>
  <c r="AY16"/>
  <c r="AX16"/>
  <c r="AW16"/>
  <c r="AV16"/>
  <c r="AU16"/>
  <c r="AT16"/>
  <c r="AS16"/>
  <c r="AR16"/>
  <c r="AQ16"/>
  <c r="AP16"/>
  <c r="AO16"/>
  <c r="AN16"/>
  <c r="AM16"/>
  <c r="AL16"/>
  <c r="AK16"/>
  <c r="AJ16"/>
  <c r="AI16"/>
  <c r="AH16"/>
  <c r="AG16"/>
  <c r="AF16"/>
  <c r="AE16"/>
  <c r="AD16"/>
  <c r="AC16"/>
  <c r="AB16"/>
  <c r="AA16"/>
  <c r="Z16"/>
  <c r="Y16"/>
  <c r="X16"/>
  <c r="W16"/>
  <c r="V16"/>
  <c r="U16"/>
  <c r="T16"/>
  <c r="S16"/>
  <c r="R16"/>
  <c r="Q16"/>
  <c r="P16"/>
  <c r="O16"/>
  <c r="N16"/>
  <c r="M16"/>
  <c r="L16"/>
  <c r="K16"/>
  <c r="J16"/>
  <c r="I16"/>
  <c r="H16"/>
  <c r="G16"/>
  <c r="F16"/>
  <c r="E16"/>
  <c r="AY15"/>
  <c r="AX15"/>
  <c r="AW15"/>
  <c r="AV15"/>
  <c r="AU15"/>
  <c r="AT15"/>
  <c r="AS15"/>
  <c r="AR15"/>
  <c r="AQ15"/>
  <c r="AP15"/>
  <c r="AO15"/>
  <c r="AN15"/>
  <c r="AM15"/>
  <c r="AL15"/>
  <c r="AK15"/>
  <c r="AJ15"/>
  <c r="AI15"/>
  <c r="AH15"/>
  <c r="AG15"/>
  <c r="AF15"/>
  <c r="AE15"/>
  <c r="AD15"/>
  <c r="AC15"/>
  <c r="AB15"/>
  <c r="AA15"/>
  <c r="Z15"/>
  <c r="Y15"/>
  <c r="X15"/>
  <c r="W15"/>
  <c r="V15"/>
  <c r="U15"/>
  <c r="T15"/>
  <c r="S15"/>
  <c r="R15"/>
  <c r="Q15"/>
  <c r="P15"/>
  <c r="O15"/>
  <c r="N15"/>
  <c r="M15"/>
  <c r="L15"/>
  <c r="K15"/>
  <c r="J15"/>
  <c r="I15"/>
  <c r="H15"/>
  <c r="G15"/>
  <c r="F15"/>
  <c r="E15"/>
  <c r="AY13"/>
  <c r="AX13"/>
  <c r="AW13"/>
  <c r="AV13"/>
  <c r="AU13"/>
  <c r="AT13"/>
  <c r="AS13"/>
  <c r="AR13"/>
  <c r="AQ13"/>
  <c r="AP13"/>
  <c r="AO13"/>
  <c r="AN13"/>
  <c r="AM13"/>
  <c r="AL13"/>
  <c r="AK13"/>
  <c r="AJ13"/>
  <c r="AI13"/>
  <c r="AH13"/>
  <c r="AG13"/>
  <c r="AF13"/>
  <c r="AE13"/>
  <c r="AD13"/>
  <c r="AC13"/>
  <c r="AB13"/>
  <c r="AA13"/>
  <c r="Z13"/>
  <c r="Y13"/>
  <c r="X13"/>
  <c r="W13"/>
  <c r="V13"/>
  <c r="U13"/>
  <c r="T13"/>
  <c r="S13"/>
  <c r="R13"/>
  <c r="Q13"/>
  <c r="P13"/>
  <c r="O13"/>
  <c r="N13"/>
  <c r="M13"/>
  <c r="L13"/>
  <c r="K13"/>
  <c r="J13"/>
  <c r="I13"/>
  <c r="H13"/>
  <c r="G13"/>
  <c r="F13"/>
  <c r="E13"/>
  <c r="AY12"/>
  <c r="AX12"/>
  <c r="AW12"/>
  <c r="AV12"/>
  <c r="AU12"/>
  <c r="AT12"/>
  <c r="AS12"/>
  <c r="AR12"/>
  <c r="AQ12"/>
  <c r="AP12"/>
  <c r="AO12"/>
  <c r="AN12"/>
  <c r="AM12"/>
  <c r="AL12"/>
  <c r="AK12"/>
  <c r="AJ12"/>
  <c r="AI12"/>
  <c r="AH12"/>
  <c r="AG12"/>
  <c r="AF12"/>
  <c r="AE12"/>
  <c r="AD12"/>
  <c r="AC12"/>
  <c r="AB12"/>
  <c r="AA12"/>
  <c r="Z12"/>
  <c r="Y12"/>
  <c r="X12"/>
  <c r="W12"/>
  <c r="V12"/>
  <c r="U12"/>
  <c r="T12"/>
  <c r="S12"/>
  <c r="R12"/>
  <c r="Q12"/>
  <c r="P12"/>
  <c r="O12"/>
  <c r="N12"/>
  <c r="M12"/>
  <c r="L12"/>
  <c r="K12"/>
  <c r="J12"/>
  <c r="I12"/>
  <c r="H12"/>
  <c r="G12"/>
  <c r="F12"/>
  <c r="E12"/>
  <c r="AY11"/>
  <c r="AX11"/>
  <c r="AW11"/>
  <c r="AV11"/>
  <c r="AU11"/>
  <c r="AT11"/>
  <c r="AS11"/>
  <c r="AR11"/>
  <c r="AQ11"/>
  <c r="AP11"/>
  <c r="AO11"/>
  <c r="AN11"/>
  <c r="AM11"/>
  <c r="AL11"/>
  <c r="AK11"/>
  <c r="AJ11"/>
  <c r="AI11"/>
  <c r="AH11"/>
  <c r="AG11"/>
  <c r="AF11"/>
  <c r="AE11"/>
  <c r="AD11"/>
  <c r="AC11"/>
  <c r="AB11"/>
  <c r="AA11"/>
  <c r="Z11"/>
  <c r="Y11"/>
  <c r="X11"/>
  <c r="W11"/>
  <c r="V11"/>
  <c r="U11"/>
  <c r="T11"/>
  <c r="S11"/>
  <c r="R11"/>
  <c r="Q11"/>
  <c r="P11"/>
  <c r="O11"/>
  <c r="N11"/>
  <c r="M11"/>
  <c r="L11"/>
  <c r="K11"/>
  <c r="J11"/>
  <c r="I11"/>
  <c r="H11"/>
  <c r="G11"/>
  <c r="F11"/>
  <c r="E11"/>
  <c r="AY10"/>
  <c r="AX10"/>
  <c r="AW10"/>
  <c r="AV10"/>
  <c r="AU10"/>
  <c r="AT10"/>
  <c r="AS10"/>
  <c r="AR10"/>
  <c r="AQ10"/>
  <c r="AP10"/>
  <c r="AO10"/>
  <c r="AN10"/>
  <c r="AM10"/>
  <c r="AL10"/>
  <c r="AK10"/>
  <c r="AJ10"/>
  <c r="AI10"/>
  <c r="AH10"/>
  <c r="AG10"/>
  <c r="AF10"/>
  <c r="AE10"/>
  <c r="AD10"/>
  <c r="AC10"/>
  <c r="AB10"/>
  <c r="AA10"/>
  <c r="Z10"/>
  <c r="Y10"/>
  <c r="X10"/>
  <c r="W10"/>
  <c r="V10"/>
  <c r="U10"/>
  <c r="T10"/>
  <c r="S10"/>
  <c r="R10"/>
  <c r="Q10"/>
  <c r="P10"/>
  <c r="O10"/>
  <c r="N10"/>
  <c r="M10"/>
  <c r="L10"/>
  <c r="K10"/>
  <c r="J10"/>
  <c r="I10"/>
  <c r="H10"/>
  <c r="G10"/>
  <c r="F10"/>
  <c r="E10"/>
  <c r="AY9"/>
  <c r="AX9"/>
  <c r="AW9"/>
  <c r="AV9"/>
  <c r="AU9"/>
  <c r="AT9"/>
  <c r="AS9"/>
  <c r="AR9"/>
  <c r="AQ9"/>
  <c r="AP9"/>
  <c r="AO9"/>
  <c r="AN9"/>
  <c r="AM9"/>
  <c r="AL9"/>
  <c r="AK9"/>
  <c r="AJ9"/>
  <c r="AI9"/>
  <c r="AH9"/>
  <c r="AG9"/>
  <c r="AF9"/>
  <c r="AE9"/>
  <c r="AD9"/>
  <c r="AC9"/>
  <c r="AB9"/>
  <c r="AA9"/>
  <c r="Z9"/>
  <c r="Y9"/>
  <c r="X9"/>
  <c r="W9"/>
  <c r="V9"/>
  <c r="U9"/>
  <c r="T9"/>
  <c r="S9"/>
  <c r="R9"/>
  <c r="Q9"/>
  <c r="P9"/>
  <c r="O9"/>
  <c r="N9"/>
  <c r="M9"/>
  <c r="L9"/>
  <c r="K9"/>
  <c r="J9"/>
  <c r="I9"/>
  <c r="H9"/>
  <c r="G9"/>
  <c r="F9"/>
  <c r="E9"/>
  <c r="D51"/>
  <c r="D50"/>
  <c r="D49"/>
  <c r="D48"/>
  <c r="D47"/>
  <c r="D45"/>
  <c r="D44"/>
  <c r="D43"/>
  <c r="D42"/>
  <c r="D41"/>
  <c r="D39"/>
  <c r="D38"/>
  <c r="D37"/>
  <c r="D36"/>
  <c r="D34"/>
  <c r="D33"/>
  <c r="D32"/>
  <c r="D31"/>
  <c r="D30"/>
  <c r="D28"/>
  <c r="D27"/>
  <c r="D26"/>
  <c r="D25"/>
  <c r="D24"/>
  <c r="D22"/>
  <c r="D21"/>
  <c r="D20"/>
  <c r="D19"/>
  <c r="D18"/>
  <c r="D17"/>
  <c r="D16"/>
  <c r="D15"/>
  <c r="D10"/>
  <c r="D11"/>
  <c r="D12"/>
  <c r="D13"/>
  <c r="D9"/>
  <c r="D7"/>
  <c r="D6"/>
  <c r="D5"/>
  <c r="D4"/>
  <c r="D3"/>
  <c r="AH24" i="44" l="1"/>
  <c r="AH22"/>
  <c r="AH20"/>
  <c r="AH18"/>
  <c r="AH16"/>
  <c r="AH25"/>
  <c r="AH21"/>
  <c r="AH17"/>
  <c r="AJ15"/>
  <c r="AH23"/>
  <c r="AH19"/>
  <c r="AF24" i="45"/>
  <c r="AF22"/>
  <c r="AF20"/>
  <c r="AF18"/>
  <c r="AF16"/>
  <c r="AF25"/>
  <c r="AF23"/>
  <c r="AF21"/>
  <c r="AF19"/>
  <c r="AF17"/>
  <c r="AH15"/>
  <c r="F52" i="27"/>
  <c r="H52"/>
  <c r="J52"/>
  <c r="L52"/>
  <c r="N52"/>
  <c r="P52"/>
  <c r="R52"/>
  <c r="T52"/>
  <c r="V52"/>
  <c r="X52"/>
  <c r="Z52"/>
  <c r="AB52"/>
  <c r="AD52"/>
  <c r="AF52"/>
  <c r="AH52"/>
  <c r="AJ52"/>
  <c r="AL52"/>
  <c r="AN52"/>
  <c r="AP52"/>
  <c r="AR52"/>
  <c r="AT52"/>
  <c r="AV52"/>
  <c r="AX52"/>
  <c r="D46"/>
  <c r="D29"/>
  <c r="F35"/>
  <c r="H35"/>
  <c r="J35"/>
  <c r="L35"/>
  <c r="N35"/>
  <c r="P35"/>
  <c r="R35"/>
  <c r="T35"/>
  <c r="V35"/>
  <c r="X35"/>
  <c r="Z35"/>
  <c r="AB35"/>
  <c r="AD35"/>
  <c r="AF35"/>
  <c r="AH35"/>
  <c r="AJ35"/>
  <c r="AL35"/>
  <c r="AN35"/>
  <c r="AP35"/>
  <c r="AR35"/>
  <c r="AT35"/>
  <c r="AV35"/>
  <c r="AX35"/>
  <c r="E40"/>
  <c r="G40"/>
  <c r="I40"/>
  <c r="K40"/>
  <c r="M40"/>
  <c r="O40"/>
  <c r="Q40"/>
  <c r="S40"/>
  <c r="U40"/>
  <c r="W40"/>
  <c r="Y40"/>
  <c r="AA40"/>
  <c r="AC40"/>
  <c r="AE40"/>
  <c r="AG40"/>
  <c r="AI40"/>
  <c r="AK40"/>
  <c r="AM40"/>
  <c r="AO40"/>
  <c r="AQ40"/>
  <c r="AS40"/>
  <c r="AU40"/>
  <c r="AW40"/>
  <c r="AY40"/>
  <c r="E46"/>
  <c r="G46"/>
  <c r="I46"/>
  <c r="K46"/>
  <c r="M46"/>
  <c r="O46"/>
  <c r="Q46"/>
  <c r="S46"/>
  <c r="U46"/>
  <c r="W46"/>
  <c r="Y46"/>
  <c r="AA46"/>
  <c r="AC46"/>
  <c r="AE46"/>
  <c r="AG46"/>
  <c r="AI46"/>
  <c r="AK46"/>
  <c r="AM46"/>
  <c r="AO46"/>
  <c r="AQ46"/>
  <c r="AS46"/>
  <c r="AU46"/>
  <c r="AW46"/>
  <c r="AY46"/>
  <c r="E8"/>
  <c r="G8"/>
  <c r="I8"/>
  <c r="K8"/>
  <c r="M8"/>
  <c r="O8"/>
  <c r="Q8"/>
  <c r="S8"/>
  <c r="U8"/>
  <c r="W8"/>
  <c r="Y8"/>
  <c r="AA8"/>
  <c r="AC8"/>
  <c r="AE8"/>
  <c r="AG8"/>
  <c r="AI8"/>
  <c r="AK8"/>
  <c r="AM8"/>
  <c r="AO8"/>
  <c r="AQ8"/>
  <c r="AS8"/>
  <c r="AU8"/>
  <c r="AW8"/>
  <c r="AY8"/>
  <c r="D14"/>
  <c r="D23"/>
  <c r="D40"/>
  <c r="D52"/>
  <c r="E14"/>
  <c r="G14"/>
  <c r="I14"/>
  <c r="K14"/>
  <c r="M14"/>
  <c r="O14"/>
  <c r="Q14"/>
  <c r="S14"/>
  <c r="U14"/>
  <c r="W14"/>
  <c r="Y14"/>
  <c r="AA14"/>
  <c r="AC14"/>
  <c r="AE14"/>
  <c r="AG14"/>
  <c r="AI14"/>
  <c r="AK14"/>
  <c r="AM14"/>
  <c r="AO14"/>
  <c r="AQ14"/>
  <c r="AS14"/>
  <c r="AU14"/>
  <c r="AW14"/>
  <c r="AY14"/>
  <c r="F23"/>
  <c r="H23"/>
  <c r="J23"/>
  <c r="L23"/>
  <c r="N23"/>
  <c r="P23"/>
  <c r="R23"/>
  <c r="T23"/>
  <c r="V23"/>
  <c r="X23"/>
  <c r="Z23"/>
  <c r="AB23"/>
  <c r="AD23"/>
  <c r="AF23"/>
  <c r="AH23"/>
  <c r="AJ23"/>
  <c r="AL23"/>
  <c r="AN23"/>
  <c r="AP23"/>
  <c r="AR23"/>
  <c r="AT23"/>
  <c r="AV23"/>
  <c r="AX23"/>
  <c r="F29"/>
  <c r="H29"/>
  <c r="J29"/>
  <c r="L29"/>
  <c r="N29"/>
  <c r="P29"/>
  <c r="R29"/>
  <c r="T29"/>
  <c r="V29"/>
  <c r="X29"/>
  <c r="Z29"/>
  <c r="AB29"/>
  <c r="AD29"/>
  <c r="AF29"/>
  <c r="AH29"/>
  <c r="AJ29"/>
  <c r="AL29"/>
  <c r="AN29"/>
  <c r="AP29"/>
  <c r="AR29"/>
  <c r="AT29"/>
  <c r="AV29"/>
  <c r="AX29"/>
  <c r="E35"/>
  <c r="G35"/>
  <c r="I35"/>
  <c r="K35"/>
  <c r="M35"/>
  <c r="O35"/>
  <c r="Q35"/>
  <c r="S35"/>
  <c r="U35"/>
  <c r="W35"/>
  <c r="Y35"/>
  <c r="AA35"/>
  <c r="AC35"/>
  <c r="AE35"/>
  <c r="AG35"/>
  <c r="AI35"/>
  <c r="AK35"/>
  <c r="AM35"/>
  <c r="AO35"/>
  <c r="AQ35"/>
  <c r="AS35"/>
  <c r="AU35"/>
  <c r="AW35"/>
  <c r="AY35"/>
  <c r="F40"/>
  <c r="H40"/>
  <c r="J40"/>
  <c r="L40"/>
  <c r="N40"/>
  <c r="P40"/>
  <c r="R40"/>
  <c r="T40"/>
  <c r="V40"/>
  <c r="X40"/>
  <c r="Z40"/>
  <c r="AB40"/>
  <c r="AD40"/>
  <c r="AF40"/>
  <c r="AH40"/>
  <c r="AJ40"/>
  <c r="AL40"/>
  <c r="AN40"/>
  <c r="AP40"/>
  <c r="AR40"/>
  <c r="AT40"/>
  <c r="AV40"/>
  <c r="AX40"/>
  <c r="F46"/>
  <c r="H46"/>
  <c r="J46"/>
  <c r="L46"/>
  <c r="N46"/>
  <c r="P46"/>
  <c r="R46"/>
  <c r="T46"/>
  <c r="V46"/>
  <c r="X46"/>
  <c r="Z46"/>
  <c r="AB46"/>
  <c r="AD46"/>
  <c r="AF46"/>
  <c r="AH46"/>
  <c r="AJ46"/>
  <c r="AL46"/>
  <c r="AN46"/>
  <c r="AP46"/>
  <c r="AR46"/>
  <c r="AT46"/>
  <c r="AV46"/>
  <c r="AX46"/>
  <c r="E52"/>
  <c r="G52"/>
  <c r="I52"/>
  <c r="K52"/>
  <c r="M52"/>
  <c r="O52"/>
  <c r="Q52"/>
  <c r="S52"/>
  <c r="U52"/>
  <c r="W52"/>
  <c r="Y52"/>
  <c r="AA52"/>
  <c r="AC52"/>
  <c r="AE52"/>
  <c r="AG52"/>
  <c r="AI52"/>
  <c r="AK52"/>
  <c r="AM52"/>
  <c r="AO52"/>
  <c r="AQ52"/>
  <c r="AS52"/>
  <c r="AU52"/>
  <c r="AW52"/>
  <c r="AY52"/>
  <c r="F8"/>
  <c r="H8"/>
  <c r="J8"/>
  <c r="L8"/>
  <c r="N8"/>
  <c r="P8"/>
  <c r="R8"/>
  <c r="T8"/>
  <c r="V8"/>
  <c r="X8"/>
  <c r="Z8"/>
  <c r="AB8"/>
  <c r="AD8"/>
  <c r="AF8"/>
  <c r="AH8"/>
  <c r="AJ8"/>
  <c r="AL8"/>
  <c r="AN8"/>
  <c r="AP8"/>
  <c r="AR8"/>
  <c r="AT8"/>
  <c r="AV8"/>
  <c r="AX8"/>
  <c r="D8"/>
  <c r="D35"/>
  <c r="F14"/>
  <c r="H14"/>
  <c r="J14"/>
  <c r="L14"/>
  <c r="N14"/>
  <c r="P14"/>
  <c r="R14"/>
  <c r="T14"/>
  <c r="V14"/>
  <c r="X14"/>
  <c r="Z14"/>
  <c r="AB14"/>
  <c r="AD14"/>
  <c r="AF14"/>
  <c r="AH14"/>
  <c r="AJ14"/>
  <c r="AL14"/>
  <c r="AN14"/>
  <c r="AP14"/>
  <c r="AR14"/>
  <c r="AT14"/>
  <c r="AV14"/>
  <c r="AX14"/>
  <c r="E23"/>
  <c r="G23"/>
  <c r="I23"/>
  <c r="K23"/>
  <c r="M23"/>
  <c r="O23"/>
  <c r="Q23"/>
  <c r="S23"/>
  <c r="U23"/>
  <c r="W23"/>
  <c r="Y23"/>
  <c r="AA23"/>
  <c r="AC23"/>
  <c r="AE23"/>
  <c r="AG23"/>
  <c r="AI23"/>
  <c r="AK23"/>
  <c r="AM23"/>
  <c r="AO23"/>
  <c r="AQ23"/>
  <c r="AS23"/>
  <c r="AU23"/>
  <c r="AW23"/>
  <c r="AY23"/>
  <c r="E29"/>
  <c r="G29"/>
  <c r="I29"/>
  <c r="K29"/>
  <c r="M29"/>
  <c r="O29"/>
  <c r="Q29"/>
  <c r="S29"/>
  <c r="U29"/>
  <c r="W29"/>
  <c r="Y29"/>
  <c r="AA29"/>
  <c r="AC29"/>
  <c r="AE29"/>
  <c r="AG29"/>
  <c r="AI29"/>
  <c r="AK29"/>
  <c r="AM29"/>
  <c r="AO29"/>
  <c r="AQ29"/>
  <c r="AS29"/>
  <c r="AU29"/>
  <c r="AW29"/>
  <c r="AY29"/>
  <c r="F48" i="21"/>
  <c r="H48"/>
  <c r="J48"/>
  <c r="L48"/>
  <c r="N48"/>
  <c r="P48"/>
  <c r="R48"/>
  <c r="T48"/>
  <c r="V48"/>
  <c r="X48"/>
  <c r="Z48"/>
  <c r="AB48"/>
  <c r="AD48"/>
  <c r="AF48"/>
  <c r="AH48"/>
  <c r="AJ48"/>
  <c r="AL48"/>
  <c r="AN48"/>
  <c r="AP48"/>
  <c r="AR48"/>
  <c r="AT48"/>
  <c r="AV48"/>
  <c r="AX48"/>
  <c r="E54" i="23"/>
  <c r="G54"/>
  <c r="I54"/>
  <c r="K54"/>
  <c r="M54"/>
  <c r="O54"/>
  <c r="Q54"/>
  <c r="S54"/>
  <c r="U54"/>
  <c r="W54"/>
  <c r="Y54"/>
  <c r="AA54"/>
  <c r="AC54"/>
  <c r="AE54"/>
  <c r="AG54"/>
  <c r="AI54"/>
  <c r="AK54"/>
  <c r="AM54"/>
  <c r="AO54"/>
  <c r="AQ54"/>
  <c r="AS54"/>
  <c r="AU54"/>
  <c r="AW54"/>
  <c r="AY54"/>
  <c r="AJ24" i="44" l="1"/>
  <c r="AJ22"/>
  <c r="AJ20"/>
  <c r="AJ18"/>
  <c r="AJ16"/>
  <c r="AL15"/>
  <c r="AJ23"/>
  <c r="AJ19"/>
  <c r="AJ25"/>
  <c r="AJ21"/>
  <c r="AJ17"/>
  <c r="AH25" i="45"/>
  <c r="AH23"/>
  <c r="AH21"/>
  <c r="AH19"/>
  <c r="AH17"/>
  <c r="AH24"/>
  <c r="AH22"/>
  <c r="AH20"/>
  <c r="AH18"/>
  <c r="AH16"/>
  <c r="AJ15"/>
  <c r="H54" i="27"/>
  <c r="AM54"/>
  <c r="W54"/>
  <c r="AF54"/>
  <c r="N54"/>
  <c r="AR54"/>
  <c r="AI54"/>
  <c r="Z54"/>
  <c r="S54"/>
  <c r="K54"/>
  <c r="AV54"/>
  <c r="AP54"/>
  <c r="AB54"/>
  <c r="P54"/>
  <c r="F54"/>
  <c r="AY54"/>
  <c r="AX54"/>
  <c r="AU54"/>
  <c r="AQ54"/>
  <c r="AN54"/>
  <c r="AJ54"/>
  <c r="AH54"/>
  <c r="AE54"/>
  <c r="AA54"/>
  <c r="X54"/>
  <c r="T54"/>
  <c r="R54"/>
  <c r="O54"/>
  <c r="L54"/>
  <c r="J54"/>
  <c r="G54"/>
  <c r="AT54"/>
  <c r="AL54"/>
  <c r="AD54"/>
  <c r="V54"/>
  <c r="D54" i="23"/>
  <c r="AX54"/>
  <c r="AV54"/>
  <c r="AT54"/>
  <c r="AR54"/>
  <c r="AP54"/>
  <c r="AN54"/>
  <c r="AL54"/>
  <c r="AJ54"/>
  <c r="AH54"/>
  <c r="AF54"/>
  <c r="AD54"/>
  <c r="AB54"/>
  <c r="Z54"/>
  <c r="X54"/>
  <c r="V54"/>
  <c r="T54"/>
  <c r="R54"/>
  <c r="P54"/>
  <c r="N54"/>
  <c r="L54"/>
  <c r="J54"/>
  <c r="H54"/>
  <c r="F54"/>
  <c r="AY48" i="21"/>
  <c r="AW48"/>
  <c r="AU48"/>
  <c r="AS48"/>
  <c r="AQ48"/>
  <c r="AO48"/>
  <c r="AM48"/>
  <c r="AK48"/>
  <c r="AI48"/>
  <c r="AG48"/>
  <c r="AE48"/>
  <c r="AC48"/>
  <c r="AA48"/>
  <c r="Y48"/>
  <c r="W48"/>
  <c r="U48"/>
  <c r="S48"/>
  <c r="Q48"/>
  <c r="O48"/>
  <c r="M48"/>
  <c r="K48"/>
  <c r="I48"/>
  <c r="G48"/>
  <c r="E48"/>
  <c r="AW54" i="27"/>
  <c r="AS54"/>
  <c r="AO54"/>
  <c r="AK54"/>
  <c r="AG54"/>
  <c r="AC54"/>
  <c r="Y54"/>
  <c r="U54"/>
  <c r="Q54"/>
  <c r="M54"/>
  <c r="I54"/>
  <c r="E54"/>
  <c r="D48" i="21"/>
  <c r="BL45" i="16"/>
  <c r="BM45" s="1"/>
  <c r="BL46"/>
  <c r="BM46" s="1"/>
  <c r="BL47"/>
  <c r="BM47" s="1"/>
  <c r="BL48"/>
  <c r="BM48" s="1"/>
  <c r="BL49"/>
  <c r="BM49" s="1"/>
  <c r="BL50"/>
  <c r="BM50" s="1"/>
  <c r="BL51"/>
  <c r="BM51" s="1"/>
  <c r="BL52"/>
  <c r="BM52" s="1"/>
  <c r="BL53"/>
  <c r="BM53" s="1"/>
  <c r="BF45"/>
  <c r="BG45" s="1"/>
  <c r="BF46"/>
  <c r="BG46" s="1"/>
  <c r="BF47"/>
  <c r="BG47" s="1"/>
  <c r="BF48"/>
  <c r="BG48" s="1"/>
  <c r="BF49"/>
  <c r="BG49" s="1"/>
  <c r="BF50"/>
  <c r="BG50" s="1"/>
  <c r="BF51"/>
  <c r="BG51" s="1"/>
  <c r="BF52"/>
  <c r="BG52" s="1"/>
  <c r="BF53"/>
  <c r="BG53" s="1"/>
  <c r="AZ45"/>
  <c r="BA45" s="1"/>
  <c r="AZ46"/>
  <c r="BA46" s="1"/>
  <c r="AZ47"/>
  <c r="BA47" s="1"/>
  <c r="AZ48"/>
  <c r="BA48" s="1"/>
  <c r="AZ49"/>
  <c r="BA49" s="1"/>
  <c r="AZ50"/>
  <c r="BA50" s="1"/>
  <c r="AZ51"/>
  <c r="BA51" s="1"/>
  <c r="AZ52"/>
  <c r="BA52" s="1"/>
  <c r="AZ53"/>
  <c r="BA53" s="1"/>
  <c r="AT45"/>
  <c r="AU45" s="1"/>
  <c r="AT46"/>
  <c r="AU46" s="1"/>
  <c r="AT47"/>
  <c r="AU47" s="1"/>
  <c r="AT48"/>
  <c r="AU48" s="1"/>
  <c r="AT49"/>
  <c r="AU49" s="1"/>
  <c r="AT50"/>
  <c r="AU50" s="1"/>
  <c r="AT51"/>
  <c r="AU51" s="1"/>
  <c r="AT52"/>
  <c r="AU52" s="1"/>
  <c r="AT53"/>
  <c r="AU53" s="1"/>
  <c r="AN45"/>
  <c r="AO45" s="1"/>
  <c r="AN46"/>
  <c r="AO46" s="1"/>
  <c r="AN47"/>
  <c r="AO47" s="1"/>
  <c r="AN48"/>
  <c r="AO48" s="1"/>
  <c r="AN49"/>
  <c r="AO49" s="1"/>
  <c r="AN50"/>
  <c r="AO50" s="1"/>
  <c r="AN51"/>
  <c r="AO51" s="1"/>
  <c r="AN52"/>
  <c r="AO52" s="1"/>
  <c r="AN53"/>
  <c r="AO53" s="1"/>
  <c r="AH45"/>
  <c r="AI45" s="1"/>
  <c r="AH46"/>
  <c r="AI46" s="1"/>
  <c r="AH47"/>
  <c r="AI47" s="1"/>
  <c r="AH48"/>
  <c r="AI48" s="1"/>
  <c r="AH49"/>
  <c r="AI49" s="1"/>
  <c r="AH50"/>
  <c r="AI50" s="1"/>
  <c r="AH51"/>
  <c r="AI51" s="1"/>
  <c r="AH52"/>
  <c r="AI52" s="1"/>
  <c r="AH53"/>
  <c r="AI53" s="1"/>
  <c r="AB45"/>
  <c r="AC45" s="1"/>
  <c r="AB46"/>
  <c r="AC46" s="1"/>
  <c r="AB47"/>
  <c r="AC47" s="1"/>
  <c r="AB48"/>
  <c r="AC48" s="1"/>
  <c r="AB49"/>
  <c r="AC49" s="1"/>
  <c r="AB50"/>
  <c r="AC50" s="1"/>
  <c r="AB51"/>
  <c r="AC51" s="1"/>
  <c r="AB52"/>
  <c r="AC52" s="1"/>
  <c r="AB53"/>
  <c r="AC53" s="1"/>
  <c r="V45"/>
  <c r="W45" s="1"/>
  <c r="V46"/>
  <c r="W46" s="1"/>
  <c r="V47"/>
  <c r="W47" s="1"/>
  <c r="V48"/>
  <c r="W48" s="1"/>
  <c r="V49"/>
  <c r="W49" s="1"/>
  <c r="V50"/>
  <c r="W50" s="1"/>
  <c r="V51"/>
  <c r="W51" s="1"/>
  <c r="V52"/>
  <c r="W52" s="1"/>
  <c r="V53"/>
  <c r="W53" s="1"/>
  <c r="P45"/>
  <c r="Q45" s="1"/>
  <c r="P46"/>
  <c r="Q46" s="1"/>
  <c r="P47"/>
  <c r="Q47" s="1"/>
  <c r="P48"/>
  <c r="Q48" s="1"/>
  <c r="P49"/>
  <c r="Q49" s="1"/>
  <c r="P50"/>
  <c r="Q50" s="1"/>
  <c r="P51"/>
  <c r="Q51" s="1"/>
  <c r="P52"/>
  <c r="Q52" s="1"/>
  <c r="P53"/>
  <c r="Q53" s="1"/>
  <c r="J45"/>
  <c r="K45" s="1"/>
  <c r="J46"/>
  <c r="K46" s="1"/>
  <c r="J47"/>
  <c r="K47" s="1"/>
  <c r="J48"/>
  <c r="K48" s="1"/>
  <c r="J49"/>
  <c r="K49" s="1"/>
  <c r="J50"/>
  <c r="K50" s="1"/>
  <c r="J51"/>
  <c r="K51" s="1"/>
  <c r="J52"/>
  <c r="K52" s="1"/>
  <c r="J53"/>
  <c r="K53" s="1"/>
  <c r="A45"/>
  <c r="B45"/>
  <c r="C45"/>
  <c r="D45"/>
  <c r="E45"/>
  <c r="A46"/>
  <c r="B46"/>
  <c r="C46"/>
  <c r="D46"/>
  <c r="E46"/>
  <c r="A47"/>
  <c r="B47"/>
  <c r="C47"/>
  <c r="D47"/>
  <c r="E47"/>
  <c r="A48"/>
  <c r="B48"/>
  <c r="C48"/>
  <c r="D48"/>
  <c r="E48"/>
  <c r="A49"/>
  <c r="B49"/>
  <c r="C49"/>
  <c r="D49"/>
  <c r="E49"/>
  <c r="A50"/>
  <c r="B50"/>
  <c r="C50"/>
  <c r="D50"/>
  <c r="E50"/>
  <c r="A51"/>
  <c r="B51"/>
  <c r="C51"/>
  <c r="D51"/>
  <c r="E51"/>
  <c r="A52"/>
  <c r="B52"/>
  <c r="C52"/>
  <c r="D52"/>
  <c r="E52"/>
  <c r="A53"/>
  <c r="B53"/>
  <c r="C53"/>
  <c r="D53"/>
  <c r="E53"/>
  <c r="AL24" i="44" l="1"/>
  <c r="AL22"/>
  <c r="AL20"/>
  <c r="AL18"/>
  <c r="AL16"/>
  <c r="AL25"/>
  <c r="AL21"/>
  <c r="AL17"/>
  <c r="AL23"/>
  <c r="AL19"/>
  <c r="AN15"/>
  <c r="AJ24" i="45"/>
  <c r="AJ22"/>
  <c r="AJ20"/>
  <c r="AJ18"/>
  <c r="AJ16"/>
  <c r="AJ25"/>
  <c r="AJ23"/>
  <c r="AJ21"/>
  <c r="AJ19"/>
  <c r="AJ17"/>
  <c r="AL15"/>
  <c r="D54" i="27"/>
  <c r="AN24" i="44" l="1"/>
  <c r="AN22"/>
  <c r="AN20"/>
  <c r="AN18"/>
  <c r="AN16"/>
  <c r="AP15"/>
  <c r="AN23"/>
  <c r="AN19"/>
  <c r="AN25"/>
  <c r="AN21"/>
  <c r="AN17"/>
  <c r="AL25" i="45"/>
  <c r="AL23"/>
  <c r="AL21"/>
  <c r="AL19"/>
  <c r="AL17"/>
  <c r="AL24"/>
  <c r="AL22"/>
  <c r="AL20"/>
  <c r="AL18"/>
  <c r="AL16"/>
  <c r="AN15"/>
  <c r="D54" i="36"/>
  <c r="D54" i="37"/>
  <c r="F54"/>
  <c r="H54"/>
  <c r="J54"/>
  <c r="L54"/>
  <c r="N54"/>
  <c r="P54"/>
  <c r="R54"/>
  <c r="T54"/>
  <c r="V54"/>
  <c r="X54"/>
  <c r="Z54"/>
  <c r="AB54"/>
  <c r="AD54"/>
  <c r="AF54"/>
  <c r="AH54"/>
  <c r="AJ54"/>
  <c r="AL54"/>
  <c r="AN54"/>
  <c r="AP54"/>
  <c r="AR54"/>
  <c r="AT54"/>
  <c r="AV54"/>
  <c r="AX54"/>
  <c r="E54"/>
  <c r="G54"/>
  <c r="I54"/>
  <c r="K54"/>
  <c r="M54"/>
  <c r="O54"/>
  <c r="Q54"/>
  <c r="S54"/>
  <c r="U54"/>
  <c r="W54"/>
  <c r="Y54"/>
  <c r="AA54"/>
  <c r="AC54"/>
  <c r="AE54"/>
  <c r="AG54"/>
  <c r="AI54"/>
  <c r="AK54"/>
  <c r="AM54"/>
  <c r="AO54"/>
  <c r="AQ54"/>
  <c r="AS54"/>
  <c r="AU54"/>
  <c r="AW54"/>
  <c r="AY54"/>
  <c r="F54" i="36"/>
  <c r="H54"/>
  <c r="J54"/>
  <c r="L54"/>
  <c r="N54"/>
  <c r="P54"/>
  <c r="R54"/>
  <c r="T54"/>
  <c r="V54"/>
  <c r="X54"/>
  <c r="Z54"/>
  <c r="AB54"/>
  <c r="AD54"/>
  <c r="AF54"/>
  <c r="AH54"/>
  <c r="AJ54"/>
  <c r="AL54"/>
  <c r="AN54"/>
  <c r="AP54"/>
  <c r="AR54"/>
  <c r="AT54"/>
  <c r="AV54"/>
  <c r="AX54"/>
  <c r="E54"/>
  <c r="G54"/>
  <c r="I54"/>
  <c r="K54"/>
  <c r="M54"/>
  <c r="O54"/>
  <c r="Q54"/>
  <c r="S54"/>
  <c r="U54"/>
  <c r="W54"/>
  <c r="Y54"/>
  <c r="AA54"/>
  <c r="AC54"/>
  <c r="AE54"/>
  <c r="AG54"/>
  <c r="AI54"/>
  <c r="AK54"/>
  <c r="AM54"/>
  <c r="AO54"/>
  <c r="AQ54"/>
  <c r="AS54"/>
  <c r="AU54"/>
  <c r="AW54"/>
  <c r="AY54"/>
  <c r="A52" i="17"/>
  <c r="B52"/>
  <c r="C52"/>
  <c r="D52"/>
  <c r="E52"/>
  <c r="I52"/>
  <c r="J52" s="1"/>
  <c r="N52"/>
  <c r="O52" s="1"/>
  <c r="S52"/>
  <c r="T52" s="1"/>
  <c r="X52"/>
  <c r="Y52" s="1"/>
  <c r="AC52"/>
  <c r="AD52" s="1"/>
  <c r="AH52"/>
  <c r="AI52" s="1"/>
  <c r="AM52"/>
  <c r="AN52" s="1"/>
  <c r="AR52"/>
  <c r="AS52" s="1"/>
  <c r="AW52"/>
  <c r="AX52" s="1"/>
  <c r="BB52"/>
  <c r="BC52" s="1"/>
  <c r="A51"/>
  <c r="B51"/>
  <c r="C51"/>
  <c r="D51"/>
  <c r="E51"/>
  <c r="I51"/>
  <c r="J51" s="1"/>
  <c r="N51"/>
  <c r="O51" s="1"/>
  <c r="S51"/>
  <c r="T51" s="1"/>
  <c r="X51"/>
  <c r="Y51" s="1"/>
  <c r="AC51"/>
  <c r="AD51" s="1"/>
  <c r="AH51"/>
  <c r="AI51" s="1"/>
  <c r="AM51"/>
  <c r="AN51" s="1"/>
  <c r="AR51"/>
  <c r="AS51" s="1"/>
  <c r="AW51"/>
  <c r="AX51" s="1"/>
  <c r="BB51"/>
  <c r="BC51" s="1"/>
  <c r="A45"/>
  <c r="B45"/>
  <c r="C45"/>
  <c r="D45"/>
  <c r="E45"/>
  <c r="I45"/>
  <c r="J45" s="1"/>
  <c r="N45"/>
  <c r="O45" s="1"/>
  <c r="S45"/>
  <c r="T45" s="1"/>
  <c r="X45"/>
  <c r="Y45" s="1"/>
  <c r="AC45"/>
  <c r="AD45" s="1"/>
  <c r="AH45"/>
  <c r="AI45" s="1"/>
  <c r="AM45"/>
  <c r="AN45" s="1"/>
  <c r="AR45"/>
  <c r="AS45" s="1"/>
  <c r="AW45"/>
  <c r="AX45" s="1"/>
  <c r="BB45"/>
  <c r="BC45" s="1"/>
  <c r="A46"/>
  <c r="B46"/>
  <c r="C46"/>
  <c r="D46"/>
  <c r="E46"/>
  <c r="I46"/>
  <c r="J46" s="1"/>
  <c r="N46"/>
  <c r="O46" s="1"/>
  <c r="S46"/>
  <c r="T46" s="1"/>
  <c r="X46"/>
  <c r="Y46" s="1"/>
  <c r="AC46"/>
  <c r="AD46" s="1"/>
  <c r="AH46"/>
  <c r="AI46" s="1"/>
  <c r="AM46"/>
  <c r="AN46" s="1"/>
  <c r="AR46"/>
  <c r="AS46" s="1"/>
  <c r="AW46"/>
  <c r="AX46" s="1"/>
  <c r="BB46"/>
  <c r="BC46" s="1"/>
  <c r="A47"/>
  <c r="B47"/>
  <c r="C47"/>
  <c r="D47"/>
  <c r="E47"/>
  <c r="I47"/>
  <c r="J47" s="1"/>
  <c r="N47"/>
  <c r="O47" s="1"/>
  <c r="S47"/>
  <c r="T47" s="1"/>
  <c r="X47"/>
  <c r="Y47" s="1"/>
  <c r="AC47"/>
  <c r="AD47" s="1"/>
  <c r="AH47"/>
  <c r="AI47" s="1"/>
  <c r="AM47"/>
  <c r="AN47" s="1"/>
  <c r="AR47"/>
  <c r="AS47" s="1"/>
  <c r="AW47"/>
  <c r="AX47" s="1"/>
  <c r="BB47"/>
  <c r="BC47" s="1"/>
  <c r="A48"/>
  <c r="B48"/>
  <c r="C48"/>
  <c r="D48"/>
  <c r="E48"/>
  <c r="I48"/>
  <c r="J48" s="1"/>
  <c r="N48"/>
  <c r="O48" s="1"/>
  <c r="S48"/>
  <c r="T48" s="1"/>
  <c r="X48"/>
  <c r="Y48" s="1"/>
  <c r="AC48"/>
  <c r="AD48" s="1"/>
  <c r="AH48"/>
  <c r="AI48" s="1"/>
  <c r="AM48"/>
  <c r="AN48" s="1"/>
  <c r="AR48"/>
  <c r="AS48" s="1"/>
  <c r="AW48"/>
  <c r="AX48" s="1"/>
  <c r="BB48"/>
  <c r="BC48" s="1"/>
  <c r="A49"/>
  <c r="B49"/>
  <c r="C49"/>
  <c r="D49"/>
  <c r="E49"/>
  <c r="I49"/>
  <c r="J49" s="1"/>
  <c r="N49"/>
  <c r="O49" s="1"/>
  <c r="S49"/>
  <c r="T49" s="1"/>
  <c r="X49"/>
  <c r="Y49" s="1"/>
  <c r="AC49"/>
  <c r="AD49" s="1"/>
  <c r="AH49"/>
  <c r="AI49" s="1"/>
  <c r="AM49"/>
  <c r="AN49" s="1"/>
  <c r="AR49"/>
  <c r="AS49" s="1"/>
  <c r="AW49"/>
  <c r="AX49" s="1"/>
  <c r="BB49"/>
  <c r="BC49" s="1"/>
  <c r="A50"/>
  <c r="B50"/>
  <c r="C50"/>
  <c r="D50"/>
  <c r="E50"/>
  <c r="I50"/>
  <c r="J50" s="1"/>
  <c r="N50"/>
  <c r="O50" s="1"/>
  <c r="S50"/>
  <c r="T50" s="1"/>
  <c r="X50"/>
  <c r="Y50" s="1"/>
  <c r="AC50"/>
  <c r="AD50" s="1"/>
  <c r="AH50"/>
  <c r="AI50" s="1"/>
  <c r="AM50"/>
  <c r="AN50" s="1"/>
  <c r="AR50"/>
  <c r="AS50" s="1"/>
  <c r="AW50"/>
  <c r="AX50" s="1"/>
  <c r="BB50"/>
  <c r="BC50" s="1"/>
  <c r="AP24" i="44" l="1"/>
  <c r="AP22"/>
  <c r="AP20"/>
  <c r="AP18"/>
  <c r="AP16"/>
  <c r="AP25"/>
  <c r="AP21"/>
  <c r="AP17"/>
  <c r="AR15"/>
  <c r="AP23"/>
  <c r="AP19"/>
  <c r="AN24" i="45"/>
  <c r="AN22"/>
  <c r="AN20"/>
  <c r="AN18"/>
  <c r="AN16"/>
  <c r="AN25"/>
  <c r="AN23"/>
  <c r="AN21"/>
  <c r="AN19"/>
  <c r="AN17"/>
  <c r="AP15"/>
  <c r="A45" i="6"/>
  <c r="B45"/>
  <c r="C45"/>
  <c r="D45"/>
  <c r="E45"/>
  <c r="A46"/>
  <c r="B46"/>
  <c r="C46"/>
  <c r="D46"/>
  <c r="E46"/>
  <c r="A47"/>
  <c r="B47"/>
  <c r="C47"/>
  <c r="D47"/>
  <c r="E47"/>
  <c r="A48"/>
  <c r="B48"/>
  <c r="C48"/>
  <c r="D48"/>
  <c r="E48"/>
  <c r="A49"/>
  <c r="B49"/>
  <c r="C49"/>
  <c r="D49"/>
  <c r="E49"/>
  <c r="A50"/>
  <c r="B50"/>
  <c r="C50"/>
  <c r="D50"/>
  <c r="E50"/>
  <c r="A51"/>
  <c r="B51"/>
  <c r="C51"/>
  <c r="D51"/>
  <c r="E51"/>
  <c r="A52"/>
  <c r="B52"/>
  <c r="C52"/>
  <c r="D52"/>
  <c r="E52"/>
  <c r="A47" i="9"/>
  <c r="B47"/>
  <c r="C47"/>
  <c r="D47"/>
  <c r="E47"/>
  <c r="A48"/>
  <c r="B48"/>
  <c r="C48"/>
  <c r="D48"/>
  <c r="E48"/>
  <c r="A49"/>
  <c r="B49"/>
  <c r="C49"/>
  <c r="D49"/>
  <c r="E49"/>
  <c r="A50"/>
  <c r="B50"/>
  <c r="C50"/>
  <c r="D50"/>
  <c r="E50"/>
  <c r="A51"/>
  <c r="B51"/>
  <c r="C51"/>
  <c r="D51"/>
  <c r="E51"/>
  <c r="A52"/>
  <c r="B52"/>
  <c r="C52"/>
  <c r="D52"/>
  <c r="E52"/>
  <c r="A53"/>
  <c r="B53"/>
  <c r="C53"/>
  <c r="D53"/>
  <c r="E53"/>
  <c r="A54"/>
  <c r="B54"/>
  <c r="C54"/>
  <c r="D54"/>
  <c r="E54"/>
  <c r="AY52" i="35"/>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AY8"/>
  <c r="AX8"/>
  <c r="AW8"/>
  <c r="AV8"/>
  <c r="AU8"/>
  <c r="AT8"/>
  <c r="AS8"/>
  <c r="AR8"/>
  <c r="AQ8"/>
  <c r="AP8"/>
  <c r="AO8"/>
  <c r="AN8"/>
  <c r="AM8"/>
  <c r="AL8"/>
  <c r="AK8"/>
  <c r="AJ8"/>
  <c r="AI8"/>
  <c r="AH8"/>
  <c r="AG8"/>
  <c r="AF8"/>
  <c r="AE8"/>
  <c r="AD8"/>
  <c r="AC8"/>
  <c r="AB8"/>
  <c r="AA8"/>
  <c r="Z8"/>
  <c r="Y8"/>
  <c r="X8"/>
  <c r="W8"/>
  <c r="V8"/>
  <c r="U8"/>
  <c r="T8"/>
  <c r="S8"/>
  <c r="R8"/>
  <c r="Q8"/>
  <c r="P8"/>
  <c r="O8"/>
  <c r="N8"/>
  <c r="M8"/>
  <c r="L8"/>
  <c r="K8"/>
  <c r="J8"/>
  <c r="I8"/>
  <c r="H8"/>
  <c r="G52"/>
  <c r="F52"/>
  <c r="G46"/>
  <c r="F46"/>
  <c r="G40"/>
  <c r="F40"/>
  <c r="G35"/>
  <c r="F35"/>
  <c r="G29"/>
  <c r="F29"/>
  <c r="G23"/>
  <c r="F23"/>
  <c r="G14"/>
  <c r="F14"/>
  <c r="G8"/>
  <c r="F8"/>
  <c r="E52"/>
  <c r="D52"/>
  <c r="E46"/>
  <c r="D46"/>
  <c r="E40"/>
  <c r="D40"/>
  <c r="E35"/>
  <c r="D35"/>
  <c r="E29"/>
  <c r="D29"/>
  <c r="E23"/>
  <c r="D23"/>
  <c r="E14"/>
  <c r="D14"/>
  <c r="E8"/>
  <c r="D8"/>
  <c r="A45" i="24"/>
  <c r="B45"/>
  <c r="C45"/>
  <c r="D45"/>
  <c r="E45"/>
  <c r="A46"/>
  <c r="B46"/>
  <c r="C46"/>
  <c r="D46"/>
  <c r="E46"/>
  <c r="A47"/>
  <c r="B47"/>
  <c r="C47"/>
  <c r="D47"/>
  <c r="E47"/>
  <c r="A48"/>
  <c r="B48"/>
  <c r="C48"/>
  <c r="D48"/>
  <c r="E48"/>
  <c r="A49"/>
  <c r="B49"/>
  <c r="C49"/>
  <c r="D49"/>
  <c r="E49"/>
  <c r="A50"/>
  <c r="B50"/>
  <c r="C50"/>
  <c r="D50"/>
  <c r="E50"/>
  <c r="A51"/>
  <c r="B51"/>
  <c r="C51"/>
  <c r="D51"/>
  <c r="E51"/>
  <c r="A52"/>
  <c r="B52"/>
  <c r="C52"/>
  <c r="D52"/>
  <c r="E52"/>
  <c r="D67" i="30"/>
  <c r="E67"/>
  <c r="F67"/>
  <c r="G67"/>
  <c r="H67"/>
  <c r="I67"/>
  <c r="O67"/>
  <c r="P67"/>
  <c r="Q67"/>
  <c r="R67"/>
  <c r="S67"/>
  <c r="T67"/>
  <c r="U67"/>
  <c r="AA67"/>
  <c r="AB67"/>
  <c r="AC67"/>
  <c r="AD67"/>
  <c r="AE67"/>
  <c r="AF67"/>
  <c r="AG67"/>
  <c r="AM67"/>
  <c r="AN67"/>
  <c r="AO67"/>
  <c r="AP67"/>
  <c r="AQ67"/>
  <c r="AR67"/>
  <c r="AS67"/>
  <c r="AY67"/>
  <c r="AZ67"/>
  <c r="BA67"/>
  <c r="BB67"/>
  <c r="BC67"/>
  <c r="BD67"/>
  <c r="BE67"/>
  <c r="BK67"/>
  <c r="BL67"/>
  <c r="BM67"/>
  <c r="BN67"/>
  <c r="BO67"/>
  <c r="BP67"/>
  <c r="BQ67"/>
  <c r="BW67"/>
  <c r="BX67"/>
  <c r="BY67"/>
  <c r="BZ67"/>
  <c r="CA67"/>
  <c r="CB67"/>
  <c r="CC67"/>
  <c r="CI67"/>
  <c r="CJ67"/>
  <c r="CK67"/>
  <c r="CL67"/>
  <c r="CM67"/>
  <c r="CN67"/>
  <c r="CO67"/>
  <c r="CU67"/>
  <c r="CV67"/>
  <c r="CW67"/>
  <c r="CX67"/>
  <c r="CY67"/>
  <c r="CZ67"/>
  <c r="DA67"/>
  <c r="DG67"/>
  <c r="DH67"/>
  <c r="DI67"/>
  <c r="DJ67"/>
  <c r="DK67"/>
  <c r="DL67"/>
  <c r="DM67"/>
  <c r="C67"/>
  <c r="A64"/>
  <c r="B64"/>
  <c r="J64"/>
  <c r="V64"/>
  <c r="AH64"/>
  <c r="AT64"/>
  <c r="BF64"/>
  <c r="BR64"/>
  <c r="CD64"/>
  <c r="CP64"/>
  <c r="DB64"/>
  <c r="DN64"/>
  <c r="A65"/>
  <c r="B65"/>
  <c r="J65"/>
  <c r="V65"/>
  <c r="AH65"/>
  <c r="AT65"/>
  <c r="BF65"/>
  <c r="BR65"/>
  <c r="CD65"/>
  <c r="CP65"/>
  <c r="DB65"/>
  <c r="DN65"/>
  <c r="A66"/>
  <c r="B66"/>
  <c r="J66"/>
  <c r="V66"/>
  <c r="AH66"/>
  <c r="AT66"/>
  <c r="BF66"/>
  <c r="BR66"/>
  <c r="CD66"/>
  <c r="CP66"/>
  <c r="DB66"/>
  <c r="DN66"/>
  <c r="A45" i="8"/>
  <c r="B45"/>
  <c r="C45"/>
  <c r="D45"/>
  <c r="E45"/>
  <c r="A46"/>
  <c r="B46"/>
  <c r="C46"/>
  <c r="D46"/>
  <c r="E46"/>
  <c r="A47"/>
  <c r="B47"/>
  <c r="C47"/>
  <c r="D47"/>
  <c r="E47"/>
  <c r="A48"/>
  <c r="B48"/>
  <c r="C48"/>
  <c r="D48"/>
  <c r="E48"/>
  <c r="A49"/>
  <c r="B49"/>
  <c r="C49"/>
  <c r="D49"/>
  <c r="E49"/>
  <c r="A50"/>
  <c r="B50"/>
  <c r="C50"/>
  <c r="D50"/>
  <c r="E50"/>
  <c r="A51"/>
  <c r="B51"/>
  <c r="C51"/>
  <c r="D51"/>
  <c r="E51"/>
  <c r="A52"/>
  <c r="B52"/>
  <c r="C52"/>
  <c r="D52"/>
  <c r="E52"/>
  <c r="A62" i="29"/>
  <c r="B62"/>
  <c r="A63"/>
  <c r="B63"/>
  <c r="A64"/>
  <c r="B64"/>
  <c r="A65"/>
  <c r="B65"/>
  <c r="A66"/>
  <c r="B66"/>
  <c r="B59" i="30"/>
  <c r="B60"/>
  <c r="B61"/>
  <c r="B62"/>
  <c r="B63"/>
  <c r="A60"/>
  <c r="A61"/>
  <c r="A62"/>
  <c r="A63"/>
  <c r="A59"/>
  <c r="A54" i="31"/>
  <c r="B54"/>
  <c r="C54"/>
  <c r="A55"/>
  <c r="B55"/>
  <c r="C55"/>
  <c r="A56"/>
  <c r="B56"/>
  <c r="C56"/>
  <c r="A57"/>
  <c r="B57"/>
  <c r="C57"/>
  <c r="A58"/>
  <c r="B58"/>
  <c r="C58"/>
  <c r="J59" i="30"/>
  <c r="V59"/>
  <c r="AH59"/>
  <c r="AT59"/>
  <c r="BF59"/>
  <c r="BR59"/>
  <c r="CD59"/>
  <c r="CP59"/>
  <c r="DB59"/>
  <c r="DN59"/>
  <c r="J60"/>
  <c r="V60"/>
  <c r="AH60"/>
  <c r="AT60"/>
  <c r="BF60"/>
  <c r="BR60"/>
  <c r="CD60"/>
  <c r="CP60"/>
  <c r="DB60"/>
  <c r="DN60"/>
  <c r="J61"/>
  <c r="V61"/>
  <c r="AH61"/>
  <c r="AT61"/>
  <c r="BF61"/>
  <c r="BR61"/>
  <c r="CD61"/>
  <c r="CP61"/>
  <c r="DB61"/>
  <c r="DN61"/>
  <c r="J62"/>
  <c r="V62"/>
  <c r="AH62"/>
  <c r="AT62"/>
  <c r="BF62"/>
  <c r="BR62"/>
  <c r="CD62"/>
  <c r="CP62"/>
  <c r="DB62"/>
  <c r="DN62"/>
  <c r="J63"/>
  <c r="V63"/>
  <c r="AH63"/>
  <c r="AT63"/>
  <c r="BF63"/>
  <c r="BR63"/>
  <c r="CD63"/>
  <c r="CP63"/>
  <c r="DB63"/>
  <c r="DN63"/>
  <c r="CR4" i="44" l="1"/>
  <c r="CS4" s="1"/>
  <c r="CP4"/>
  <c r="CQ4" s="1"/>
  <c r="CN4"/>
  <c r="CO4" s="1"/>
  <c r="CL4"/>
  <c r="CM4" s="1"/>
  <c r="CJ4"/>
  <c r="CK4" s="1"/>
  <c r="CH4"/>
  <c r="CI4" s="1"/>
  <c r="CF4"/>
  <c r="CG4" s="1"/>
  <c r="CD4"/>
  <c r="CE4" s="1"/>
  <c r="AR24"/>
  <c r="AR22"/>
  <c r="AR20"/>
  <c r="AR18"/>
  <c r="AR16"/>
  <c r="AT15"/>
  <c r="AR23"/>
  <c r="AR19"/>
  <c r="AR25"/>
  <c r="AR21"/>
  <c r="AR17"/>
  <c r="AP25" i="45"/>
  <c r="AP23"/>
  <c r="AP21"/>
  <c r="AP19"/>
  <c r="AP17"/>
  <c r="AP24"/>
  <c r="AP22"/>
  <c r="AP20"/>
  <c r="AP18"/>
  <c r="AP16"/>
  <c r="AR15"/>
  <c r="E54" i="34"/>
  <c r="CP5" i="44"/>
  <c r="CQ5" s="1"/>
  <c r="C54" i="34"/>
  <c r="CJ51" i="6"/>
  <c r="CU51" s="1"/>
  <c r="CI51"/>
  <c r="CT51" s="1"/>
  <c r="CP3" i="44"/>
  <c r="E52" i="34"/>
  <c r="CL5" i="44"/>
  <c r="CM5" s="1"/>
  <c r="C52" i="34"/>
  <c r="CJ49" i="6"/>
  <c r="CU49" s="1"/>
  <c r="CI49"/>
  <c r="CT49" s="1"/>
  <c r="CL3" i="44"/>
  <c r="E50" i="34"/>
  <c r="CH5" i="44"/>
  <c r="CI5" s="1"/>
  <c r="C50" i="34"/>
  <c r="CJ47" i="6"/>
  <c r="CU47" s="1"/>
  <c r="CI47"/>
  <c r="CT47" s="1"/>
  <c r="CH3" i="44"/>
  <c r="E48" i="34"/>
  <c r="CD5" i="44"/>
  <c r="CE5" s="1"/>
  <c r="C48" i="34"/>
  <c r="CJ45" i="6"/>
  <c r="CU45" s="1"/>
  <c r="CI45"/>
  <c r="CT45" s="1"/>
  <c r="CD3" i="44"/>
  <c r="E55" i="34"/>
  <c r="CR5" i="44"/>
  <c r="CS5" s="1"/>
  <c r="C55" i="34"/>
  <c r="CJ52" i="6"/>
  <c r="CU52" s="1"/>
  <c r="CR3" i="44"/>
  <c r="CI52" i="6"/>
  <c r="CT52" s="1"/>
  <c r="E53" i="34"/>
  <c r="CN5" i="44"/>
  <c r="CO5" s="1"/>
  <c r="C53" i="34"/>
  <c r="CJ50" i="6"/>
  <c r="CU50" s="1"/>
  <c r="CN3" i="44"/>
  <c r="CI50" i="6"/>
  <c r="CT50" s="1"/>
  <c r="E51" i="34"/>
  <c r="CJ5" i="44"/>
  <c r="CK5" s="1"/>
  <c r="C51" i="34"/>
  <c r="CJ48" i="6"/>
  <c r="CU48" s="1"/>
  <c r="CJ3" i="44"/>
  <c r="CI48" i="6"/>
  <c r="CT48" s="1"/>
  <c r="E49" i="34"/>
  <c r="CF5" i="44"/>
  <c r="CG5" s="1"/>
  <c r="C49" i="34"/>
  <c r="CJ46" i="6"/>
  <c r="CU46" s="1"/>
  <c r="CF3" i="44"/>
  <c r="CI46" i="6"/>
  <c r="CT46" s="1"/>
  <c r="L55" i="34"/>
  <c r="CR12" i="44"/>
  <c r="L53" i="34"/>
  <c r="CN12" i="44"/>
  <c r="L51" i="34"/>
  <c r="CJ12" i="44"/>
  <c r="L49" i="34"/>
  <c r="CF12" i="44"/>
  <c r="L54" i="34"/>
  <c r="CP12" i="44"/>
  <c r="L52" i="34"/>
  <c r="CL12" i="44"/>
  <c r="L50" i="34"/>
  <c r="CH12" i="44"/>
  <c r="L48" i="34"/>
  <c r="CD12" i="44"/>
  <c r="K54" i="34"/>
  <c r="CP11" i="44"/>
  <c r="K52" i="34"/>
  <c r="CL11" i="44"/>
  <c r="K50" i="34"/>
  <c r="CH11" i="44"/>
  <c r="K48" i="34"/>
  <c r="CD11" i="44"/>
  <c r="K55" i="34"/>
  <c r="CR11" i="44"/>
  <c r="K53" i="34"/>
  <c r="CN11" i="44"/>
  <c r="K51" i="34"/>
  <c r="CJ11" i="44"/>
  <c r="K49" i="34"/>
  <c r="CF11" i="44"/>
  <c r="J55" i="34"/>
  <c r="CR10" i="44"/>
  <c r="J53" i="34"/>
  <c r="CN10" i="44"/>
  <c r="J51" i="34"/>
  <c r="CJ10" i="44"/>
  <c r="J49" i="34"/>
  <c r="CF10" i="44"/>
  <c r="J54" i="34"/>
  <c r="CP10" i="44"/>
  <c r="J52" i="34"/>
  <c r="CL10" i="44"/>
  <c r="J50" i="34"/>
  <c r="CH10" i="44"/>
  <c r="J48" i="34"/>
  <c r="CD10" i="44"/>
  <c r="I54" i="34"/>
  <c r="CP9" i="44"/>
  <c r="I52" i="34"/>
  <c r="CL9" i="44"/>
  <c r="I50" i="34"/>
  <c r="CH9" i="44"/>
  <c r="I48" i="34"/>
  <c r="CD9" i="44"/>
  <c r="I55" i="34"/>
  <c r="CR9" i="44"/>
  <c r="I53" i="34"/>
  <c r="CN9" i="44"/>
  <c r="I51" i="34"/>
  <c r="CJ9" i="44"/>
  <c r="I49" i="34"/>
  <c r="CF9" i="44"/>
  <c r="H55" i="34"/>
  <c r="CR8" i="44"/>
  <c r="H53" i="34"/>
  <c r="CN8" i="44"/>
  <c r="H51" i="34"/>
  <c r="CJ8" i="44"/>
  <c r="H49" i="34"/>
  <c r="CF8" i="44"/>
  <c r="H54" i="34"/>
  <c r="CP8" i="44"/>
  <c r="H52" i="34"/>
  <c r="CL8" i="44"/>
  <c r="H50" i="34"/>
  <c r="CH8" i="44"/>
  <c r="H48" i="34"/>
  <c r="CD8" i="44"/>
  <c r="G55" i="34"/>
  <c r="CR7" i="44"/>
  <c r="G53" i="34"/>
  <c r="CN7" i="44"/>
  <c r="G51" i="34"/>
  <c r="CJ7" i="44"/>
  <c r="G49" i="34"/>
  <c r="CF7" i="44"/>
  <c r="G54" i="34"/>
  <c r="CP7" i="44"/>
  <c r="G52" i="34"/>
  <c r="CL7" i="44"/>
  <c r="G50" i="34"/>
  <c r="CH7" i="44"/>
  <c r="G48" i="34"/>
  <c r="CD7" i="44"/>
  <c r="F55" i="34"/>
  <c r="CR6" i="44"/>
  <c r="CS6" s="1"/>
  <c r="F53" i="34"/>
  <c r="CN6" i="44"/>
  <c r="CO6" s="1"/>
  <c r="F51" i="34"/>
  <c r="CJ6" i="44"/>
  <c r="CK6" s="1"/>
  <c r="F49" i="34"/>
  <c r="CF6" i="44"/>
  <c r="CG6" s="1"/>
  <c r="F54" i="34"/>
  <c r="CP6" i="44"/>
  <c r="CQ6" s="1"/>
  <c r="F52" i="34"/>
  <c r="CL6" i="44"/>
  <c r="CM6" s="1"/>
  <c r="F50" i="34"/>
  <c r="CH6" i="44"/>
  <c r="CI6" s="1"/>
  <c r="F48" i="34"/>
  <c r="CD6" i="44"/>
  <c r="CE6" s="1"/>
  <c r="D54" i="34"/>
  <c r="CH51" i="6"/>
  <c r="D51" i="34"/>
  <c r="CH48" i="6"/>
  <c r="D49" i="34"/>
  <c r="CH46" i="6"/>
  <c r="D55" i="34"/>
  <c r="CH52" i="6"/>
  <c r="D53" i="34"/>
  <c r="CH50" i="6"/>
  <c r="D52" i="34"/>
  <c r="CH49" i="6"/>
  <c r="D50" i="34"/>
  <c r="CH47" i="6"/>
  <c r="D48" i="34"/>
  <c r="CH45" i="6"/>
  <c r="AT1" i="27"/>
  <c r="AT1" i="37"/>
  <c r="AT1" i="36"/>
  <c r="AW1" i="27"/>
  <c r="AW1" i="37"/>
  <c r="AW1" i="36"/>
  <c r="AY1" i="37"/>
  <c r="AY1" i="36"/>
  <c r="AS54" i="35"/>
  <c r="AU54"/>
  <c r="AW54"/>
  <c r="AY54"/>
  <c r="AR1" i="27"/>
  <c r="AR1" i="37"/>
  <c r="AR1" i="36"/>
  <c r="AV1" i="27"/>
  <c r="AV1" i="37"/>
  <c r="AV1" i="36"/>
  <c r="AS1" i="27"/>
  <c r="AS1" i="37"/>
  <c r="AS1" i="36"/>
  <c r="AU1" i="27"/>
  <c r="AU1" i="37"/>
  <c r="AU1" i="36"/>
  <c r="D54" i="35"/>
  <c r="AW1"/>
  <c r="AX1" i="37"/>
  <c r="AX1" i="36"/>
  <c r="H54" i="35"/>
  <c r="J54"/>
  <c r="L54"/>
  <c r="N54"/>
  <c r="P54"/>
  <c r="R54"/>
  <c r="T54"/>
  <c r="V54"/>
  <c r="X54"/>
  <c r="Z54"/>
  <c r="AB54"/>
  <c r="AD54"/>
  <c r="AF54"/>
  <c r="AH54"/>
  <c r="AJ54"/>
  <c r="AL54"/>
  <c r="AN54"/>
  <c r="AP54"/>
  <c r="AR54"/>
  <c r="AT54"/>
  <c r="AV54"/>
  <c r="AX54"/>
  <c r="F54"/>
  <c r="E54"/>
  <c r="G54"/>
  <c r="I54"/>
  <c r="K54"/>
  <c r="M54"/>
  <c r="O54"/>
  <c r="Q54"/>
  <c r="S54"/>
  <c r="U54"/>
  <c r="W54"/>
  <c r="Y54"/>
  <c r="AA54"/>
  <c r="AC54"/>
  <c r="AE54"/>
  <c r="AG54"/>
  <c r="AI54"/>
  <c r="AK54"/>
  <c r="AM54"/>
  <c r="AO54"/>
  <c r="AQ54"/>
  <c r="AY1"/>
  <c r="AY1" i="27"/>
  <c r="AV1" i="35"/>
  <c r="AT1"/>
  <c r="AR1"/>
  <c r="AS1" i="23"/>
  <c r="AU1"/>
  <c r="AW1"/>
  <c r="AY1"/>
  <c r="AW1" i="21"/>
  <c r="AU1"/>
  <c r="AS1"/>
  <c r="AY1"/>
  <c r="AX1" i="35"/>
  <c r="AX1" i="27"/>
  <c r="AU1" i="35"/>
  <c r="AS1"/>
  <c r="AR1" i="23"/>
  <c r="AT1"/>
  <c r="AV1"/>
  <c r="AX1"/>
  <c r="AX1" i="21"/>
  <c r="AV1"/>
  <c r="AT1"/>
  <c r="AR1"/>
  <c r="CM47" i="6" l="1"/>
  <c r="CP47"/>
  <c r="CV47" s="1"/>
  <c r="CM50"/>
  <c r="CP50"/>
  <c r="CV50" s="1"/>
  <c r="CM46"/>
  <c r="CP46"/>
  <c r="CV46" s="1"/>
  <c r="CM51"/>
  <c r="CP51"/>
  <c r="CV51" s="1"/>
  <c r="CM45"/>
  <c r="CP45"/>
  <c r="CV45" s="1"/>
  <c r="CM49"/>
  <c r="CP49"/>
  <c r="CV49" s="1"/>
  <c r="CM52"/>
  <c r="CP52"/>
  <c r="CV52" s="1"/>
  <c r="CM48"/>
  <c r="CP48"/>
  <c r="CV48" s="1"/>
  <c r="AT24" i="44"/>
  <c r="AT22"/>
  <c r="AT20"/>
  <c r="AT18"/>
  <c r="AT16"/>
  <c r="AT25"/>
  <c r="AT21"/>
  <c r="AT17"/>
  <c r="AT23"/>
  <c r="AT19"/>
  <c r="AV15"/>
  <c r="AR24" i="45"/>
  <c r="AR22"/>
  <c r="AR20"/>
  <c r="AR18"/>
  <c r="AR16"/>
  <c r="AR25"/>
  <c r="AR23"/>
  <c r="AR21"/>
  <c r="AR19"/>
  <c r="AR17"/>
  <c r="AT15"/>
  <c r="CG11" i="44"/>
  <c r="CG10"/>
  <c r="CG7"/>
  <c r="CG3"/>
  <c r="CW46" i="6" s="1"/>
  <c r="CG12" i="44"/>
  <c r="CG9"/>
  <c r="CG8"/>
  <c r="CK12"/>
  <c r="CK11"/>
  <c r="CK8"/>
  <c r="CK7"/>
  <c r="CK3"/>
  <c r="CW48" i="6" s="1"/>
  <c r="CK10" i="44"/>
  <c r="CK9"/>
  <c r="CO3"/>
  <c r="CW50" i="6" s="1"/>
  <c r="CO11" i="44"/>
  <c r="CO10"/>
  <c r="CO7"/>
  <c r="CO12"/>
  <c r="CO9"/>
  <c r="CO8"/>
  <c r="CS8"/>
  <c r="CS10"/>
  <c r="CS3"/>
  <c r="CW52" i="6" s="1"/>
  <c r="CS11" i="44"/>
  <c r="CS12"/>
  <c r="CS9"/>
  <c r="CS7"/>
  <c r="CE3"/>
  <c r="CW45" i="6" s="1"/>
  <c r="CE9" i="44"/>
  <c r="CE7"/>
  <c r="CE8"/>
  <c r="CE12"/>
  <c r="CE11"/>
  <c r="CE10"/>
  <c r="CI3"/>
  <c r="CW47" i="6" s="1"/>
  <c r="CI9" i="44"/>
  <c r="CI12"/>
  <c r="CI11"/>
  <c r="CI10"/>
  <c r="CI8"/>
  <c r="CI7"/>
  <c r="CM12"/>
  <c r="CM10"/>
  <c r="CM9"/>
  <c r="CM8"/>
  <c r="CM3"/>
  <c r="CW49" i="6" s="1"/>
  <c r="CM11" i="44"/>
  <c r="CM7"/>
  <c r="CQ12"/>
  <c r="CQ9"/>
  <c r="CQ8"/>
  <c r="CQ7"/>
  <c r="CQ11"/>
  <c r="CQ3"/>
  <c r="CW51" i="6" s="1"/>
  <c r="CQ10" i="44"/>
  <c r="CX48" i="6"/>
  <c r="F60" i="31" l="1"/>
  <c r="CX49" i="6"/>
  <c r="CX46"/>
  <c r="CX45"/>
  <c r="CX50"/>
  <c r="CX52"/>
  <c r="CX51"/>
  <c r="CX47"/>
  <c r="F56" i="31"/>
  <c r="CQ51" i="6"/>
  <c r="CR51" s="1"/>
  <c r="E60" i="31" s="1"/>
  <c r="CQ48" i="6"/>
  <c r="CQ46"/>
  <c r="CQ49"/>
  <c r="CQ50"/>
  <c r="CQ52"/>
  <c r="D62" i="31"/>
  <c r="CQ45" i="6"/>
  <c r="CQ47"/>
  <c r="AV24" i="44"/>
  <c r="AV22"/>
  <c r="AV20"/>
  <c r="AV18"/>
  <c r="AV16"/>
  <c r="AX15"/>
  <c r="AV23"/>
  <c r="AV19"/>
  <c r="AV25"/>
  <c r="AV21"/>
  <c r="AV17"/>
  <c r="F57" i="31"/>
  <c r="F61"/>
  <c r="F58"/>
  <c r="F59"/>
  <c r="F54"/>
  <c r="F55"/>
  <c r="AT25" i="45"/>
  <c r="AT23"/>
  <c r="AT21"/>
  <c r="AT19"/>
  <c r="AT17"/>
  <c r="AT24"/>
  <c r="AT22"/>
  <c r="AT20"/>
  <c r="AT18"/>
  <c r="AT16"/>
  <c r="AV15"/>
  <c r="D60" i="31" l="1"/>
  <c r="CS51" i="6"/>
  <c r="CR46"/>
  <c r="E55" i="31" s="1"/>
  <c r="D55"/>
  <c r="CS46" i="6"/>
  <c r="CR48"/>
  <c r="E57" i="31" s="1"/>
  <c r="CS48" i="6"/>
  <c r="D57" i="31"/>
  <c r="CS47" i="6"/>
  <c r="D56" i="31"/>
  <c r="CR47" i="6"/>
  <c r="E56" i="31" s="1"/>
  <c r="D59"/>
  <c r="CS50" i="6"/>
  <c r="CR50"/>
  <c r="E59" i="31" s="1"/>
  <c r="CS45" i="6"/>
  <c r="D54" i="31"/>
  <c r="CR45" i="6"/>
  <c r="E54" i="31" s="1"/>
  <c r="D58"/>
  <c r="CR49" i="6"/>
  <c r="E58" i="31" s="1"/>
  <c r="CS49" i="6"/>
  <c r="D61" i="31"/>
  <c r="CR52" i="6"/>
  <c r="E61" i="31" s="1"/>
  <c r="CS52" i="6"/>
  <c r="AX24" i="44"/>
  <c r="AX22"/>
  <c r="AX20"/>
  <c r="AX18"/>
  <c r="AX16"/>
  <c r="AX25"/>
  <c r="AX21"/>
  <c r="AX17"/>
  <c r="AZ15"/>
  <c r="AX23"/>
  <c r="AX19"/>
  <c r="AV24" i="45"/>
  <c r="AV22"/>
  <c r="AV20"/>
  <c r="AV18"/>
  <c r="AV16"/>
  <c r="AV25"/>
  <c r="AV23"/>
  <c r="AV21"/>
  <c r="AV19"/>
  <c r="AV17"/>
  <c r="AX15"/>
  <c r="B47" i="34"/>
  <c r="A47"/>
  <c r="B46"/>
  <c r="A46"/>
  <c r="B45"/>
  <c r="A45"/>
  <c r="B44"/>
  <c r="A44"/>
  <c r="B43"/>
  <c r="A43"/>
  <c r="B42"/>
  <c r="A42"/>
  <c r="B41"/>
  <c r="A41"/>
  <c r="B40"/>
  <c r="A40"/>
  <c r="B39"/>
  <c r="A39"/>
  <c r="B38"/>
  <c r="A38"/>
  <c r="B37"/>
  <c r="A37"/>
  <c r="B36"/>
  <c r="A36"/>
  <c r="B35"/>
  <c r="A35"/>
  <c r="B34"/>
  <c r="A34"/>
  <c r="B33"/>
  <c r="A33"/>
  <c r="B32"/>
  <c r="A32"/>
  <c r="B31"/>
  <c r="A31"/>
  <c r="B30"/>
  <c r="A30"/>
  <c r="B29"/>
  <c r="A29"/>
  <c r="B28"/>
  <c r="A28"/>
  <c r="B27"/>
  <c r="A27"/>
  <c r="B26"/>
  <c r="A26"/>
  <c r="B25"/>
  <c r="A25"/>
  <c r="B24"/>
  <c r="A24"/>
  <c r="B23"/>
  <c r="A23"/>
  <c r="B22"/>
  <c r="A22"/>
  <c r="B21"/>
  <c r="A21"/>
  <c r="B20"/>
  <c r="A20"/>
  <c r="B19"/>
  <c r="A19"/>
  <c r="B18"/>
  <c r="A18"/>
  <c r="B17"/>
  <c r="A17"/>
  <c r="B16"/>
  <c r="A16"/>
  <c r="B15"/>
  <c r="A15"/>
  <c r="B14"/>
  <c r="A14"/>
  <c r="B13"/>
  <c r="A13"/>
  <c r="B12"/>
  <c r="A12"/>
  <c r="B11"/>
  <c r="A11"/>
  <c r="B10"/>
  <c r="A10"/>
  <c r="B9"/>
  <c r="A9"/>
  <c r="B8"/>
  <c r="A8"/>
  <c r="AZ24" i="44" l="1"/>
  <c r="AZ22"/>
  <c r="AZ20"/>
  <c r="AZ18"/>
  <c r="AZ16"/>
  <c r="BB15"/>
  <c r="AZ23"/>
  <c r="AZ19"/>
  <c r="AZ25"/>
  <c r="AZ21"/>
  <c r="AZ17"/>
  <c r="AX25" i="45"/>
  <c r="AX23"/>
  <c r="AX21"/>
  <c r="AX19"/>
  <c r="AX17"/>
  <c r="AX24"/>
  <c r="AX22"/>
  <c r="AX20"/>
  <c r="AX18"/>
  <c r="AX16"/>
  <c r="AZ15"/>
  <c r="I9" i="31"/>
  <c r="I44" i="17"/>
  <c r="J44" s="1"/>
  <c r="I43"/>
  <c r="J43" s="1"/>
  <c r="I42"/>
  <c r="J42" s="1"/>
  <c r="I41"/>
  <c r="J41" s="1"/>
  <c r="I40"/>
  <c r="J40" s="1"/>
  <c r="I39"/>
  <c r="J39" s="1"/>
  <c r="I38"/>
  <c r="J38" s="1"/>
  <c r="I37"/>
  <c r="J37" s="1"/>
  <c r="I36"/>
  <c r="J36" s="1"/>
  <c r="I35"/>
  <c r="J35" s="1"/>
  <c r="I34"/>
  <c r="J34" s="1"/>
  <c r="I33"/>
  <c r="J33" s="1"/>
  <c r="I32"/>
  <c r="J32" s="1"/>
  <c r="I31"/>
  <c r="J31" s="1"/>
  <c r="I30"/>
  <c r="J30" s="1"/>
  <c r="I29"/>
  <c r="J29" s="1"/>
  <c r="I28"/>
  <c r="J28" s="1"/>
  <c r="I27"/>
  <c r="J27" s="1"/>
  <c r="I26"/>
  <c r="J26" s="1"/>
  <c r="I25"/>
  <c r="J25" s="1"/>
  <c r="I24"/>
  <c r="J24" s="1"/>
  <c r="I23"/>
  <c r="J23" s="1"/>
  <c r="I22"/>
  <c r="J22" s="1"/>
  <c r="I21"/>
  <c r="J21" s="1"/>
  <c r="I20"/>
  <c r="J20" s="1"/>
  <c r="I19"/>
  <c r="J19" s="1"/>
  <c r="I18"/>
  <c r="J18" s="1"/>
  <c r="I17"/>
  <c r="J17" s="1"/>
  <c r="I16"/>
  <c r="J16" s="1"/>
  <c r="I15"/>
  <c r="J15" s="1"/>
  <c r="I14"/>
  <c r="J14" s="1"/>
  <c r="I13"/>
  <c r="J13" s="1"/>
  <c r="I12"/>
  <c r="J12" s="1"/>
  <c r="I11"/>
  <c r="J11" s="1"/>
  <c r="I10"/>
  <c r="J10" s="1"/>
  <c r="I9"/>
  <c r="J9" s="1"/>
  <c r="I8"/>
  <c r="J8" s="1"/>
  <c r="I7"/>
  <c r="J7" s="1"/>
  <c r="I6"/>
  <c r="J6" s="1"/>
  <c r="I5"/>
  <c r="J5" s="1"/>
  <c r="N44"/>
  <c r="N43"/>
  <c r="N42"/>
  <c r="N41"/>
  <c r="N40"/>
  <c r="N39"/>
  <c r="N38"/>
  <c r="N37"/>
  <c r="N36"/>
  <c r="N35"/>
  <c r="N34"/>
  <c r="N33"/>
  <c r="N32"/>
  <c r="N31"/>
  <c r="N30"/>
  <c r="N29"/>
  <c r="N28"/>
  <c r="N27"/>
  <c r="N26"/>
  <c r="N25"/>
  <c r="N24"/>
  <c r="N23"/>
  <c r="N22"/>
  <c r="N21"/>
  <c r="N20"/>
  <c r="N19"/>
  <c r="N18"/>
  <c r="N17"/>
  <c r="N16"/>
  <c r="N15"/>
  <c r="N14"/>
  <c r="N13"/>
  <c r="N12"/>
  <c r="N11"/>
  <c r="N10"/>
  <c r="N9"/>
  <c r="N8"/>
  <c r="N7"/>
  <c r="N6"/>
  <c r="N5"/>
  <c r="O5" s="1"/>
  <c r="S44"/>
  <c r="S43"/>
  <c r="S42"/>
  <c r="S41"/>
  <c r="S40"/>
  <c r="S39"/>
  <c r="S38"/>
  <c r="S37"/>
  <c r="S36"/>
  <c r="S35"/>
  <c r="S34"/>
  <c r="S33"/>
  <c r="S32"/>
  <c r="S31"/>
  <c r="S30"/>
  <c r="S29"/>
  <c r="S28"/>
  <c r="S27"/>
  <c r="S26"/>
  <c r="S25"/>
  <c r="S24"/>
  <c r="S23"/>
  <c r="S22"/>
  <c r="S21"/>
  <c r="S20"/>
  <c r="S19"/>
  <c r="S18"/>
  <c r="S17"/>
  <c r="S16"/>
  <c r="S15"/>
  <c r="S14"/>
  <c r="S13"/>
  <c r="S12"/>
  <c r="S11"/>
  <c r="S10"/>
  <c r="S9"/>
  <c r="S8"/>
  <c r="S7"/>
  <c r="S6"/>
  <c r="S5"/>
  <c r="T5" s="1"/>
  <c r="X44"/>
  <c r="X43"/>
  <c r="X42"/>
  <c r="X41"/>
  <c r="X40"/>
  <c r="X39"/>
  <c r="X38"/>
  <c r="X37"/>
  <c r="X36"/>
  <c r="X35"/>
  <c r="X34"/>
  <c r="X33"/>
  <c r="X32"/>
  <c r="X31"/>
  <c r="X30"/>
  <c r="X29"/>
  <c r="X28"/>
  <c r="X27"/>
  <c r="X26"/>
  <c r="X25"/>
  <c r="X24"/>
  <c r="X23"/>
  <c r="X22"/>
  <c r="X21"/>
  <c r="X20"/>
  <c r="X19"/>
  <c r="X18"/>
  <c r="X17"/>
  <c r="X16"/>
  <c r="X15"/>
  <c r="X14"/>
  <c r="X13"/>
  <c r="X12"/>
  <c r="X11"/>
  <c r="X10"/>
  <c r="X9"/>
  <c r="X8"/>
  <c r="X7"/>
  <c r="X6"/>
  <c r="X5"/>
  <c r="Y5" s="1"/>
  <c r="AC44"/>
  <c r="AC43"/>
  <c r="AC42"/>
  <c r="AC41"/>
  <c r="AC40"/>
  <c r="AC39"/>
  <c r="AC38"/>
  <c r="AC37"/>
  <c r="AC36"/>
  <c r="AC35"/>
  <c r="AC34"/>
  <c r="AC33"/>
  <c r="AC32"/>
  <c r="AC31"/>
  <c r="AC30"/>
  <c r="AC29"/>
  <c r="AC28"/>
  <c r="AC27"/>
  <c r="AC26"/>
  <c r="AC25"/>
  <c r="AC24"/>
  <c r="AC23"/>
  <c r="AC22"/>
  <c r="AC21"/>
  <c r="AC20"/>
  <c r="AC19"/>
  <c r="AC18"/>
  <c r="AC17"/>
  <c r="AC16"/>
  <c r="AC15"/>
  <c r="AC14"/>
  <c r="AC13"/>
  <c r="AC12"/>
  <c r="AC11"/>
  <c r="AC10"/>
  <c r="AC9"/>
  <c r="AC8"/>
  <c r="AC7"/>
  <c r="AC6"/>
  <c r="AC5"/>
  <c r="AD5" s="1"/>
  <c r="AH44"/>
  <c r="AH43"/>
  <c r="AH42"/>
  <c r="AH41"/>
  <c r="AH40"/>
  <c r="AH39"/>
  <c r="AH38"/>
  <c r="AH37"/>
  <c r="AH36"/>
  <c r="AH35"/>
  <c r="AH34"/>
  <c r="AH33"/>
  <c r="AH32"/>
  <c r="AH31"/>
  <c r="AH30"/>
  <c r="AH29"/>
  <c r="AH28"/>
  <c r="AH27"/>
  <c r="AH26"/>
  <c r="AH25"/>
  <c r="AH24"/>
  <c r="AH23"/>
  <c r="AH22"/>
  <c r="AH21"/>
  <c r="AH20"/>
  <c r="AH19"/>
  <c r="AH18"/>
  <c r="AH17"/>
  <c r="AH16"/>
  <c r="AH15"/>
  <c r="AH14"/>
  <c r="AH13"/>
  <c r="AH12"/>
  <c r="AH11"/>
  <c r="AH10"/>
  <c r="AH9"/>
  <c r="AH8"/>
  <c r="AH7"/>
  <c r="AH6"/>
  <c r="AH5"/>
  <c r="AI5" s="1"/>
  <c r="AM44"/>
  <c r="AN44" s="1"/>
  <c r="AM43"/>
  <c r="AN43" s="1"/>
  <c r="AM42"/>
  <c r="AN42" s="1"/>
  <c r="AM41"/>
  <c r="AN41" s="1"/>
  <c r="AM40"/>
  <c r="AN40" s="1"/>
  <c r="AM39"/>
  <c r="AN39" s="1"/>
  <c r="AM38"/>
  <c r="AN38" s="1"/>
  <c r="AM37"/>
  <c r="AN37" s="1"/>
  <c r="AM36"/>
  <c r="AN36" s="1"/>
  <c r="AM35"/>
  <c r="AN35" s="1"/>
  <c r="AM34"/>
  <c r="AN34" s="1"/>
  <c r="AM33"/>
  <c r="AN33" s="1"/>
  <c r="AM32"/>
  <c r="AN32" s="1"/>
  <c r="AM31"/>
  <c r="AN31" s="1"/>
  <c r="AM30"/>
  <c r="AN30" s="1"/>
  <c r="AM29"/>
  <c r="AN29" s="1"/>
  <c r="AM28"/>
  <c r="AN28" s="1"/>
  <c r="AM27"/>
  <c r="AN27" s="1"/>
  <c r="AM26"/>
  <c r="AN26" s="1"/>
  <c r="AM25"/>
  <c r="AN25" s="1"/>
  <c r="AM24"/>
  <c r="AN24" s="1"/>
  <c r="AM23"/>
  <c r="AN23" s="1"/>
  <c r="AM22"/>
  <c r="AN22" s="1"/>
  <c r="AM21"/>
  <c r="AN21" s="1"/>
  <c r="AM20"/>
  <c r="AN20" s="1"/>
  <c r="AM19"/>
  <c r="AN19" s="1"/>
  <c r="AM18"/>
  <c r="AN18" s="1"/>
  <c r="AM17"/>
  <c r="AN17" s="1"/>
  <c r="AM16"/>
  <c r="AN16" s="1"/>
  <c r="AM15"/>
  <c r="AN15" s="1"/>
  <c r="AM14"/>
  <c r="AN14" s="1"/>
  <c r="AM13"/>
  <c r="AN13" s="1"/>
  <c r="AM12"/>
  <c r="AN12" s="1"/>
  <c r="AM11"/>
  <c r="AN11" s="1"/>
  <c r="AM10"/>
  <c r="AN10" s="1"/>
  <c r="AM9"/>
  <c r="AN9" s="1"/>
  <c r="AM8"/>
  <c r="AN8" s="1"/>
  <c r="AM7"/>
  <c r="AN7" s="1"/>
  <c r="AM6"/>
  <c r="AN6" s="1"/>
  <c r="AM5"/>
  <c r="AN5" s="1"/>
  <c r="AR44"/>
  <c r="AR43"/>
  <c r="AR42"/>
  <c r="AR41"/>
  <c r="AR40"/>
  <c r="AR39"/>
  <c r="AR38"/>
  <c r="AR37"/>
  <c r="AR36"/>
  <c r="AR35"/>
  <c r="AR34"/>
  <c r="AR33"/>
  <c r="AR32"/>
  <c r="AR31"/>
  <c r="AR30"/>
  <c r="AR29"/>
  <c r="AR28"/>
  <c r="AR27"/>
  <c r="AR26"/>
  <c r="AR25"/>
  <c r="AR24"/>
  <c r="AR23"/>
  <c r="AR22"/>
  <c r="AR21"/>
  <c r="AR20"/>
  <c r="AR19"/>
  <c r="AR18"/>
  <c r="AR17"/>
  <c r="AR16"/>
  <c r="AR15"/>
  <c r="AR14"/>
  <c r="AR13"/>
  <c r="AR12"/>
  <c r="AR11"/>
  <c r="AR10"/>
  <c r="AR9"/>
  <c r="AR8"/>
  <c r="AR7"/>
  <c r="AR6"/>
  <c r="AR5"/>
  <c r="AS5" s="1"/>
  <c r="AW44"/>
  <c r="AW43"/>
  <c r="AW42"/>
  <c r="AW41"/>
  <c r="AW40"/>
  <c r="AW39"/>
  <c r="AW38"/>
  <c r="AW37"/>
  <c r="AW36"/>
  <c r="AW35"/>
  <c r="AW34"/>
  <c r="AW33"/>
  <c r="AW32"/>
  <c r="AW31"/>
  <c r="AW30"/>
  <c r="AW29"/>
  <c r="AW28"/>
  <c r="AW27"/>
  <c r="AW26"/>
  <c r="AW25"/>
  <c r="AW24"/>
  <c r="AW23"/>
  <c r="AW22"/>
  <c r="AW21"/>
  <c r="AW20"/>
  <c r="AW19"/>
  <c r="AW18"/>
  <c r="AW17"/>
  <c r="AW16"/>
  <c r="AW15"/>
  <c r="AW14"/>
  <c r="AW13"/>
  <c r="AW12"/>
  <c r="AW11"/>
  <c r="AW10"/>
  <c r="AW9"/>
  <c r="AW8"/>
  <c r="AW7"/>
  <c r="AW6"/>
  <c r="AW5"/>
  <c r="AX5" s="1"/>
  <c r="BB6"/>
  <c r="BB7"/>
  <c r="BB8"/>
  <c r="BB9"/>
  <c r="BB10"/>
  <c r="BB11"/>
  <c r="BB12"/>
  <c r="BB13"/>
  <c r="BB14"/>
  <c r="BB15"/>
  <c r="BB16"/>
  <c r="BB17"/>
  <c r="BB18"/>
  <c r="BB19"/>
  <c r="BB20"/>
  <c r="BB21"/>
  <c r="BB22"/>
  <c r="BB23"/>
  <c r="BB24"/>
  <c r="BB25"/>
  <c r="BB26"/>
  <c r="BB27"/>
  <c r="BB28"/>
  <c r="BB29"/>
  <c r="BB30"/>
  <c r="BB31"/>
  <c r="BB32"/>
  <c r="BB33"/>
  <c r="BB34"/>
  <c r="BB35"/>
  <c r="BB36"/>
  <c r="BB37"/>
  <c r="BB38"/>
  <c r="BB39"/>
  <c r="BB40"/>
  <c r="BB41"/>
  <c r="BB42"/>
  <c r="BB43"/>
  <c r="BB44"/>
  <c r="BB5"/>
  <c r="BC5" s="1"/>
  <c r="E44" i="33"/>
  <c r="D44"/>
  <c r="C44"/>
  <c r="B44"/>
  <c r="A44"/>
  <c r="E43"/>
  <c r="D43"/>
  <c r="C43"/>
  <c r="B43"/>
  <c r="A43"/>
  <c r="E42"/>
  <c r="D42"/>
  <c r="C42"/>
  <c r="B42"/>
  <c r="A42"/>
  <c r="E41"/>
  <c r="D41"/>
  <c r="C41"/>
  <c r="B41"/>
  <c r="A41"/>
  <c r="E40"/>
  <c r="D40"/>
  <c r="C40"/>
  <c r="B40"/>
  <c r="A40"/>
  <c r="E39"/>
  <c r="D39"/>
  <c r="C39"/>
  <c r="B39"/>
  <c r="A39"/>
  <c r="E38"/>
  <c r="D38"/>
  <c r="C38"/>
  <c r="B38"/>
  <c r="A38"/>
  <c r="E37"/>
  <c r="D37"/>
  <c r="C37"/>
  <c r="B37"/>
  <c r="A37"/>
  <c r="E36"/>
  <c r="D36"/>
  <c r="C36"/>
  <c r="B36"/>
  <c r="A36"/>
  <c r="E35"/>
  <c r="D35"/>
  <c r="C35"/>
  <c r="B35"/>
  <c r="A35"/>
  <c r="E34"/>
  <c r="D34"/>
  <c r="C34"/>
  <c r="B34"/>
  <c r="A34"/>
  <c r="E33"/>
  <c r="D33"/>
  <c r="C33"/>
  <c r="B33"/>
  <c r="A33"/>
  <c r="E32"/>
  <c r="D32"/>
  <c r="C32"/>
  <c r="B32"/>
  <c r="A32"/>
  <c r="E31"/>
  <c r="D31"/>
  <c r="C31"/>
  <c r="B31"/>
  <c r="A31"/>
  <c r="E30"/>
  <c r="D30"/>
  <c r="C30"/>
  <c r="B30"/>
  <c r="A30"/>
  <c r="E29"/>
  <c r="D29"/>
  <c r="C29"/>
  <c r="B29"/>
  <c r="A29"/>
  <c r="E28"/>
  <c r="D28"/>
  <c r="C28"/>
  <c r="B28"/>
  <c r="A28"/>
  <c r="E27"/>
  <c r="D27"/>
  <c r="C27"/>
  <c r="B27"/>
  <c r="A27"/>
  <c r="E26"/>
  <c r="D26"/>
  <c r="C26"/>
  <c r="B26"/>
  <c r="A26"/>
  <c r="E25"/>
  <c r="D25"/>
  <c r="C25"/>
  <c r="B25"/>
  <c r="A25"/>
  <c r="E24"/>
  <c r="D24"/>
  <c r="C24"/>
  <c r="B24"/>
  <c r="A24"/>
  <c r="E23"/>
  <c r="D23"/>
  <c r="C23"/>
  <c r="B23"/>
  <c r="A23"/>
  <c r="E22"/>
  <c r="D22"/>
  <c r="C22"/>
  <c r="B22"/>
  <c r="A22"/>
  <c r="E21"/>
  <c r="D21"/>
  <c r="C21"/>
  <c r="B21"/>
  <c r="A21"/>
  <c r="E20"/>
  <c r="D20"/>
  <c r="C20"/>
  <c r="B20"/>
  <c r="A20"/>
  <c r="E19"/>
  <c r="D19"/>
  <c r="C19"/>
  <c r="B19"/>
  <c r="A19"/>
  <c r="E18"/>
  <c r="D18"/>
  <c r="C18"/>
  <c r="B18"/>
  <c r="A18"/>
  <c r="E17"/>
  <c r="D17"/>
  <c r="C17"/>
  <c r="B17"/>
  <c r="A17"/>
  <c r="E16"/>
  <c r="D16"/>
  <c r="C16"/>
  <c r="B16"/>
  <c r="A16"/>
  <c r="E15"/>
  <c r="D15"/>
  <c r="C15"/>
  <c r="B15"/>
  <c r="A15"/>
  <c r="E14"/>
  <c r="D14"/>
  <c r="C14"/>
  <c r="B14"/>
  <c r="A14"/>
  <c r="E13"/>
  <c r="D13"/>
  <c r="C13"/>
  <c r="B13"/>
  <c r="A13"/>
  <c r="E12"/>
  <c r="D12"/>
  <c r="C12"/>
  <c r="B12"/>
  <c r="A12"/>
  <c r="E11"/>
  <c r="D11"/>
  <c r="C11"/>
  <c r="B11"/>
  <c r="A11"/>
  <c r="E10"/>
  <c r="D10"/>
  <c r="C10"/>
  <c r="B10"/>
  <c r="A10"/>
  <c r="E9"/>
  <c r="D9"/>
  <c r="C9"/>
  <c r="B9"/>
  <c r="A9"/>
  <c r="E8"/>
  <c r="D8"/>
  <c r="C8"/>
  <c r="B8"/>
  <c r="A8"/>
  <c r="E7"/>
  <c r="D7"/>
  <c r="C7"/>
  <c r="B7"/>
  <c r="A7"/>
  <c r="E6"/>
  <c r="D6"/>
  <c r="C6"/>
  <c r="B6"/>
  <c r="A6"/>
  <c r="E5"/>
  <c r="D5"/>
  <c r="C5"/>
  <c r="B5"/>
  <c r="A5"/>
  <c r="BG2"/>
  <c r="BB24" i="44" l="1"/>
  <c r="BB22"/>
  <c r="BB20"/>
  <c r="BB18"/>
  <c r="BB16"/>
  <c r="BB25"/>
  <c r="BB21"/>
  <c r="BB17"/>
  <c r="BB23"/>
  <c r="BB19"/>
  <c r="BD15"/>
  <c r="AZ24" i="45"/>
  <c r="AZ22"/>
  <c r="AZ20"/>
  <c r="AZ18"/>
  <c r="AZ16"/>
  <c r="AZ25"/>
  <c r="AZ23"/>
  <c r="AZ21"/>
  <c r="AZ19"/>
  <c r="AZ17"/>
  <c r="BB15"/>
  <c r="BC44" i="17"/>
  <c r="BC42"/>
  <c r="BC40"/>
  <c r="BC38"/>
  <c r="BC36"/>
  <c r="BC34"/>
  <c r="BC32"/>
  <c r="BC30"/>
  <c r="BC28"/>
  <c r="BC26"/>
  <c r="BC24"/>
  <c r="BC22"/>
  <c r="BC20"/>
  <c r="BC18"/>
  <c r="BC16"/>
  <c r="BC14"/>
  <c r="BC12"/>
  <c r="BC10"/>
  <c r="BC8"/>
  <c r="BC6"/>
  <c r="BC43"/>
  <c r="BC41"/>
  <c r="BC39"/>
  <c r="BC37"/>
  <c r="BC35"/>
  <c r="BC33"/>
  <c r="BC31"/>
  <c r="BC29"/>
  <c r="BC27"/>
  <c r="BC25"/>
  <c r="BC23"/>
  <c r="BC21"/>
  <c r="BC19"/>
  <c r="BC17"/>
  <c r="BC15"/>
  <c r="BC13"/>
  <c r="BC11"/>
  <c r="BC9"/>
  <c r="BC7"/>
  <c r="AX6"/>
  <c r="AX8"/>
  <c r="AX10"/>
  <c r="AX12"/>
  <c r="AX14"/>
  <c r="AX16"/>
  <c r="AX18"/>
  <c r="AX20"/>
  <c r="AX22"/>
  <c r="AX24"/>
  <c r="AX26"/>
  <c r="AX28"/>
  <c r="AX30"/>
  <c r="AX32"/>
  <c r="AX34"/>
  <c r="AX36"/>
  <c r="AX38"/>
  <c r="AX40"/>
  <c r="AX42"/>
  <c r="AX44"/>
  <c r="AS6"/>
  <c r="AS8"/>
  <c r="AS10"/>
  <c r="AS12"/>
  <c r="AS14"/>
  <c r="AS16"/>
  <c r="AS18"/>
  <c r="AS20"/>
  <c r="AS22"/>
  <c r="AS24"/>
  <c r="AS26"/>
  <c r="AS28"/>
  <c r="AS30"/>
  <c r="AS32"/>
  <c r="AS34"/>
  <c r="AS36"/>
  <c r="AS38"/>
  <c r="AS40"/>
  <c r="AS42"/>
  <c r="AS44"/>
  <c r="AI6"/>
  <c r="AI8"/>
  <c r="AI10"/>
  <c r="AI12"/>
  <c r="AI14"/>
  <c r="AI16"/>
  <c r="AI18"/>
  <c r="AI20"/>
  <c r="AI22"/>
  <c r="AI24"/>
  <c r="AI26"/>
  <c r="AI28"/>
  <c r="AI30"/>
  <c r="AI32"/>
  <c r="AI34"/>
  <c r="AI36"/>
  <c r="AI38"/>
  <c r="AI40"/>
  <c r="AI42"/>
  <c r="AI44"/>
  <c r="AD6"/>
  <c r="AD8"/>
  <c r="AD10"/>
  <c r="AD12"/>
  <c r="AD14"/>
  <c r="AD16"/>
  <c r="AD18"/>
  <c r="AD20"/>
  <c r="AD22"/>
  <c r="AD24"/>
  <c r="AD26"/>
  <c r="AD28"/>
  <c r="AD30"/>
  <c r="AD32"/>
  <c r="AD34"/>
  <c r="AD36"/>
  <c r="AD38"/>
  <c r="AD40"/>
  <c r="AD42"/>
  <c r="AD44"/>
  <c r="Y6"/>
  <c r="Y8"/>
  <c r="Y10"/>
  <c r="Y12"/>
  <c r="Y14"/>
  <c r="Y16"/>
  <c r="Y18"/>
  <c r="Y20"/>
  <c r="Y22"/>
  <c r="Y24"/>
  <c r="Y26"/>
  <c r="Y28"/>
  <c r="Y30"/>
  <c r="Y32"/>
  <c r="Y34"/>
  <c r="Y36"/>
  <c r="Y38"/>
  <c r="Y40"/>
  <c r="Y42"/>
  <c r="Y44"/>
  <c r="T6"/>
  <c r="T8"/>
  <c r="T10"/>
  <c r="T12"/>
  <c r="T14"/>
  <c r="T16"/>
  <c r="T18"/>
  <c r="T20"/>
  <c r="T22"/>
  <c r="T24"/>
  <c r="T26"/>
  <c r="T28"/>
  <c r="T30"/>
  <c r="T32"/>
  <c r="T34"/>
  <c r="T36"/>
  <c r="T38"/>
  <c r="T40"/>
  <c r="T42"/>
  <c r="T44"/>
  <c r="O6"/>
  <c r="O8"/>
  <c r="O10"/>
  <c r="O12"/>
  <c r="O14"/>
  <c r="O16"/>
  <c r="O18"/>
  <c r="O20"/>
  <c r="O22"/>
  <c r="O24"/>
  <c r="O26"/>
  <c r="O28"/>
  <c r="O30"/>
  <c r="O32"/>
  <c r="O34"/>
  <c r="O36"/>
  <c r="O38"/>
  <c r="O40"/>
  <c r="O42"/>
  <c r="O44"/>
  <c r="AX7"/>
  <c r="AX9"/>
  <c r="AX11"/>
  <c r="AX13"/>
  <c r="AX15"/>
  <c r="AX17"/>
  <c r="AX19"/>
  <c r="AX21"/>
  <c r="AX23"/>
  <c r="AX25"/>
  <c r="AX27"/>
  <c r="AX29"/>
  <c r="AX31"/>
  <c r="AX33"/>
  <c r="AX35"/>
  <c r="AX37"/>
  <c r="AX39"/>
  <c r="AX41"/>
  <c r="AX43"/>
  <c r="AS7"/>
  <c r="AS9"/>
  <c r="AS11"/>
  <c r="AS13"/>
  <c r="AS15"/>
  <c r="AS17"/>
  <c r="AS19"/>
  <c r="AS21"/>
  <c r="AS23"/>
  <c r="AS25"/>
  <c r="AS27"/>
  <c r="AS29"/>
  <c r="AS31"/>
  <c r="AS33"/>
  <c r="AS35"/>
  <c r="AS37"/>
  <c r="AS39"/>
  <c r="AS41"/>
  <c r="AS43"/>
  <c r="AI7"/>
  <c r="AI9"/>
  <c r="AI11"/>
  <c r="AI13"/>
  <c r="AI15"/>
  <c r="AI17"/>
  <c r="AI19"/>
  <c r="AI21"/>
  <c r="AI23"/>
  <c r="AI25"/>
  <c r="AI27"/>
  <c r="AI29"/>
  <c r="AI31"/>
  <c r="AI33"/>
  <c r="AI35"/>
  <c r="AI37"/>
  <c r="AI39"/>
  <c r="AI41"/>
  <c r="AI43"/>
  <c r="AD7"/>
  <c r="AD9"/>
  <c r="AD11"/>
  <c r="AD13"/>
  <c r="AD15"/>
  <c r="AD17"/>
  <c r="AD19"/>
  <c r="AD21"/>
  <c r="AD23"/>
  <c r="AD25"/>
  <c r="AD27"/>
  <c r="AD29"/>
  <c r="AD31"/>
  <c r="AD33"/>
  <c r="AD35"/>
  <c r="AD37"/>
  <c r="AD39"/>
  <c r="AD41"/>
  <c r="AD43"/>
  <c r="Y7"/>
  <c r="Y9"/>
  <c r="Y11"/>
  <c r="Y13"/>
  <c r="Y15"/>
  <c r="Y17"/>
  <c r="Y19"/>
  <c r="Y21"/>
  <c r="Y23"/>
  <c r="Y25"/>
  <c r="Y27"/>
  <c r="Y29"/>
  <c r="Y31"/>
  <c r="Y33"/>
  <c r="Y35"/>
  <c r="Y37"/>
  <c r="Y39"/>
  <c r="Y41"/>
  <c r="Y43"/>
  <c r="T7"/>
  <c r="T9"/>
  <c r="T11"/>
  <c r="T13"/>
  <c r="T15"/>
  <c r="T17"/>
  <c r="T19"/>
  <c r="T21"/>
  <c r="T23"/>
  <c r="T25"/>
  <c r="T27"/>
  <c r="T29"/>
  <c r="T31"/>
  <c r="T33"/>
  <c r="T35"/>
  <c r="T37"/>
  <c r="T39"/>
  <c r="T41"/>
  <c r="T43"/>
  <c r="O7"/>
  <c r="O9"/>
  <c r="O11"/>
  <c r="O13"/>
  <c r="O15"/>
  <c r="O17"/>
  <c r="O19"/>
  <c r="O21"/>
  <c r="O23"/>
  <c r="O25"/>
  <c r="O27"/>
  <c r="O29"/>
  <c r="O31"/>
  <c r="O33"/>
  <c r="O35"/>
  <c r="O37"/>
  <c r="O39"/>
  <c r="O41"/>
  <c r="O43"/>
  <c r="BA5" i="33"/>
  <c r="AV5"/>
  <c r="AQ5"/>
  <c r="AL5"/>
  <c r="AG5"/>
  <c r="AB5"/>
  <c r="W5"/>
  <c r="R5"/>
  <c r="M5"/>
  <c r="A37" i="9"/>
  <c r="B37"/>
  <c r="C37"/>
  <c r="D37"/>
  <c r="E37"/>
  <c r="A38"/>
  <c r="B38"/>
  <c r="C38"/>
  <c r="D38"/>
  <c r="E38"/>
  <c r="A39"/>
  <c r="B39"/>
  <c r="C39"/>
  <c r="D39"/>
  <c r="E39"/>
  <c r="A40"/>
  <c r="B40"/>
  <c r="C40"/>
  <c r="D40"/>
  <c r="E40"/>
  <c r="A41"/>
  <c r="B41"/>
  <c r="C41"/>
  <c r="D41"/>
  <c r="E41"/>
  <c r="A42"/>
  <c r="B42"/>
  <c r="C42"/>
  <c r="D42"/>
  <c r="E42"/>
  <c r="A43"/>
  <c r="B43"/>
  <c r="C43"/>
  <c r="D43"/>
  <c r="E43"/>
  <c r="A44"/>
  <c r="B44"/>
  <c r="C44"/>
  <c r="D44"/>
  <c r="E44"/>
  <c r="A45"/>
  <c r="B45"/>
  <c r="C45"/>
  <c r="D45"/>
  <c r="E45"/>
  <c r="A46"/>
  <c r="B46"/>
  <c r="C46"/>
  <c r="D46"/>
  <c r="E46"/>
  <c r="A8"/>
  <c r="B8"/>
  <c r="C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B7"/>
  <c r="C7"/>
  <c r="D7"/>
  <c r="E7"/>
  <c r="A7"/>
  <c r="A6" i="8"/>
  <c r="B6"/>
  <c r="C6"/>
  <c r="D6"/>
  <c r="E6"/>
  <c r="A7"/>
  <c r="B7"/>
  <c r="C7"/>
  <c r="D7"/>
  <c r="E7"/>
  <c r="A8"/>
  <c r="B8"/>
  <c r="C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A37"/>
  <c r="B37"/>
  <c r="C37"/>
  <c r="D37"/>
  <c r="E37"/>
  <c r="A38"/>
  <c r="B38"/>
  <c r="C38"/>
  <c r="D38"/>
  <c r="E38"/>
  <c r="A39"/>
  <c r="B39"/>
  <c r="C39"/>
  <c r="D39"/>
  <c r="E39"/>
  <c r="A40"/>
  <c r="B40"/>
  <c r="C40"/>
  <c r="D40"/>
  <c r="E40"/>
  <c r="A41"/>
  <c r="B41"/>
  <c r="C41"/>
  <c r="D41"/>
  <c r="E41"/>
  <c r="A42"/>
  <c r="B42"/>
  <c r="C42"/>
  <c r="D42"/>
  <c r="E42"/>
  <c r="A43"/>
  <c r="B43"/>
  <c r="C43"/>
  <c r="D43"/>
  <c r="E43"/>
  <c r="A44"/>
  <c r="B44"/>
  <c r="C44"/>
  <c r="D44"/>
  <c r="E44"/>
  <c r="B5"/>
  <c r="C5"/>
  <c r="D5"/>
  <c r="E5"/>
  <c r="A5"/>
  <c r="BD24" i="44" l="1"/>
  <c r="BD22"/>
  <c r="BD20"/>
  <c r="BD18"/>
  <c r="BD16"/>
  <c r="BF15"/>
  <c r="BD23"/>
  <c r="BD19"/>
  <c r="BD25"/>
  <c r="BD21"/>
  <c r="BD17"/>
  <c r="BB25" i="45"/>
  <c r="BB23"/>
  <c r="BB21"/>
  <c r="BB19"/>
  <c r="BB17"/>
  <c r="BB24"/>
  <c r="BB22"/>
  <c r="BB20"/>
  <c r="BB18"/>
  <c r="BB16"/>
  <c r="BD15"/>
  <c r="BF24" i="44" l="1"/>
  <c r="BF22"/>
  <c r="BF20"/>
  <c r="BF18"/>
  <c r="BF16"/>
  <c r="BF25"/>
  <c r="BF21"/>
  <c r="BF17"/>
  <c r="BH15"/>
  <c r="BF23"/>
  <c r="BF19"/>
  <c r="BD24" i="45"/>
  <c r="BD22"/>
  <c r="BD20"/>
  <c r="BD18"/>
  <c r="BD16"/>
  <c r="BD25"/>
  <c r="BD23"/>
  <c r="BD21"/>
  <c r="BD19"/>
  <c r="BD17"/>
  <c r="BF15"/>
  <c r="A15" i="31"/>
  <c r="B15"/>
  <c r="C15"/>
  <c r="A16"/>
  <c r="B16"/>
  <c r="C16"/>
  <c r="A17"/>
  <c r="B17"/>
  <c r="C17"/>
  <c r="A18"/>
  <c r="B18"/>
  <c r="C18"/>
  <c r="A19"/>
  <c r="B19"/>
  <c r="C19"/>
  <c r="A20"/>
  <c r="B20"/>
  <c r="C20"/>
  <c r="A21"/>
  <c r="B21"/>
  <c r="C21"/>
  <c r="A22"/>
  <c r="B22"/>
  <c r="C22"/>
  <c r="A23"/>
  <c r="B23"/>
  <c r="C23"/>
  <c r="A24"/>
  <c r="B24"/>
  <c r="C24"/>
  <c r="A25"/>
  <c r="B25"/>
  <c r="C25"/>
  <c r="A26"/>
  <c r="B26"/>
  <c r="C26"/>
  <c r="A27"/>
  <c r="B27"/>
  <c r="C27"/>
  <c r="A28"/>
  <c r="B28"/>
  <c r="C28"/>
  <c r="A29"/>
  <c r="B29"/>
  <c r="C29"/>
  <c r="A30"/>
  <c r="B30"/>
  <c r="C30"/>
  <c r="A31"/>
  <c r="B31"/>
  <c r="C31"/>
  <c r="A32"/>
  <c r="B32"/>
  <c r="C32"/>
  <c r="A33"/>
  <c r="B33"/>
  <c r="C33"/>
  <c r="A34"/>
  <c r="B34"/>
  <c r="C34"/>
  <c r="A35"/>
  <c r="B35"/>
  <c r="C35"/>
  <c r="A36"/>
  <c r="B36"/>
  <c r="C36"/>
  <c r="A37"/>
  <c r="B37"/>
  <c r="C37"/>
  <c r="A38"/>
  <c r="B38"/>
  <c r="C38"/>
  <c r="A39"/>
  <c r="B39"/>
  <c r="C39"/>
  <c r="A40"/>
  <c r="B40"/>
  <c r="C40"/>
  <c r="A41"/>
  <c r="B41"/>
  <c r="C41"/>
  <c r="A42"/>
  <c r="B42"/>
  <c r="C42"/>
  <c r="A43"/>
  <c r="B43"/>
  <c r="C43"/>
  <c r="A44"/>
  <c r="B44"/>
  <c r="C44"/>
  <c r="A45"/>
  <c r="B45"/>
  <c r="C45"/>
  <c r="A46"/>
  <c r="B46"/>
  <c r="C46"/>
  <c r="A47"/>
  <c r="B47"/>
  <c r="C47"/>
  <c r="A48"/>
  <c r="B48"/>
  <c r="C48"/>
  <c r="A49"/>
  <c r="B49"/>
  <c r="C49"/>
  <c r="A50"/>
  <c r="B50"/>
  <c r="C50"/>
  <c r="A51"/>
  <c r="B51"/>
  <c r="C51"/>
  <c r="A52"/>
  <c r="B52"/>
  <c r="C52"/>
  <c r="A53"/>
  <c r="B53"/>
  <c r="C53"/>
  <c r="B14"/>
  <c r="C14"/>
  <c r="A14"/>
  <c r="BH24" i="44" l="1"/>
  <c r="BH22"/>
  <c r="BH20"/>
  <c r="BH18"/>
  <c r="BH16"/>
  <c r="BJ15"/>
  <c r="BH23"/>
  <c r="BH19"/>
  <c r="BH25"/>
  <c r="BH21"/>
  <c r="BH17"/>
  <c r="B12" i="42"/>
  <c r="C12"/>
  <c r="L12"/>
  <c r="H12"/>
  <c r="F12"/>
  <c r="I12"/>
  <c r="G12"/>
  <c r="B11"/>
  <c r="BF25" i="45"/>
  <c r="BF23"/>
  <c r="BF21"/>
  <c r="BF19"/>
  <c r="BF17"/>
  <c r="BF24"/>
  <c r="BF22"/>
  <c r="BF20"/>
  <c r="BF18"/>
  <c r="BF16"/>
  <c r="BH15"/>
  <c r="B5" i="42"/>
  <c r="D3" i="31"/>
  <c r="D2"/>
  <c r="BJ24" i="44" l="1"/>
  <c r="BJ22"/>
  <c r="BJ20"/>
  <c r="BJ18"/>
  <c r="BJ16"/>
  <c r="BJ25"/>
  <c r="BJ21"/>
  <c r="BJ17"/>
  <c r="BJ23"/>
  <c r="BJ19"/>
  <c r="BL15"/>
  <c r="BH24" i="45"/>
  <c r="BH22"/>
  <c r="BH20"/>
  <c r="BH18"/>
  <c r="BH16"/>
  <c r="BH25"/>
  <c r="BH23"/>
  <c r="BH21"/>
  <c r="BH19"/>
  <c r="BH17"/>
  <c r="BJ15"/>
  <c r="M1" i="30"/>
  <c r="DB58"/>
  <c r="DB57"/>
  <c r="DB56"/>
  <c r="DB55"/>
  <c r="DB54"/>
  <c r="DB53"/>
  <c r="DB52"/>
  <c r="DB51"/>
  <c r="DB50"/>
  <c r="DB49"/>
  <c r="DB48"/>
  <c r="DB47"/>
  <c r="DB46"/>
  <c r="DB45"/>
  <c r="DB44"/>
  <c r="DB43"/>
  <c r="DB42"/>
  <c r="DB41"/>
  <c r="DB40"/>
  <c r="DB39"/>
  <c r="DB38"/>
  <c r="DB37"/>
  <c r="DB36"/>
  <c r="DB35"/>
  <c r="DB34"/>
  <c r="DB33"/>
  <c r="DB32"/>
  <c r="DB31"/>
  <c r="DB30"/>
  <c r="DB29"/>
  <c r="DB28"/>
  <c r="DB27"/>
  <c r="DB26"/>
  <c r="DB25"/>
  <c r="DB24"/>
  <c r="DB23"/>
  <c r="DB22"/>
  <c r="DB21"/>
  <c r="DB20"/>
  <c r="DB19"/>
  <c r="DB17"/>
  <c r="CP58"/>
  <c r="CP57"/>
  <c r="CP56"/>
  <c r="CP55"/>
  <c r="CP54"/>
  <c r="CP53"/>
  <c r="CP52"/>
  <c r="CP51"/>
  <c r="CP50"/>
  <c r="CP49"/>
  <c r="CP48"/>
  <c r="CP47"/>
  <c r="CP46"/>
  <c r="CP45"/>
  <c r="CP44"/>
  <c r="CP43"/>
  <c r="CP42"/>
  <c r="CP41"/>
  <c r="CP40"/>
  <c r="CP39"/>
  <c r="CP38"/>
  <c r="CP37"/>
  <c r="CP36"/>
  <c r="CP35"/>
  <c r="CP34"/>
  <c r="CP33"/>
  <c r="CP32"/>
  <c r="CP31"/>
  <c r="CP30"/>
  <c r="CP29"/>
  <c r="CP28"/>
  <c r="CP27"/>
  <c r="CP26"/>
  <c r="CP25"/>
  <c r="CP24"/>
  <c r="CP23"/>
  <c r="CP22"/>
  <c r="CP21"/>
  <c r="CP20"/>
  <c r="CP19"/>
  <c r="CP17"/>
  <c r="CD58"/>
  <c r="CD57"/>
  <c r="CD56"/>
  <c r="CD55"/>
  <c r="CD54"/>
  <c r="CD53"/>
  <c r="CD52"/>
  <c r="CD51"/>
  <c r="CD50"/>
  <c r="CD49"/>
  <c r="CD48"/>
  <c r="CD47"/>
  <c r="CD46"/>
  <c r="CD45"/>
  <c r="CD44"/>
  <c r="CD43"/>
  <c r="CD42"/>
  <c r="CD41"/>
  <c r="CD40"/>
  <c r="CD39"/>
  <c r="CD38"/>
  <c r="CD37"/>
  <c r="CD36"/>
  <c r="CD35"/>
  <c r="CD34"/>
  <c r="CD33"/>
  <c r="CD32"/>
  <c r="CD31"/>
  <c r="CD30"/>
  <c r="CD29"/>
  <c r="CD28"/>
  <c r="CD27"/>
  <c r="CD26"/>
  <c r="CD25"/>
  <c r="CD24"/>
  <c r="CD23"/>
  <c r="CD22"/>
  <c r="CD21"/>
  <c r="CD20"/>
  <c r="CD19"/>
  <c r="CD17"/>
  <c r="BR58"/>
  <c r="BR57"/>
  <c r="BR56"/>
  <c r="BR55"/>
  <c r="BR54"/>
  <c r="BR53"/>
  <c r="BR52"/>
  <c r="BR51"/>
  <c r="BR50"/>
  <c r="BR49"/>
  <c r="BR48"/>
  <c r="BR47"/>
  <c r="BR46"/>
  <c r="BR45"/>
  <c r="BR44"/>
  <c r="BR43"/>
  <c r="BR42"/>
  <c r="BR41"/>
  <c r="BR40"/>
  <c r="BR39"/>
  <c r="BR38"/>
  <c r="BR37"/>
  <c r="BR36"/>
  <c r="BR35"/>
  <c r="BR34"/>
  <c r="BR33"/>
  <c r="BR32"/>
  <c r="BR31"/>
  <c r="BR30"/>
  <c r="BR29"/>
  <c r="BR28"/>
  <c r="BR27"/>
  <c r="BR26"/>
  <c r="BR25"/>
  <c r="BR24"/>
  <c r="BR23"/>
  <c r="BR22"/>
  <c r="BR21"/>
  <c r="BR20"/>
  <c r="BR19"/>
  <c r="BR17"/>
  <c r="BF58"/>
  <c r="BF57"/>
  <c r="BF56"/>
  <c r="BF55"/>
  <c r="BF54"/>
  <c r="BF53"/>
  <c r="BF52"/>
  <c r="BF51"/>
  <c r="BF50"/>
  <c r="BF49"/>
  <c r="BF48"/>
  <c r="BF47"/>
  <c r="BF46"/>
  <c r="BF45"/>
  <c r="BF44"/>
  <c r="BF43"/>
  <c r="BF42"/>
  <c r="BF41"/>
  <c r="BF40"/>
  <c r="BF39"/>
  <c r="BF38"/>
  <c r="BF37"/>
  <c r="BF36"/>
  <c r="BF35"/>
  <c r="BF34"/>
  <c r="BF33"/>
  <c r="BF32"/>
  <c r="BF31"/>
  <c r="BF30"/>
  <c r="BF29"/>
  <c r="BF28"/>
  <c r="BF27"/>
  <c r="BF26"/>
  <c r="BF25"/>
  <c r="BF24"/>
  <c r="BF23"/>
  <c r="BF22"/>
  <c r="BF21"/>
  <c r="BF20"/>
  <c r="BF19"/>
  <c r="BF17"/>
  <c r="AT58"/>
  <c r="AT57"/>
  <c r="AT56"/>
  <c r="AT55"/>
  <c r="AT54"/>
  <c r="AT53"/>
  <c r="AT52"/>
  <c r="AT51"/>
  <c r="AT50"/>
  <c r="AT49"/>
  <c r="AT48"/>
  <c r="AT47"/>
  <c r="AT46"/>
  <c r="AT45"/>
  <c r="AT44"/>
  <c r="AT43"/>
  <c r="AT42"/>
  <c r="AT41"/>
  <c r="AT40"/>
  <c r="AT39"/>
  <c r="AT38"/>
  <c r="AT37"/>
  <c r="AT36"/>
  <c r="AT35"/>
  <c r="AT34"/>
  <c r="AT33"/>
  <c r="AT32"/>
  <c r="AT31"/>
  <c r="AT30"/>
  <c r="AT29"/>
  <c r="AT28"/>
  <c r="AT27"/>
  <c r="AT26"/>
  <c r="AT25"/>
  <c r="AT24"/>
  <c r="AT23"/>
  <c r="AT22"/>
  <c r="AT21"/>
  <c r="AT20"/>
  <c r="AT19"/>
  <c r="AT17"/>
  <c r="AH58"/>
  <c r="AH57"/>
  <c r="AH56"/>
  <c r="AH55"/>
  <c r="AH54"/>
  <c r="AH53"/>
  <c r="AH52"/>
  <c r="AH51"/>
  <c r="AH50"/>
  <c r="AH49"/>
  <c r="AH48"/>
  <c r="AH47"/>
  <c r="AH46"/>
  <c r="AH45"/>
  <c r="AH44"/>
  <c r="AH43"/>
  <c r="AH42"/>
  <c r="AH41"/>
  <c r="AH40"/>
  <c r="AH39"/>
  <c r="AH38"/>
  <c r="AH37"/>
  <c r="AH36"/>
  <c r="AH35"/>
  <c r="AH34"/>
  <c r="AH33"/>
  <c r="AH32"/>
  <c r="AH31"/>
  <c r="AH30"/>
  <c r="AH29"/>
  <c r="AH28"/>
  <c r="AH27"/>
  <c r="AH26"/>
  <c r="AH25"/>
  <c r="AH24"/>
  <c r="AH23"/>
  <c r="AH22"/>
  <c r="AH21"/>
  <c r="AH20"/>
  <c r="AH19"/>
  <c r="AH17"/>
  <c r="V58"/>
  <c r="V57"/>
  <c r="V56"/>
  <c r="V55"/>
  <c r="V54"/>
  <c r="V53"/>
  <c r="V52"/>
  <c r="V51"/>
  <c r="V50"/>
  <c r="V49"/>
  <c r="V48"/>
  <c r="V47"/>
  <c r="V46"/>
  <c r="V45"/>
  <c r="V44"/>
  <c r="V43"/>
  <c r="V42"/>
  <c r="V41"/>
  <c r="V40"/>
  <c r="V39"/>
  <c r="V38"/>
  <c r="V37"/>
  <c r="V36"/>
  <c r="V35"/>
  <c r="V34"/>
  <c r="V33"/>
  <c r="V32"/>
  <c r="V31"/>
  <c r="V30"/>
  <c r="V29"/>
  <c r="V28"/>
  <c r="V27"/>
  <c r="V26"/>
  <c r="V25"/>
  <c r="V24"/>
  <c r="V23"/>
  <c r="V22"/>
  <c r="V21"/>
  <c r="V20"/>
  <c r="V19"/>
  <c r="V17"/>
  <c r="DN58"/>
  <c r="DN57"/>
  <c r="DN56"/>
  <c r="DN55"/>
  <c r="DN54"/>
  <c r="DN53"/>
  <c r="DN52"/>
  <c r="DN51"/>
  <c r="DN50"/>
  <c r="DN49"/>
  <c r="DN48"/>
  <c r="DN47"/>
  <c r="DN46"/>
  <c r="DN45"/>
  <c r="DN44"/>
  <c r="DN43"/>
  <c r="DN42"/>
  <c r="DN41"/>
  <c r="DN40"/>
  <c r="DN39"/>
  <c r="DN38"/>
  <c r="DN37"/>
  <c r="DN36"/>
  <c r="DN35"/>
  <c r="DN34"/>
  <c r="DN33"/>
  <c r="DN32"/>
  <c r="DN31"/>
  <c r="DN30"/>
  <c r="DN29"/>
  <c r="DN28"/>
  <c r="DN27"/>
  <c r="DN26"/>
  <c r="DN25"/>
  <c r="DN24"/>
  <c r="DN23"/>
  <c r="DN22"/>
  <c r="DN21"/>
  <c r="DN20"/>
  <c r="DN19"/>
  <c r="DN17"/>
  <c r="C1"/>
  <c r="C2"/>
  <c r="L74"/>
  <c r="B74"/>
  <c r="L73"/>
  <c r="B73"/>
  <c r="B70"/>
  <c r="L69"/>
  <c r="J58"/>
  <c r="B58"/>
  <c r="A58"/>
  <c r="J57"/>
  <c r="B57"/>
  <c r="A57"/>
  <c r="J56"/>
  <c r="B56"/>
  <c r="A56"/>
  <c r="J55"/>
  <c r="B55"/>
  <c r="A55"/>
  <c r="J54"/>
  <c r="B54"/>
  <c r="A54"/>
  <c r="J53"/>
  <c r="B53"/>
  <c r="A53"/>
  <c r="J52"/>
  <c r="B52"/>
  <c r="A52"/>
  <c r="J51"/>
  <c r="B51"/>
  <c r="A51"/>
  <c r="J50"/>
  <c r="B50"/>
  <c r="A50"/>
  <c r="J49"/>
  <c r="B49"/>
  <c r="A49"/>
  <c r="J48"/>
  <c r="B48"/>
  <c r="A48"/>
  <c r="J47"/>
  <c r="B47"/>
  <c r="A47"/>
  <c r="J46"/>
  <c r="B46"/>
  <c r="A46"/>
  <c r="J45"/>
  <c r="B45"/>
  <c r="A45"/>
  <c r="J44"/>
  <c r="B44"/>
  <c r="A44"/>
  <c r="J43"/>
  <c r="B43"/>
  <c r="A43"/>
  <c r="J42"/>
  <c r="B42"/>
  <c r="A42"/>
  <c r="J41"/>
  <c r="B41"/>
  <c r="A41"/>
  <c r="J40"/>
  <c r="B40"/>
  <c r="A40"/>
  <c r="J39"/>
  <c r="B39"/>
  <c r="A39"/>
  <c r="J38"/>
  <c r="B38"/>
  <c r="A38"/>
  <c r="J37"/>
  <c r="B37"/>
  <c r="A37"/>
  <c r="J36"/>
  <c r="B36"/>
  <c r="A36"/>
  <c r="J35"/>
  <c r="B35"/>
  <c r="A35"/>
  <c r="J34"/>
  <c r="B34"/>
  <c r="A34"/>
  <c r="J33"/>
  <c r="B33"/>
  <c r="A33"/>
  <c r="J32"/>
  <c r="B32"/>
  <c r="A32"/>
  <c r="J31"/>
  <c r="B31"/>
  <c r="A31"/>
  <c r="J30"/>
  <c r="B30"/>
  <c r="A30"/>
  <c r="J29"/>
  <c r="B29"/>
  <c r="A29"/>
  <c r="J28"/>
  <c r="B28"/>
  <c r="A28"/>
  <c r="J27"/>
  <c r="B27"/>
  <c r="A27"/>
  <c r="J26"/>
  <c r="B26"/>
  <c r="A26"/>
  <c r="J25"/>
  <c r="B25"/>
  <c r="A25"/>
  <c r="J24"/>
  <c r="B24"/>
  <c r="A24"/>
  <c r="J23"/>
  <c r="B23"/>
  <c r="A23"/>
  <c r="J22"/>
  <c r="B22"/>
  <c r="A22"/>
  <c r="J21"/>
  <c r="B21"/>
  <c r="A21"/>
  <c r="J20"/>
  <c r="B20"/>
  <c r="A20"/>
  <c r="J19"/>
  <c r="B19"/>
  <c r="A19"/>
  <c r="J17"/>
  <c r="K19" l="1"/>
  <c r="K21"/>
  <c r="K25"/>
  <c r="K29"/>
  <c r="K33"/>
  <c r="K37"/>
  <c r="K41"/>
  <c r="K45"/>
  <c r="K49"/>
  <c r="K53"/>
  <c r="K57"/>
  <c r="DO22"/>
  <c r="DO26"/>
  <c r="DO30"/>
  <c r="DO34"/>
  <c r="DO38"/>
  <c r="DO42"/>
  <c r="DO46"/>
  <c r="DO50"/>
  <c r="DO54"/>
  <c r="DO58"/>
  <c r="W21"/>
  <c r="W25"/>
  <c r="W29"/>
  <c r="W33"/>
  <c r="W37"/>
  <c r="W41"/>
  <c r="W45"/>
  <c r="W49"/>
  <c r="W53"/>
  <c r="W57"/>
  <c r="AI20"/>
  <c r="AI24"/>
  <c r="AI28"/>
  <c r="AI32"/>
  <c r="AI36"/>
  <c r="AI40"/>
  <c r="AI44"/>
  <c r="AI48"/>
  <c r="AI52"/>
  <c r="AI56"/>
  <c r="AU19"/>
  <c r="AU23"/>
  <c r="AU27"/>
  <c r="AU31"/>
  <c r="AU35"/>
  <c r="AU39"/>
  <c r="AU43"/>
  <c r="AU47"/>
  <c r="AU51"/>
  <c r="AU55"/>
  <c r="DC58"/>
  <c r="K23"/>
  <c r="K27"/>
  <c r="K31"/>
  <c r="K35"/>
  <c r="K39"/>
  <c r="K43"/>
  <c r="K47"/>
  <c r="K51"/>
  <c r="K55"/>
  <c r="DO20"/>
  <c r="DO24"/>
  <c r="DO28"/>
  <c r="DO32"/>
  <c r="DO36"/>
  <c r="BL24" i="44"/>
  <c r="BL22"/>
  <c r="BL20"/>
  <c r="BL18"/>
  <c r="BL16"/>
  <c r="BN15"/>
  <c r="BL23"/>
  <c r="BL19"/>
  <c r="BL25"/>
  <c r="BL21"/>
  <c r="BL17"/>
  <c r="BJ25" i="45"/>
  <c r="BJ23"/>
  <c r="BJ21"/>
  <c r="BJ19"/>
  <c r="BJ17"/>
  <c r="BJ24"/>
  <c r="BJ22"/>
  <c r="BJ20"/>
  <c r="BJ18"/>
  <c r="BJ16"/>
  <c r="BL15"/>
  <c r="CQ63" i="30"/>
  <c r="K64"/>
  <c r="W62"/>
  <c r="BS60"/>
  <c r="DC66"/>
  <c r="BG64"/>
  <c r="BG62"/>
  <c r="CJ7" i="45" s="1"/>
  <c r="CK7" s="1"/>
  <c r="DC60" i="30"/>
  <c r="AI59"/>
  <c r="AU65"/>
  <c r="BS63"/>
  <c r="DO61"/>
  <c r="AU60"/>
  <c r="CE66"/>
  <c r="CE64"/>
  <c r="K63"/>
  <c r="BG61"/>
  <c r="DC59"/>
  <c r="BS66"/>
  <c r="W65"/>
  <c r="BG66"/>
  <c r="AU63"/>
  <c r="CQ61"/>
  <c r="W60"/>
  <c r="K66"/>
  <c r="CE63"/>
  <c r="K62"/>
  <c r="BG60"/>
  <c r="CQ66"/>
  <c r="CQ64"/>
  <c r="W63"/>
  <c r="BS61"/>
  <c r="DO59"/>
  <c r="AI66"/>
  <c r="AI64"/>
  <c r="CE62"/>
  <c r="K61"/>
  <c r="BG59"/>
  <c r="W66"/>
  <c r="DO64"/>
  <c r="DO62"/>
  <c r="AU61"/>
  <c r="CQ59"/>
  <c r="BG65"/>
  <c r="CE61"/>
  <c r="AU66"/>
  <c r="CQ62"/>
  <c r="CJ10" i="45" s="1"/>
  <c r="CK10" s="1"/>
  <c r="BS59" i="30"/>
  <c r="DC63"/>
  <c r="CE60"/>
  <c r="DO65"/>
  <c r="K65"/>
  <c r="BS62"/>
  <c r="DO60"/>
  <c r="AU59"/>
  <c r="DC64"/>
  <c r="DC62"/>
  <c r="AI61"/>
  <c r="CE59"/>
  <c r="CQ65"/>
  <c r="DO63"/>
  <c r="AU62"/>
  <c r="CQ60"/>
  <c r="W59"/>
  <c r="AI65"/>
  <c r="BG63"/>
  <c r="DC61"/>
  <c r="AI60"/>
  <c r="DO66"/>
  <c r="BS65"/>
  <c r="W64"/>
  <c r="DC65"/>
  <c r="AI63"/>
  <c r="K60"/>
  <c r="AU64"/>
  <c r="W61"/>
  <c r="CE65"/>
  <c r="AI62"/>
  <c r="K59"/>
  <c r="BS64"/>
  <c r="K22"/>
  <c r="K26"/>
  <c r="K30"/>
  <c r="K34"/>
  <c r="K38"/>
  <c r="K42"/>
  <c r="K46"/>
  <c r="K50"/>
  <c r="K54"/>
  <c r="K58"/>
  <c r="DO21"/>
  <c r="DO25"/>
  <c r="DO29"/>
  <c r="DO33"/>
  <c r="DO37"/>
  <c r="DO41"/>
  <c r="DO45"/>
  <c r="DO49"/>
  <c r="DO53"/>
  <c r="DO57"/>
  <c r="W20"/>
  <c r="W24"/>
  <c r="W28"/>
  <c r="W32"/>
  <c r="W36"/>
  <c r="W40"/>
  <c r="W44"/>
  <c r="W48"/>
  <c r="W52"/>
  <c r="W56"/>
  <c r="AI19"/>
  <c r="AI23"/>
  <c r="AI27"/>
  <c r="AI31"/>
  <c r="AI35"/>
  <c r="AI39"/>
  <c r="AI43"/>
  <c r="AI47"/>
  <c r="AI51"/>
  <c r="AI55"/>
  <c r="AU22"/>
  <c r="AU26"/>
  <c r="AU30"/>
  <c r="AU34"/>
  <c r="AU38"/>
  <c r="AU42"/>
  <c r="AU46"/>
  <c r="AU50"/>
  <c r="AU54"/>
  <c r="AU58"/>
  <c r="BG21"/>
  <c r="BG25"/>
  <c r="BG29"/>
  <c r="BG33"/>
  <c r="BH33" s="1"/>
  <c r="BJ33" s="1"/>
  <c r="BG37"/>
  <c r="BG41"/>
  <c r="BG45"/>
  <c r="BG49"/>
  <c r="BG53"/>
  <c r="BG57"/>
  <c r="BS20"/>
  <c r="BS24"/>
  <c r="BS28"/>
  <c r="BS32"/>
  <c r="BS36"/>
  <c r="BS40"/>
  <c r="BS44"/>
  <c r="BS48"/>
  <c r="BS52"/>
  <c r="BS56"/>
  <c r="CE19"/>
  <c r="CE23"/>
  <c r="CE27"/>
  <c r="CE31"/>
  <c r="CE35"/>
  <c r="CF35" s="1"/>
  <c r="CH35" s="1"/>
  <c r="CE39"/>
  <c r="CE43"/>
  <c r="CE47"/>
  <c r="CE51"/>
  <c r="CE55"/>
  <c r="CQ22"/>
  <c r="CQ26"/>
  <c r="CQ30"/>
  <c r="CQ34"/>
  <c r="CQ38"/>
  <c r="CQ42"/>
  <c r="CQ46"/>
  <c r="CQ50"/>
  <c r="CQ54"/>
  <c r="CQ58"/>
  <c r="DC21"/>
  <c r="DC25"/>
  <c r="DC29"/>
  <c r="DC33"/>
  <c r="DC37"/>
  <c r="DC41"/>
  <c r="DC45"/>
  <c r="DC49"/>
  <c r="DC53"/>
  <c r="DC57"/>
  <c r="BG22"/>
  <c r="BG26"/>
  <c r="BG30"/>
  <c r="BG34"/>
  <c r="BG38"/>
  <c r="BG42"/>
  <c r="BG46"/>
  <c r="BG50"/>
  <c r="BG54"/>
  <c r="BG58"/>
  <c r="BS21"/>
  <c r="BS25"/>
  <c r="BS29"/>
  <c r="BS33"/>
  <c r="BS37"/>
  <c r="BS41"/>
  <c r="BS45"/>
  <c r="BS49"/>
  <c r="BS53"/>
  <c r="BS57"/>
  <c r="CE20"/>
  <c r="CE24"/>
  <c r="CE28"/>
  <c r="CE32"/>
  <c r="CE36"/>
  <c r="CE40"/>
  <c r="CE44"/>
  <c r="CE48"/>
  <c r="CE52"/>
  <c r="CE56"/>
  <c r="CQ19"/>
  <c r="CR19" s="1"/>
  <c r="CT19" s="1"/>
  <c r="CQ23"/>
  <c r="CQ27"/>
  <c r="CQ31"/>
  <c r="CQ35"/>
  <c r="CQ39"/>
  <c r="CQ43"/>
  <c r="CQ47"/>
  <c r="CQ51"/>
  <c r="CQ55"/>
  <c r="DC22"/>
  <c r="DC26"/>
  <c r="DC30"/>
  <c r="DC34"/>
  <c r="DC38"/>
  <c r="DC42"/>
  <c r="DC46"/>
  <c r="DC50"/>
  <c r="DC54"/>
  <c r="K20"/>
  <c r="K24"/>
  <c r="K28"/>
  <c r="K32"/>
  <c r="K36"/>
  <c r="K40"/>
  <c r="K44"/>
  <c r="K48"/>
  <c r="K52"/>
  <c r="K56"/>
  <c r="DO19"/>
  <c r="DO23"/>
  <c r="DO27"/>
  <c r="DO31"/>
  <c r="DO35"/>
  <c r="DO40"/>
  <c r="DO44"/>
  <c r="DO48"/>
  <c r="DO52"/>
  <c r="DO56"/>
  <c r="W19"/>
  <c r="W23"/>
  <c r="W27"/>
  <c r="W31"/>
  <c r="W35"/>
  <c r="W39"/>
  <c r="W43"/>
  <c r="W47"/>
  <c r="W51"/>
  <c r="W55"/>
  <c r="AI22"/>
  <c r="AI26"/>
  <c r="AI30"/>
  <c r="AI34"/>
  <c r="AI38"/>
  <c r="AI42"/>
  <c r="AI46"/>
  <c r="AI50"/>
  <c r="AI54"/>
  <c r="AI58"/>
  <c r="AU21"/>
  <c r="AU25"/>
  <c r="AU29"/>
  <c r="AU33"/>
  <c r="AU37"/>
  <c r="AU41"/>
  <c r="AU45"/>
  <c r="AU49"/>
  <c r="AU53"/>
  <c r="AU57"/>
  <c r="BG20"/>
  <c r="BG24"/>
  <c r="BG28"/>
  <c r="BG32"/>
  <c r="BG36"/>
  <c r="BG40"/>
  <c r="BG44"/>
  <c r="BG48"/>
  <c r="BG52"/>
  <c r="BG56"/>
  <c r="BS19"/>
  <c r="BS23"/>
  <c r="BS27"/>
  <c r="BS31"/>
  <c r="BS35"/>
  <c r="BS39"/>
  <c r="BS43"/>
  <c r="BS47"/>
  <c r="BS51"/>
  <c r="BS55"/>
  <c r="CE22"/>
  <c r="CE26"/>
  <c r="CE30"/>
  <c r="CE34"/>
  <c r="CE38"/>
  <c r="CE42"/>
  <c r="CE46"/>
  <c r="CE50"/>
  <c r="CE54"/>
  <c r="CE58"/>
  <c r="CQ21"/>
  <c r="CQ25"/>
  <c r="CQ29"/>
  <c r="CQ33"/>
  <c r="CQ37"/>
  <c r="CQ41"/>
  <c r="CQ45"/>
  <c r="CQ49"/>
  <c r="CQ53"/>
  <c r="CQ57"/>
  <c r="DC20"/>
  <c r="DC24"/>
  <c r="DC28"/>
  <c r="DC32"/>
  <c r="DC36"/>
  <c r="DC40"/>
  <c r="DC44"/>
  <c r="DC48"/>
  <c r="DC52"/>
  <c r="DC56"/>
  <c r="DO39"/>
  <c r="DO43"/>
  <c r="DO47"/>
  <c r="DO51"/>
  <c r="DO55"/>
  <c r="W22"/>
  <c r="W26"/>
  <c r="W30"/>
  <c r="W34"/>
  <c r="W38"/>
  <c r="W42"/>
  <c r="W46"/>
  <c r="W50"/>
  <c r="W54"/>
  <c r="W58"/>
  <c r="AI21"/>
  <c r="AI25"/>
  <c r="AI29"/>
  <c r="AI33"/>
  <c r="AI37"/>
  <c r="AI41"/>
  <c r="AI45"/>
  <c r="AJ45" s="1"/>
  <c r="AI49"/>
  <c r="AI53"/>
  <c r="AI57"/>
  <c r="AU20"/>
  <c r="AU24"/>
  <c r="AU28"/>
  <c r="AU32"/>
  <c r="AU36"/>
  <c r="AU40"/>
  <c r="AU44"/>
  <c r="AU48"/>
  <c r="AU52"/>
  <c r="AU56"/>
  <c r="BG19"/>
  <c r="BG23"/>
  <c r="BG27"/>
  <c r="BG31"/>
  <c r="BG35"/>
  <c r="BG39"/>
  <c r="BG43"/>
  <c r="BG47"/>
  <c r="BG51"/>
  <c r="BG55"/>
  <c r="BS22"/>
  <c r="BS26"/>
  <c r="BS30"/>
  <c r="BS34"/>
  <c r="BS38"/>
  <c r="BS42"/>
  <c r="BS46"/>
  <c r="BS50"/>
  <c r="BS54"/>
  <c r="BS58"/>
  <c r="CE21"/>
  <c r="CE25"/>
  <c r="CE29"/>
  <c r="CE33"/>
  <c r="CE37"/>
  <c r="CE41"/>
  <c r="CE45"/>
  <c r="CE49"/>
  <c r="CE53"/>
  <c r="CE57"/>
  <c r="CQ20"/>
  <c r="CQ24"/>
  <c r="CQ28"/>
  <c r="CQ32"/>
  <c r="CQ36"/>
  <c r="CQ40"/>
  <c r="CQ44"/>
  <c r="CQ48"/>
  <c r="CQ52"/>
  <c r="CQ56"/>
  <c r="DC19"/>
  <c r="DC23"/>
  <c r="DC27"/>
  <c r="DC31"/>
  <c r="DC35"/>
  <c r="DC39"/>
  <c r="DC43"/>
  <c r="DC47"/>
  <c r="DC51"/>
  <c r="DC55"/>
  <c r="DN67"/>
  <c r="AH67"/>
  <c r="BF67"/>
  <c r="DB67"/>
  <c r="J67"/>
  <c r="CL12" i="45"/>
  <c r="CM12" s="1"/>
  <c r="CJ12"/>
  <c r="CK12" s="1"/>
  <c r="V67" i="30"/>
  <c r="CJ5" i="45"/>
  <c r="CK5" s="1"/>
  <c r="CL5"/>
  <c r="CM5" s="1"/>
  <c r="AT67" i="30"/>
  <c r="CL7" i="45"/>
  <c r="CM7" s="1"/>
  <c r="BR67" i="30"/>
  <c r="CJ9" i="45"/>
  <c r="CK9" s="1"/>
  <c r="CL9"/>
  <c r="CM9" s="1"/>
  <c r="CP67" i="30"/>
  <c r="CL11" i="45"/>
  <c r="CM11" s="1"/>
  <c r="CJ11"/>
  <c r="CK11" s="1"/>
  <c r="CJ4"/>
  <c r="CK4" s="1"/>
  <c r="CL4"/>
  <c r="CM4" s="1"/>
  <c r="CL6"/>
  <c r="CM6" s="1"/>
  <c r="CJ6"/>
  <c r="CK6" s="1"/>
  <c r="CL8"/>
  <c r="CM8" s="1"/>
  <c r="CJ8"/>
  <c r="CK8" s="1"/>
  <c r="CD67" i="30"/>
  <c r="CL10" i="45"/>
  <c r="CM10" s="1"/>
  <c r="BT31" i="30"/>
  <c r="BV31" s="1"/>
  <c r="BT35"/>
  <c r="BV35" s="1"/>
  <c r="BT47"/>
  <c r="BV47" s="1"/>
  <c r="BT51"/>
  <c r="BV51" s="1"/>
  <c r="CF27"/>
  <c r="CH27" s="1"/>
  <c r="CF43"/>
  <c r="CH43" s="1"/>
  <c r="BH49"/>
  <c r="BJ49" s="1"/>
  <c r="BU35"/>
  <c r="C5" i="29"/>
  <c r="A23"/>
  <c r="B23"/>
  <c r="A24"/>
  <c r="B24"/>
  <c r="A25"/>
  <c r="B25"/>
  <c r="A26"/>
  <c r="B26"/>
  <c r="A27"/>
  <c r="B27"/>
  <c r="A28"/>
  <c r="B28"/>
  <c r="A29"/>
  <c r="B29"/>
  <c r="A30"/>
  <c r="B30"/>
  <c r="A31"/>
  <c r="B31"/>
  <c r="A32"/>
  <c r="B32"/>
  <c r="A33"/>
  <c r="B33"/>
  <c r="A34"/>
  <c r="B34"/>
  <c r="A35"/>
  <c r="B35"/>
  <c r="A36"/>
  <c r="B36"/>
  <c r="A37"/>
  <c r="B37"/>
  <c r="A38"/>
  <c r="B38"/>
  <c r="A39"/>
  <c r="B39"/>
  <c r="A40"/>
  <c r="B40"/>
  <c r="A41"/>
  <c r="B41"/>
  <c r="A42"/>
  <c r="B42"/>
  <c r="A43"/>
  <c r="B43"/>
  <c r="A44"/>
  <c r="B44"/>
  <c r="A45"/>
  <c r="B45"/>
  <c r="A46"/>
  <c r="B46"/>
  <c r="A47"/>
  <c r="B47"/>
  <c r="A48"/>
  <c r="B48"/>
  <c r="A49"/>
  <c r="B49"/>
  <c r="A50"/>
  <c r="B50"/>
  <c r="A51"/>
  <c r="B51"/>
  <c r="A52"/>
  <c r="B52"/>
  <c r="A53"/>
  <c r="B53"/>
  <c r="A54"/>
  <c r="B54"/>
  <c r="A55"/>
  <c r="B55"/>
  <c r="A56"/>
  <c r="B56"/>
  <c r="A57"/>
  <c r="B57"/>
  <c r="A58"/>
  <c r="B58"/>
  <c r="A59"/>
  <c r="B59"/>
  <c r="A60"/>
  <c r="B60"/>
  <c r="A61"/>
  <c r="B61"/>
  <c r="B22"/>
  <c r="A22"/>
  <c r="I70"/>
  <c r="H70"/>
  <c r="G70"/>
  <c r="F70"/>
  <c r="E70"/>
  <c r="D70"/>
  <c r="C70"/>
  <c r="BU31" i="30" l="1"/>
  <c r="BU51"/>
  <c r="BU47"/>
  <c r="BN24" i="44"/>
  <c r="BN22"/>
  <c r="BN20"/>
  <c r="BN18"/>
  <c r="BN16"/>
  <c r="BN25"/>
  <c r="BN21"/>
  <c r="BN17"/>
  <c r="BP15"/>
  <c r="BN23"/>
  <c r="BN19"/>
  <c r="CL3" i="45"/>
  <c r="CM3" s="1"/>
  <c r="BD49" i="8"/>
  <c r="BJ49" s="1"/>
  <c r="CJ3" i="45"/>
  <c r="CK3" s="1"/>
  <c r="BD48" i="8"/>
  <c r="BJ48" s="1"/>
  <c r="BL24" i="45"/>
  <c r="BL22"/>
  <c r="BL20"/>
  <c r="BL18"/>
  <c r="BL16"/>
  <c r="BL25"/>
  <c r="BL23"/>
  <c r="BL21"/>
  <c r="BL19"/>
  <c r="BL17"/>
  <c r="BN15"/>
  <c r="BH57" i="30"/>
  <c r="BJ57" s="1"/>
  <c r="BH25"/>
  <c r="BJ25" s="1"/>
  <c r="BT43"/>
  <c r="BT27"/>
  <c r="BT55"/>
  <c r="BT39"/>
  <c r="BT23"/>
  <c r="BI33"/>
  <c r="CG35"/>
  <c r="BH41"/>
  <c r="BJ41" s="1"/>
  <c r="CG27"/>
  <c r="DP64"/>
  <c r="DR64" s="1"/>
  <c r="CN12" i="45"/>
  <c r="CO12" s="1"/>
  <c r="DP65" i="30"/>
  <c r="DR65" s="1"/>
  <c r="CP12" i="45"/>
  <c r="CQ12" s="1"/>
  <c r="DP66" i="30"/>
  <c r="DR66" s="1"/>
  <c r="CR12" i="45"/>
  <c r="CS12" s="1"/>
  <c r="DD65" i="30"/>
  <c r="DF65" s="1"/>
  <c r="CP11" i="45"/>
  <c r="CQ11" s="1"/>
  <c r="DD66" i="30"/>
  <c r="DF66" s="1"/>
  <c r="CR11" i="45"/>
  <c r="CS11" s="1"/>
  <c r="DD64" i="30"/>
  <c r="DF64" s="1"/>
  <c r="CN11" i="45"/>
  <c r="CO11" s="1"/>
  <c r="CF64" i="30"/>
  <c r="CH64" s="1"/>
  <c r="CN9" i="45"/>
  <c r="CO9" s="1"/>
  <c r="CF65" i="30"/>
  <c r="CH65" s="1"/>
  <c r="CP9" i="45"/>
  <c r="CQ9" s="1"/>
  <c r="CG43" i="30"/>
  <c r="CF66"/>
  <c r="CH66" s="1"/>
  <c r="CR9" i="45"/>
  <c r="CS9" s="1"/>
  <c r="CR65" i="30"/>
  <c r="CT65" s="1"/>
  <c r="CP10" i="45"/>
  <c r="CQ10" s="1"/>
  <c r="CR64" i="30"/>
  <c r="CT64" s="1"/>
  <c r="CN10" i="45"/>
  <c r="CO10" s="1"/>
  <c r="CR66" i="30"/>
  <c r="CT66" s="1"/>
  <c r="CR10" i="45"/>
  <c r="CS10" s="1"/>
  <c r="BT66" i="30"/>
  <c r="BV66" s="1"/>
  <c r="CR8" i="45"/>
  <c r="CS8" s="1"/>
  <c r="BT64" i="30"/>
  <c r="BV64" s="1"/>
  <c r="CN8" i="45"/>
  <c r="CO8" s="1"/>
  <c r="BT65" i="30"/>
  <c r="BV65" s="1"/>
  <c r="CP8" i="45"/>
  <c r="CQ8" s="1"/>
  <c r="BH66" i="30"/>
  <c r="BJ66" s="1"/>
  <c r="CR7" i="45"/>
  <c r="CS7" s="1"/>
  <c r="BH65" i="30"/>
  <c r="BJ65" s="1"/>
  <c r="CP7" i="45"/>
  <c r="CQ7" s="1"/>
  <c r="BI49" i="30"/>
  <c r="BH53"/>
  <c r="BH45"/>
  <c r="BJ45" s="1"/>
  <c r="BH37"/>
  <c r="BH29"/>
  <c r="BJ29" s="1"/>
  <c r="BH21"/>
  <c r="BH64"/>
  <c r="BJ64" s="1"/>
  <c r="CN7" i="45"/>
  <c r="CO7" s="1"/>
  <c r="AV66" i="30"/>
  <c r="AX66" s="1"/>
  <c r="CR6" i="45"/>
  <c r="CS6" s="1"/>
  <c r="AV64" i="30"/>
  <c r="AX64" s="1"/>
  <c r="CN6" i="45"/>
  <c r="CO6" s="1"/>
  <c r="AV65" i="30"/>
  <c r="AX65" s="1"/>
  <c r="CP6" i="45"/>
  <c r="CQ6" s="1"/>
  <c r="AJ64" i="30"/>
  <c r="AL64" s="1"/>
  <c r="CN5" i="45"/>
  <c r="CO5" s="1"/>
  <c r="AJ65" i="30"/>
  <c r="AL65" s="1"/>
  <c r="CP5" i="45"/>
  <c r="CQ5" s="1"/>
  <c r="AJ66" i="30"/>
  <c r="AL66" s="1"/>
  <c r="CR5" i="45"/>
  <c r="CS5" s="1"/>
  <c r="X64" i="30"/>
  <c r="Z64" s="1"/>
  <c r="CN4" i="45"/>
  <c r="CO4" s="1"/>
  <c r="X65" i="30"/>
  <c r="Z65" s="1"/>
  <c r="CP4" i="45"/>
  <c r="CQ4" s="1"/>
  <c r="X66" i="30"/>
  <c r="Z66" s="1"/>
  <c r="CR4" i="45"/>
  <c r="CS4" s="1"/>
  <c r="L66" i="30"/>
  <c r="N66" s="1"/>
  <c r="L65"/>
  <c r="N65" s="1"/>
  <c r="L64"/>
  <c r="N64" s="1"/>
  <c r="BI29"/>
  <c r="AK45"/>
  <c r="AL45"/>
  <c r="DD25"/>
  <c r="DF25" s="1"/>
  <c r="DP33"/>
  <c r="DR33" s="1"/>
  <c r="DD57"/>
  <c r="DF57" s="1"/>
  <c r="DD31"/>
  <c r="DF31" s="1"/>
  <c r="CR44"/>
  <c r="CT44" s="1"/>
  <c r="CR42"/>
  <c r="CT42" s="1"/>
  <c r="CF47"/>
  <c r="CH47" s="1"/>
  <c r="CF39"/>
  <c r="CH39" s="1"/>
  <c r="CF31"/>
  <c r="CH31" s="1"/>
  <c r="CF23"/>
  <c r="CH23" s="1"/>
  <c r="AJ35"/>
  <c r="AL35" s="1"/>
  <c r="L40"/>
  <c r="N40" s="1"/>
  <c r="L34"/>
  <c r="N34" s="1"/>
  <c r="L32"/>
  <c r="N32" s="1"/>
  <c r="L27"/>
  <c r="N27" s="1"/>
  <c r="L24"/>
  <c r="N24" s="1"/>
  <c r="L58"/>
  <c r="N58" s="1"/>
  <c r="L56"/>
  <c r="N56" s="1"/>
  <c r="L54"/>
  <c r="N54" s="1"/>
  <c r="L52"/>
  <c r="N52" s="1"/>
  <c r="L50"/>
  <c r="N50" s="1"/>
  <c r="L48"/>
  <c r="N48" s="1"/>
  <c r="L46"/>
  <c r="N46" s="1"/>
  <c r="L44"/>
  <c r="N44" s="1"/>
  <c r="L42"/>
  <c r="N42" s="1"/>
  <c r="L38"/>
  <c r="N38" s="1"/>
  <c r="L35"/>
  <c r="N35" s="1"/>
  <c r="L30"/>
  <c r="N30" s="1"/>
  <c r="L26"/>
  <c r="N26" s="1"/>
  <c r="L22"/>
  <c r="N22" s="1"/>
  <c r="K67"/>
  <c r="CF50"/>
  <c r="CF54"/>
  <c r="CF58"/>
  <c r="DD56"/>
  <c r="DF56" s="1"/>
  <c r="DD52"/>
  <c r="DF52" s="1"/>
  <c r="DD48"/>
  <c r="DF48" s="1"/>
  <c r="DD44"/>
  <c r="DF44" s="1"/>
  <c r="DD41"/>
  <c r="DF41" s="1"/>
  <c r="DD37"/>
  <c r="DF37" s="1"/>
  <c r="DD33"/>
  <c r="DF33" s="1"/>
  <c r="DD29"/>
  <c r="DF29" s="1"/>
  <c r="DD24"/>
  <c r="DF24" s="1"/>
  <c r="DD20"/>
  <c r="DF20" s="1"/>
  <c r="CR56"/>
  <c r="CT56" s="1"/>
  <c r="CR52"/>
  <c r="CT52" s="1"/>
  <c r="CR48"/>
  <c r="CT48" s="1"/>
  <c r="CR43"/>
  <c r="CT43" s="1"/>
  <c r="CR39"/>
  <c r="CT39" s="1"/>
  <c r="CR35"/>
  <c r="CT35" s="1"/>
  <c r="CR31"/>
  <c r="CT31" s="1"/>
  <c r="CR28"/>
  <c r="CT28" s="1"/>
  <c r="CR24"/>
  <c r="CT24" s="1"/>
  <c r="CR20"/>
  <c r="CT20" s="1"/>
  <c r="CF22"/>
  <c r="CH22" s="1"/>
  <c r="AV57"/>
  <c r="AX57" s="1"/>
  <c r="AV55"/>
  <c r="AX55" s="1"/>
  <c r="AV52"/>
  <c r="AV49"/>
  <c r="AX49" s="1"/>
  <c r="AV47"/>
  <c r="AX47" s="1"/>
  <c r="CF29"/>
  <c r="CF37"/>
  <c r="CF45"/>
  <c r="CF51"/>
  <c r="CF55"/>
  <c r="BT21"/>
  <c r="BT29"/>
  <c r="BT37"/>
  <c r="BT45"/>
  <c r="BT53"/>
  <c r="BH23"/>
  <c r="BJ23" s="1"/>
  <c r="BH31"/>
  <c r="BJ31" s="1"/>
  <c r="BH39"/>
  <c r="BJ39" s="1"/>
  <c r="BH47"/>
  <c r="BJ47" s="1"/>
  <c r="BH55"/>
  <c r="BJ55" s="1"/>
  <c r="DD58"/>
  <c r="DF58" s="1"/>
  <c r="DD54"/>
  <c r="DF54" s="1"/>
  <c r="DD50"/>
  <c r="DF50" s="1"/>
  <c r="DD47"/>
  <c r="DF47" s="1"/>
  <c r="DD43"/>
  <c r="DF43" s="1"/>
  <c r="DD39"/>
  <c r="DF39" s="1"/>
  <c r="DD35"/>
  <c r="DF35" s="1"/>
  <c r="DD30"/>
  <c r="DF30" s="1"/>
  <c r="DD26"/>
  <c r="DF26" s="1"/>
  <c r="DC67"/>
  <c r="CR55"/>
  <c r="CT55" s="1"/>
  <c r="CR50"/>
  <c r="CT50" s="1"/>
  <c r="CR46"/>
  <c r="CT46" s="1"/>
  <c r="CR41"/>
  <c r="CT41" s="1"/>
  <c r="CR37"/>
  <c r="CT37" s="1"/>
  <c r="CR30"/>
  <c r="CT30" s="1"/>
  <c r="CR22"/>
  <c r="CT22" s="1"/>
  <c r="CF21"/>
  <c r="CH21" s="1"/>
  <c r="AJ57"/>
  <c r="AL57" s="1"/>
  <c r="AJ53"/>
  <c r="AL53" s="1"/>
  <c r="AJ49"/>
  <c r="AL49" s="1"/>
  <c r="AJ44"/>
  <c r="AL44" s="1"/>
  <c r="AJ40"/>
  <c r="AL40" s="1"/>
  <c r="AJ36"/>
  <c r="AL36" s="1"/>
  <c r="AJ32"/>
  <c r="AL32" s="1"/>
  <c r="AJ29"/>
  <c r="AL29" s="1"/>
  <c r="AJ25"/>
  <c r="AL25" s="1"/>
  <c r="AJ21"/>
  <c r="AL21" s="1"/>
  <c r="DP55"/>
  <c r="DR55" s="1"/>
  <c r="DP47"/>
  <c r="DR47" s="1"/>
  <c r="DP39"/>
  <c r="DR39" s="1"/>
  <c r="DP31"/>
  <c r="DR31" s="1"/>
  <c r="DP23"/>
  <c r="DR23" s="1"/>
  <c r="AV54"/>
  <c r="AX54" s="1"/>
  <c r="AV45"/>
  <c r="AX45" s="1"/>
  <c r="AV43"/>
  <c r="AX43" s="1"/>
  <c r="AV40"/>
  <c r="AV37"/>
  <c r="AX37" s="1"/>
  <c r="AV35"/>
  <c r="AX35" s="1"/>
  <c r="AV32"/>
  <c r="AV29"/>
  <c r="AX29" s="1"/>
  <c r="AV27"/>
  <c r="AX27" s="1"/>
  <c r="AV24"/>
  <c r="AV21"/>
  <c r="AX21" s="1"/>
  <c r="AJ58"/>
  <c r="AJ54"/>
  <c r="AL54" s="1"/>
  <c r="AJ51"/>
  <c r="AL51" s="1"/>
  <c r="AJ47"/>
  <c r="AL47" s="1"/>
  <c r="AJ43"/>
  <c r="AL43" s="1"/>
  <c r="AJ39"/>
  <c r="AL39" s="1"/>
  <c r="AJ34"/>
  <c r="AL34" s="1"/>
  <c r="AJ30"/>
  <c r="AL30" s="1"/>
  <c r="AJ26"/>
  <c r="AL26" s="1"/>
  <c r="AJ22"/>
  <c r="AL22" s="1"/>
  <c r="X58"/>
  <c r="Z58" s="1"/>
  <c r="X54"/>
  <c r="Z54" s="1"/>
  <c r="X52"/>
  <c r="X46"/>
  <c r="Z46" s="1"/>
  <c r="X44"/>
  <c r="X38"/>
  <c r="Z38" s="1"/>
  <c r="X36"/>
  <c r="X30"/>
  <c r="Z30" s="1"/>
  <c r="X28"/>
  <c r="X22"/>
  <c r="Z22" s="1"/>
  <c r="X20"/>
  <c r="DP56"/>
  <c r="DR56" s="1"/>
  <c r="DP52"/>
  <c r="DR52" s="1"/>
  <c r="DP49"/>
  <c r="DR49" s="1"/>
  <c r="DP45"/>
  <c r="DR45" s="1"/>
  <c r="DP41"/>
  <c r="DR41" s="1"/>
  <c r="DP37"/>
  <c r="DR37" s="1"/>
  <c r="DP32"/>
  <c r="DR32" s="1"/>
  <c r="DP28"/>
  <c r="DR28" s="1"/>
  <c r="DP24"/>
  <c r="DR24" s="1"/>
  <c r="DP20"/>
  <c r="DR20" s="1"/>
  <c r="DD22"/>
  <c r="DF22" s="1"/>
  <c r="CF46"/>
  <c r="CH46" s="1"/>
  <c r="CF42"/>
  <c r="CH42" s="1"/>
  <c r="CF38"/>
  <c r="CH38" s="1"/>
  <c r="CF34"/>
  <c r="CH34" s="1"/>
  <c r="CF30"/>
  <c r="CH30" s="1"/>
  <c r="CF26"/>
  <c r="CH26" s="1"/>
  <c r="BT58"/>
  <c r="BV58" s="1"/>
  <c r="BT54"/>
  <c r="BV54" s="1"/>
  <c r="BT50"/>
  <c r="BV50" s="1"/>
  <c r="BT46"/>
  <c r="BV46" s="1"/>
  <c r="BT42"/>
  <c r="BV42" s="1"/>
  <c r="BT38"/>
  <c r="BV38" s="1"/>
  <c r="BT34"/>
  <c r="BV34" s="1"/>
  <c r="BT30"/>
  <c r="BV30" s="1"/>
  <c r="BT26"/>
  <c r="BV26" s="1"/>
  <c r="BT22"/>
  <c r="BV22" s="1"/>
  <c r="BH56"/>
  <c r="BJ56" s="1"/>
  <c r="BH52"/>
  <c r="BJ52" s="1"/>
  <c r="BH48"/>
  <c r="BJ48" s="1"/>
  <c r="BH44"/>
  <c r="BJ44" s="1"/>
  <c r="BH40"/>
  <c r="BJ40" s="1"/>
  <c r="BH36"/>
  <c r="BJ36" s="1"/>
  <c r="BH32"/>
  <c r="BJ32" s="1"/>
  <c r="BH28"/>
  <c r="BJ28" s="1"/>
  <c r="BH24"/>
  <c r="BJ24" s="1"/>
  <c r="BH20"/>
  <c r="BJ20" s="1"/>
  <c r="AV50"/>
  <c r="AV42"/>
  <c r="AX42" s="1"/>
  <c r="AV34"/>
  <c r="AX34" s="1"/>
  <c r="AV26"/>
  <c r="AX26" s="1"/>
  <c r="X56"/>
  <c r="Z56" s="1"/>
  <c r="X48"/>
  <c r="X40"/>
  <c r="X32"/>
  <c r="X24"/>
  <c r="DP54"/>
  <c r="DR54" s="1"/>
  <c r="DP46"/>
  <c r="DR46" s="1"/>
  <c r="DP38"/>
  <c r="DR38" s="1"/>
  <c r="DP30"/>
  <c r="DR30" s="1"/>
  <c r="DP22"/>
  <c r="DR22" s="1"/>
  <c r="CR29"/>
  <c r="CT29" s="1"/>
  <c r="BS67"/>
  <c r="X55"/>
  <c r="Z55" s="1"/>
  <c r="X47"/>
  <c r="Z47" s="1"/>
  <c r="X39"/>
  <c r="Z39" s="1"/>
  <c r="X31"/>
  <c r="Z31" s="1"/>
  <c r="X23"/>
  <c r="Z23" s="1"/>
  <c r="CR60"/>
  <c r="CT60" s="1"/>
  <c r="CR62"/>
  <c r="CT62" s="1"/>
  <c r="CR59"/>
  <c r="CT59" s="1"/>
  <c r="CE67"/>
  <c r="BT61"/>
  <c r="BV61" s="1"/>
  <c r="BT63"/>
  <c r="BV63" s="1"/>
  <c r="BT59"/>
  <c r="BV59" s="1"/>
  <c r="BT60"/>
  <c r="BV60" s="1"/>
  <c r="AW65"/>
  <c r="AV63"/>
  <c r="AX63" s="1"/>
  <c r="AV61"/>
  <c r="AX61" s="1"/>
  <c r="X59"/>
  <c r="Z59" s="1"/>
  <c r="Y66"/>
  <c r="X62"/>
  <c r="Z62" s="1"/>
  <c r="L59"/>
  <c r="N59" s="1"/>
  <c r="M64"/>
  <c r="L60"/>
  <c r="N60" s="1"/>
  <c r="DD62"/>
  <c r="DF62" s="1"/>
  <c r="DD61"/>
  <c r="DF61" s="1"/>
  <c r="DD60"/>
  <c r="DF60" s="1"/>
  <c r="CF63"/>
  <c r="CH63" s="1"/>
  <c r="CF62"/>
  <c r="CH62" s="1"/>
  <c r="CF59"/>
  <c r="CH59" s="1"/>
  <c r="BH61"/>
  <c r="BJ61" s="1"/>
  <c r="BH62"/>
  <c r="BJ62" s="1"/>
  <c r="BH60"/>
  <c r="BJ60" s="1"/>
  <c r="AJ63"/>
  <c r="AL63" s="1"/>
  <c r="AJ62"/>
  <c r="AL62" s="1"/>
  <c r="AJ59"/>
  <c r="AL59" s="1"/>
  <c r="W67"/>
  <c r="DP59"/>
  <c r="DR59" s="1"/>
  <c r="DP60"/>
  <c r="DR60" s="1"/>
  <c r="DP61"/>
  <c r="DR61" s="1"/>
  <c r="DP63"/>
  <c r="DR63" s="1"/>
  <c r="L36"/>
  <c r="N36" s="1"/>
  <c r="L33"/>
  <c r="N33" s="1"/>
  <c r="L28"/>
  <c r="N28" s="1"/>
  <c r="L25"/>
  <c r="N25" s="1"/>
  <c r="L20"/>
  <c r="N20" s="1"/>
  <c r="L57"/>
  <c r="N57" s="1"/>
  <c r="L55"/>
  <c r="N55" s="1"/>
  <c r="L53"/>
  <c r="N53" s="1"/>
  <c r="L51"/>
  <c r="N51" s="1"/>
  <c r="L49"/>
  <c r="N49" s="1"/>
  <c r="L47"/>
  <c r="N47" s="1"/>
  <c r="L45"/>
  <c r="N45" s="1"/>
  <c r="L43"/>
  <c r="N43" s="1"/>
  <c r="L39"/>
  <c r="N39" s="1"/>
  <c r="L37"/>
  <c r="N37" s="1"/>
  <c r="L31"/>
  <c r="N31" s="1"/>
  <c r="L29"/>
  <c r="N29" s="1"/>
  <c r="L23"/>
  <c r="N23" s="1"/>
  <c r="L21"/>
  <c r="N21" s="1"/>
  <c r="CF52"/>
  <c r="CH52" s="1"/>
  <c r="CF56"/>
  <c r="CH56" s="1"/>
  <c r="BH58"/>
  <c r="BJ58" s="1"/>
  <c r="DD53"/>
  <c r="DF53" s="1"/>
  <c r="DD49"/>
  <c r="DF49" s="1"/>
  <c r="DD45"/>
  <c r="DF45" s="1"/>
  <c r="DD40"/>
  <c r="DF40" s="1"/>
  <c r="DD36"/>
  <c r="DF36" s="1"/>
  <c r="DD32"/>
  <c r="DF32" s="1"/>
  <c r="DD28"/>
  <c r="DF28" s="1"/>
  <c r="DD21"/>
  <c r="DF21" s="1"/>
  <c r="CR58"/>
  <c r="CT58" s="1"/>
  <c r="CR54"/>
  <c r="CT54" s="1"/>
  <c r="CR51"/>
  <c r="CT51" s="1"/>
  <c r="CR47"/>
  <c r="CT47" s="1"/>
  <c r="CR40"/>
  <c r="CT40" s="1"/>
  <c r="CR36"/>
  <c r="CT36" s="1"/>
  <c r="CR32"/>
  <c r="CT32" s="1"/>
  <c r="CR27"/>
  <c r="CT27" s="1"/>
  <c r="CR23"/>
  <c r="CT23" s="1"/>
  <c r="AV56"/>
  <c r="AV53"/>
  <c r="AX53" s="1"/>
  <c r="AV51"/>
  <c r="AX51" s="1"/>
  <c r="AV48"/>
  <c r="CF25"/>
  <c r="CH25" s="1"/>
  <c r="CF33"/>
  <c r="CH33" s="1"/>
  <c r="CF41"/>
  <c r="CH41" s="1"/>
  <c r="CF49"/>
  <c r="CH49" s="1"/>
  <c r="CF53"/>
  <c r="CH53" s="1"/>
  <c r="CF57"/>
  <c r="CH57" s="1"/>
  <c r="BT25"/>
  <c r="BT33"/>
  <c r="BT41"/>
  <c r="BT49"/>
  <c r="BT57"/>
  <c r="BH27"/>
  <c r="BJ27" s="1"/>
  <c r="BH35"/>
  <c r="BJ35" s="1"/>
  <c r="BH43"/>
  <c r="BJ43" s="1"/>
  <c r="BH51"/>
  <c r="BJ51" s="1"/>
  <c r="BG67"/>
  <c r="DD55"/>
  <c r="DF55" s="1"/>
  <c r="DD51"/>
  <c r="DF51" s="1"/>
  <c r="DD46"/>
  <c r="DF46" s="1"/>
  <c r="DD42"/>
  <c r="DF42" s="1"/>
  <c r="DD38"/>
  <c r="DF38" s="1"/>
  <c r="DD34"/>
  <c r="DF34" s="1"/>
  <c r="DD27"/>
  <c r="DF27" s="1"/>
  <c r="DD23"/>
  <c r="DF23" s="1"/>
  <c r="CR57"/>
  <c r="CT57" s="1"/>
  <c r="CR53"/>
  <c r="CT53" s="1"/>
  <c r="CR49"/>
  <c r="CT49" s="1"/>
  <c r="CR45"/>
  <c r="CT45" s="1"/>
  <c r="CR38"/>
  <c r="CT38" s="1"/>
  <c r="CR34"/>
  <c r="CT34" s="1"/>
  <c r="CR26"/>
  <c r="CT26" s="1"/>
  <c r="CQ67"/>
  <c r="CF20"/>
  <c r="CH20" s="1"/>
  <c r="AJ56"/>
  <c r="AL56" s="1"/>
  <c r="AJ52"/>
  <c r="AL52" s="1"/>
  <c r="AJ48"/>
  <c r="AL48" s="1"/>
  <c r="AJ41"/>
  <c r="AL41" s="1"/>
  <c r="AJ37"/>
  <c r="AL37" s="1"/>
  <c r="AJ33"/>
  <c r="AL33" s="1"/>
  <c r="AJ28"/>
  <c r="AL28" s="1"/>
  <c r="AJ24"/>
  <c r="AL24" s="1"/>
  <c r="AJ20"/>
  <c r="AL20" s="1"/>
  <c r="DP51"/>
  <c r="DR51" s="1"/>
  <c r="DP43"/>
  <c r="DR43" s="1"/>
  <c r="DP35"/>
  <c r="DR35" s="1"/>
  <c r="DP27"/>
  <c r="DR27" s="1"/>
  <c r="DO67"/>
  <c r="AV44"/>
  <c r="AV41"/>
  <c r="AX41" s="1"/>
  <c r="AV39"/>
  <c r="AX39" s="1"/>
  <c r="AV36"/>
  <c r="AV33"/>
  <c r="AX33" s="1"/>
  <c r="AV31"/>
  <c r="AX31" s="1"/>
  <c r="AV28"/>
  <c r="AV25"/>
  <c r="AX25" s="1"/>
  <c r="AV23"/>
  <c r="AX23" s="1"/>
  <c r="AV20"/>
  <c r="AJ55"/>
  <c r="AL55" s="1"/>
  <c r="AJ50"/>
  <c r="AL50" s="1"/>
  <c r="AJ46"/>
  <c r="AL46" s="1"/>
  <c r="AJ42"/>
  <c r="AL42" s="1"/>
  <c r="AJ38"/>
  <c r="AL38" s="1"/>
  <c r="AJ31"/>
  <c r="AL31" s="1"/>
  <c r="AJ27"/>
  <c r="AL27" s="1"/>
  <c r="AJ23"/>
  <c r="AL23" s="1"/>
  <c r="AI67"/>
  <c r="X57"/>
  <c r="Z57" s="1"/>
  <c r="X53"/>
  <c r="Z53" s="1"/>
  <c r="X51"/>
  <c r="Z51" s="1"/>
  <c r="X45"/>
  <c r="Z45" s="1"/>
  <c r="X43"/>
  <c r="Z43" s="1"/>
  <c r="X37"/>
  <c r="Z37" s="1"/>
  <c r="X35"/>
  <c r="Z35" s="1"/>
  <c r="X29"/>
  <c r="Z29" s="1"/>
  <c r="X27"/>
  <c r="Z27" s="1"/>
  <c r="X21"/>
  <c r="Z21" s="1"/>
  <c r="DP57"/>
  <c r="DR57" s="1"/>
  <c r="DP53"/>
  <c r="DR53" s="1"/>
  <c r="DP48"/>
  <c r="DR48" s="1"/>
  <c r="DP44"/>
  <c r="DR44" s="1"/>
  <c r="DP40"/>
  <c r="DR40" s="1"/>
  <c r="DP36"/>
  <c r="DR36" s="1"/>
  <c r="DP29"/>
  <c r="DR29" s="1"/>
  <c r="DP25"/>
  <c r="DR25" s="1"/>
  <c r="DP21"/>
  <c r="DR21" s="1"/>
  <c r="L41"/>
  <c r="N41" s="1"/>
  <c r="CF48"/>
  <c r="CH48" s="1"/>
  <c r="CF44"/>
  <c r="CH44" s="1"/>
  <c r="CF40"/>
  <c r="CH40" s="1"/>
  <c r="CF36"/>
  <c r="CH36" s="1"/>
  <c r="CF32"/>
  <c r="CH32" s="1"/>
  <c r="CF28"/>
  <c r="CH28" s="1"/>
  <c r="CF24"/>
  <c r="CH24" s="1"/>
  <c r="BT56"/>
  <c r="BV56" s="1"/>
  <c r="BT52"/>
  <c r="BV52" s="1"/>
  <c r="BT48"/>
  <c r="BV48" s="1"/>
  <c r="BT44"/>
  <c r="BV44" s="1"/>
  <c r="BT40"/>
  <c r="BV40" s="1"/>
  <c r="BT36"/>
  <c r="BV36" s="1"/>
  <c r="BT32"/>
  <c r="BV32" s="1"/>
  <c r="BT28"/>
  <c r="BV28" s="1"/>
  <c r="BT24"/>
  <c r="BV24" s="1"/>
  <c r="BT20"/>
  <c r="BV20" s="1"/>
  <c r="BH54"/>
  <c r="BJ54" s="1"/>
  <c r="BH50"/>
  <c r="BJ50" s="1"/>
  <c r="BH46"/>
  <c r="BJ46" s="1"/>
  <c r="BH42"/>
  <c r="BJ42" s="1"/>
  <c r="BH38"/>
  <c r="BJ38" s="1"/>
  <c r="BH34"/>
  <c r="BJ34" s="1"/>
  <c r="BH30"/>
  <c r="BJ30" s="1"/>
  <c r="BH26"/>
  <c r="BJ26" s="1"/>
  <c r="BH22"/>
  <c r="BJ22" s="1"/>
  <c r="AV58"/>
  <c r="AX58" s="1"/>
  <c r="AV46"/>
  <c r="AX46" s="1"/>
  <c r="AV38"/>
  <c r="AX38" s="1"/>
  <c r="AV30"/>
  <c r="AX30" s="1"/>
  <c r="AV22"/>
  <c r="AX22" s="1"/>
  <c r="X50"/>
  <c r="Z50" s="1"/>
  <c r="X42"/>
  <c r="Z42" s="1"/>
  <c r="X34"/>
  <c r="Z34" s="1"/>
  <c r="X26"/>
  <c r="Z26" s="1"/>
  <c r="DP58"/>
  <c r="DR58" s="1"/>
  <c r="DP50"/>
  <c r="DR50" s="1"/>
  <c r="DP42"/>
  <c r="DR42" s="1"/>
  <c r="DP34"/>
  <c r="DR34" s="1"/>
  <c r="DP26"/>
  <c r="DR26" s="1"/>
  <c r="CR33"/>
  <c r="CT33" s="1"/>
  <c r="CR25"/>
  <c r="CT25" s="1"/>
  <c r="AU67"/>
  <c r="X49"/>
  <c r="Z49" s="1"/>
  <c r="X41"/>
  <c r="Z41" s="1"/>
  <c r="X33"/>
  <c r="Z33" s="1"/>
  <c r="X25"/>
  <c r="Z25" s="1"/>
  <c r="CR63"/>
  <c r="CT63" s="1"/>
  <c r="CR61"/>
  <c r="CT61" s="1"/>
  <c r="BU66"/>
  <c r="BT62"/>
  <c r="BV62" s="1"/>
  <c r="BU65"/>
  <c r="AV62"/>
  <c r="AX62" s="1"/>
  <c r="AV59"/>
  <c r="AX59" s="1"/>
  <c r="AV60"/>
  <c r="AX60" s="1"/>
  <c r="Y64"/>
  <c r="X63"/>
  <c r="Z63" s="1"/>
  <c r="X60"/>
  <c r="Z60" s="1"/>
  <c r="X61"/>
  <c r="Z61" s="1"/>
  <c r="L62"/>
  <c r="N62" s="1"/>
  <c r="L61"/>
  <c r="N61" s="1"/>
  <c r="L63"/>
  <c r="N63" s="1"/>
  <c r="DD59"/>
  <c r="DF59" s="1"/>
  <c r="DD63"/>
  <c r="DF63" s="1"/>
  <c r="CR21"/>
  <c r="CT21" s="1"/>
  <c r="CF60"/>
  <c r="CH60" s="1"/>
  <c r="CF61"/>
  <c r="CH61" s="1"/>
  <c r="BH59"/>
  <c r="BJ59" s="1"/>
  <c r="BH63"/>
  <c r="BJ63" s="1"/>
  <c r="AJ60"/>
  <c r="AL60" s="1"/>
  <c r="AJ61"/>
  <c r="AL61" s="1"/>
  <c r="DP62"/>
  <c r="DR62" s="1"/>
  <c r="AK37"/>
  <c r="DE39"/>
  <c r="Y49"/>
  <c r="AP5" i="33"/>
  <c r="AW45" i="30"/>
  <c r="AW21"/>
  <c r="Y53"/>
  <c r="Y29"/>
  <c r="DE53"/>
  <c r="BI39"/>
  <c r="AK25"/>
  <c r="DQ35"/>
  <c r="DE29"/>
  <c r="CS48"/>
  <c r="CG25"/>
  <c r="DE35"/>
  <c r="CS46"/>
  <c r="DD19"/>
  <c r="CS19"/>
  <c r="CF19"/>
  <c r="CH19" s="1"/>
  <c r="BT19"/>
  <c r="BH19"/>
  <c r="AV19"/>
  <c r="AJ19"/>
  <c r="AL19" s="1"/>
  <c r="X19"/>
  <c r="DP19"/>
  <c r="M40"/>
  <c r="M34"/>
  <c r="M53"/>
  <c r="M47"/>
  <c r="M45"/>
  <c r="M33"/>
  <c r="M48"/>
  <c r="M22"/>
  <c r="L19"/>
  <c r="M37" l="1"/>
  <c r="M55"/>
  <c r="Y38"/>
  <c r="BI27"/>
  <c r="BI23"/>
  <c r="AW29"/>
  <c r="DE23"/>
  <c r="BU64"/>
  <c r="M65"/>
  <c r="M44"/>
  <c r="M21"/>
  <c r="BI31"/>
  <c r="Y21"/>
  <c r="CS22"/>
  <c r="M28"/>
  <c r="DQ23"/>
  <c r="CS40"/>
  <c r="Y37"/>
  <c r="DE58"/>
  <c r="CS58"/>
  <c r="M66"/>
  <c r="BI25"/>
  <c r="Y46"/>
  <c r="AW37"/>
  <c r="AW55"/>
  <c r="DE66"/>
  <c r="BI57"/>
  <c r="AK39"/>
  <c r="DE51"/>
  <c r="DQ66"/>
  <c r="BI64"/>
  <c r="BI41"/>
  <c r="M36"/>
  <c r="DQ47"/>
  <c r="CG64"/>
  <c r="M52"/>
  <c r="M20"/>
  <c r="DQ55"/>
  <c r="AK41"/>
  <c r="CG52"/>
  <c r="DQ41"/>
  <c r="CS56"/>
  <c r="M30"/>
  <c r="M31"/>
  <c r="M51"/>
  <c r="M24"/>
  <c r="Y30"/>
  <c r="AK55"/>
  <c r="AK49"/>
  <c r="BI35"/>
  <c r="DE43"/>
  <c r="CS24"/>
  <c r="CS53"/>
  <c r="DE33"/>
  <c r="CS54"/>
  <c r="DQ64"/>
  <c r="CG41"/>
  <c r="BI55"/>
  <c r="AW51"/>
  <c r="AW25"/>
  <c r="CS65"/>
  <c r="M38"/>
  <c r="M56"/>
  <c r="M43"/>
  <c r="M32"/>
  <c r="Y22"/>
  <c r="Y54"/>
  <c r="BI43"/>
  <c r="DE45"/>
  <c r="Y23"/>
  <c r="Y45"/>
  <c r="AW35"/>
  <c r="AW53"/>
  <c r="AW39"/>
  <c r="CS26"/>
  <c r="BI66"/>
  <c r="Y65"/>
  <c r="BI45"/>
  <c r="AK66"/>
  <c r="M29"/>
  <c r="DQ37"/>
  <c r="DQ39"/>
  <c r="CS32"/>
  <c r="AK47"/>
  <c r="AK57"/>
  <c r="DE21"/>
  <c r="AW49"/>
  <c r="CS34"/>
  <c r="CS55"/>
  <c r="AK64"/>
  <c r="DE64"/>
  <c r="AW64"/>
  <c r="CS66"/>
  <c r="BP24" i="44"/>
  <c r="BP22"/>
  <c r="BP20"/>
  <c r="BP18"/>
  <c r="BP16"/>
  <c r="BR15"/>
  <c r="BP23"/>
  <c r="BP19"/>
  <c r="BP25"/>
  <c r="BP21"/>
  <c r="BP17"/>
  <c r="CH3" i="45"/>
  <c r="CI3" s="1"/>
  <c r="CN3"/>
  <c r="CO3" s="1"/>
  <c r="BD50" i="8"/>
  <c r="BJ50" s="1"/>
  <c r="CP3" i="45"/>
  <c r="CQ3" s="1"/>
  <c r="BD51" i="8"/>
  <c r="BJ51" s="1"/>
  <c r="CR3" i="45"/>
  <c r="CS3" s="1"/>
  <c r="BD52" i="8"/>
  <c r="BJ52" s="1"/>
  <c r="CF3" i="45"/>
  <c r="CG3" s="1"/>
  <c r="CD3"/>
  <c r="CE3" s="1"/>
  <c r="BN25"/>
  <c r="BN23"/>
  <c r="BN21"/>
  <c r="BN19"/>
  <c r="BN17"/>
  <c r="BN24"/>
  <c r="BN22"/>
  <c r="BN20"/>
  <c r="BN18"/>
  <c r="BN16"/>
  <c r="BP15"/>
  <c r="DE37" i="30"/>
  <c r="BV23"/>
  <c r="BU23"/>
  <c r="BV43"/>
  <c r="BU43"/>
  <c r="M25"/>
  <c r="M27"/>
  <c r="AK23"/>
  <c r="DQ31"/>
  <c r="AK33"/>
  <c r="DQ45"/>
  <c r="DQ51"/>
  <c r="CG21"/>
  <c r="BI47"/>
  <c r="Y39"/>
  <c r="AW27"/>
  <c r="AW43"/>
  <c r="AW47"/>
  <c r="AK21"/>
  <c r="CS20"/>
  <c r="DQ25"/>
  <c r="CS30"/>
  <c r="DE55"/>
  <c r="DE49"/>
  <c r="DQ65"/>
  <c r="AK65"/>
  <c r="BI65"/>
  <c r="CG65"/>
  <c r="AW66"/>
  <c r="CS64"/>
  <c r="BV39"/>
  <c r="BU39"/>
  <c r="BV27"/>
  <c r="BU27"/>
  <c r="M26"/>
  <c r="M42"/>
  <c r="M50"/>
  <c r="M58"/>
  <c r="L67"/>
  <c r="M35"/>
  <c r="M46"/>
  <c r="M54"/>
  <c r="M23"/>
  <c r="M39"/>
  <c r="M49"/>
  <c r="M57"/>
  <c r="AW54"/>
  <c r="BI51"/>
  <c r="CG53"/>
  <c r="AK31"/>
  <c r="CS38"/>
  <c r="BI58"/>
  <c r="Y55"/>
  <c r="AK53"/>
  <c r="CS57"/>
  <c r="CS52"/>
  <c r="AK43"/>
  <c r="CS50"/>
  <c r="CS36"/>
  <c r="DE65"/>
  <c r="CG66"/>
  <c r="BV55"/>
  <c r="BU55"/>
  <c r="CH9" i="45"/>
  <c r="CI9" s="1"/>
  <c r="CF4"/>
  <c r="CG4" s="1"/>
  <c r="CH12"/>
  <c r="CI12" s="1"/>
  <c r="CD5"/>
  <c r="CE5" s="1"/>
  <c r="CD9"/>
  <c r="CE9" s="1"/>
  <c r="N48" i="34"/>
  <c r="CF8" i="45"/>
  <c r="CG8" s="1"/>
  <c r="CD8"/>
  <c r="CE8" s="1"/>
  <c r="CF5"/>
  <c r="CG5" s="1"/>
  <c r="CD7"/>
  <c r="CE7" s="1"/>
  <c r="CF9"/>
  <c r="CG9" s="1"/>
  <c r="CF12"/>
  <c r="CG12" s="1"/>
  <c r="CD12"/>
  <c r="CE12" s="1"/>
  <c r="CF7"/>
  <c r="CG7" s="1"/>
  <c r="CF10"/>
  <c r="CG10" s="1"/>
  <c r="DQ21" i="30"/>
  <c r="DQ53"/>
  <c r="DQ27"/>
  <c r="DQ43"/>
  <c r="DQ57"/>
  <c r="AW33"/>
  <c r="AW41"/>
  <c r="AK27"/>
  <c r="Y33"/>
  <c r="DQ29"/>
  <c r="V55" i="34"/>
  <c r="V54"/>
  <c r="DE27" i="30"/>
  <c r="U55" i="34"/>
  <c r="U54"/>
  <c r="S54"/>
  <c r="S55"/>
  <c r="CG57" i="30"/>
  <c r="CG49"/>
  <c r="CG33"/>
  <c r="CG56"/>
  <c r="T55" i="34"/>
  <c r="T54"/>
  <c r="R54"/>
  <c r="R55"/>
  <c r="BJ21" i="30"/>
  <c r="BI21"/>
  <c r="BJ37"/>
  <c r="BI37"/>
  <c r="BJ53"/>
  <c r="BI53"/>
  <c r="Q54" i="34"/>
  <c r="Q55"/>
  <c r="P54"/>
  <c r="P55"/>
  <c r="AW23" i="30"/>
  <c r="AW31"/>
  <c r="O55" i="34"/>
  <c r="O54"/>
  <c r="N55"/>
  <c r="N54"/>
  <c r="BE51" i="8"/>
  <c r="BF51" s="1"/>
  <c r="BH51" s="1"/>
  <c r="M54" i="34"/>
  <c r="M55"/>
  <c r="BE52" i="8"/>
  <c r="BF52" s="1"/>
  <c r="BH52" s="1"/>
  <c r="M50" i="34"/>
  <c r="M51"/>
  <c r="BE48" i="8"/>
  <c r="BF48" s="1"/>
  <c r="BH48" s="1"/>
  <c r="M49" i="34"/>
  <c r="M48"/>
  <c r="M52"/>
  <c r="BE49" i="8"/>
  <c r="BF49" s="1"/>
  <c r="BH49" s="1"/>
  <c r="M53" i="34"/>
  <c r="BE50" i="8"/>
  <c r="BF50" s="1"/>
  <c r="BH50" s="1"/>
  <c r="AW20" i="30"/>
  <c r="AX20"/>
  <c r="AW28"/>
  <c r="AX28"/>
  <c r="AW36"/>
  <c r="AX36"/>
  <c r="AW44"/>
  <c r="AX44"/>
  <c r="BU57"/>
  <c r="BV57"/>
  <c r="BU49"/>
  <c r="BV49"/>
  <c r="BU41"/>
  <c r="BV41"/>
  <c r="BU33"/>
  <c r="BV33"/>
  <c r="BU25"/>
  <c r="BV25"/>
  <c r="AW48"/>
  <c r="AX48"/>
  <c r="AW56"/>
  <c r="AX56"/>
  <c r="Y24"/>
  <c r="Z24"/>
  <c r="Y32"/>
  <c r="Z32"/>
  <c r="Y40"/>
  <c r="Z40"/>
  <c r="Y48"/>
  <c r="Z48"/>
  <c r="AW50"/>
  <c r="AX50"/>
  <c r="AK58"/>
  <c r="AL58"/>
  <c r="AW24"/>
  <c r="AX24"/>
  <c r="AW32"/>
  <c r="AX32"/>
  <c r="AW40"/>
  <c r="AX40"/>
  <c r="BU53"/>
  <c r="BV53"/>
  <c r="BU45"/>
  <c r="BV45"/>
  <c r="BU37"/>
  <c r="BV37"/>
  <c r="BU29"/>
  <c r="BV29"/>
  <c r="BU21"/>
  <c r="BV21"/>
  <c r="CG55"/>
  <c r="CH55"/>
  <c r="CG51"/>
  <c r="CH51"/>
  <c r="CG45"/>
  <c r="CH45"/>
  <c r="CG37"/>
  <c r="CH37"/>
  <c r="CG29"/>
  <c r="CH29"/>
  <c r="AW52"/>
  <c r="AX52"/>
  <c r="CG58"/>
  <c r="CH58"/>
  <c r="CG54"/>
  <c r="CH54"/>
  <c r="CG50"/>
  <c r="CH50"/>
  <c r="BT67"/>
  <c r="BV19"/>
  <c r="Y20"/>
  <c r="Z20"/>
  <c r="Y28"/>
  <c r="Z28"/>
  <c r="Y36"/>
  <c r="Z36"/>
  <c r="Y44"/>
  <c r="Z44"/>
  <c r="Y52"/>
  <c r="Z52"/>
  <c r="V51" i="34"/>
  <c r="S50"/>
  <c r="U52"/>
  <c r="P51"/>
  <c r="Q52"/>
  <c r="T52"/>
  <c r="P53"/>
  <c r="O53"/>
  <c r="V53"/>
  <c r="T53"/>
  <c r="Q53"/>
  <c r="O48"/>
  <c r="O51"/>
  <c r="Q51"/>
  <c r="S51"/>
  <c r="U51"/>
  <c r="N51"/>
  <c r="P52"/>
  <c r="R52"/>
  <c r="R53"/>
  <c r="N52"/>
  <c r="R51"/>
  <c r="V52"/>
  <c r="N53"/>
  <c r="O52"/>
  <c r="S52"/>
  <c r="S53"/>
  <c r="T51"/>
  <c r="T49"/>
  <c r="U53"/>
  <c r="DP67" i="30"/>
  <c r="DR19"/>
  <c r="DD67"/>
  <c r="DF19"/>
  <c r="BH67"/>
  <c r="BJ19"/>
  <c r="AV67"/>
  <c r="AX19"/>
  <c r="X67"/>
  <c r="Z19"/>
  <c r="DE25"/>
  <c r="DQ33"/>
  <c r="DE31"/>
  <c r="DE57"/>
  <c r="CS42"/>
  <c r="CS44"/>
  <c r="CG23"/>
  <c r="CG39"/>
  <c r="CF67"/>
  <c r="CG31"/>
  <c r="CG47"/>
  <c r="AJ67"/>
  <c r="Y31"/>
  <c r="Y47"/>
  <c r="Y27"/>
  <c r="Y35"/>
  <c r="Y43"/>
  <c r="Y51"/>
  <c r="Y25"/>
  <c r="Y41"/>
  <c r="CR67"/>
  <c r="AK35"/>
  <c r="AK61"/>
  <c r="AK60"/>
  <c r="BI63"/>
  <c r="BI59"/>
  <c r="CG61"/>
  <c r="CG60"/>
  <c r="CS21"/>
  <c r="DE63"/>
  <c r="DE59"/>
  <c r="M63"/>
  <c r="M61"/>
  <c r="M62"/>
  <c r="Y61"/>
  <c r="Y60"/>
  <c r="AW60"/>
  <c r="AW59"/>
  <c r="CS61"/>
  <c r="CS63"/>
  <c r="CS25"/>
  <c r="CS33"/>
  <c r="DQ26"/>
  <c r="DQ34"/>
  <c r="DQ42"/>
  <c r="DQ50"/>
  <c r="DQ58"/>
  <c r="Y26"/>
  <c r="Y34"/>
  <c r="Y42"/>
  <c r="Y50"/>
  <c r="AW22"/>
  <c r="AW30"/>
  <c r="AW38"/>
  <c r="AW46"/>
  <c r="AW58"/>
  <c r="BI22"/>
  <c r="BI26"/>
  <c r="BI30"/>
  <c r="BI34"/>
  <c r="BI38"/>
  <c r="BI42"/>
  <c r="BI46"/>
  <c r="BI50"/>
  <c r="BI54"/>
  <c r="BU20"/>
  <c r="BU24"/>
  <c r="BU28"/>
  <c r="BU32"/>
  <c r="BU36"/>
  <c r="BU40"/>
  <c r="BU44"/>
  <c r="BU48"/>
  <c r="BU52"/>
  <c r="BU56"/>
  <c r="CG24"/>
  <c r="CG28"/>
  <c r="CG32"/>
  <c r="CG36"/>
  <c r="CG40"/>
  <c r="CG44"/>
  <c r="CG48"/>
  <c r="M41"/>
  <c r="DQ36"/>
  <c r="DQ40"/>
  <c r="DQ44"/>
  <c r="DQ48"/>
  <c r="Y57"/>
  <c r="AK38"/>
  <c r="AK42"/>
  <c r="AK46"/>
  <c r="AK50"/>
  <c r="AK20"/>
  <c r="AK24"/>
  <c r="AK28"/>
  <c r="AK48"/>
  <c r="AK52"/>
  <c r="AK56"/>
  <c r="CG20"/>
  <c r="CS45"/>
  <c r="CS49"/>
  <c r="DE34"/>
  <c r="DE38"/>
  <c r="DE42"/>
  <c r="DE46"/>
  <c r="CS23"/>
  <c r="CS27"/>
  <c r="CS47"/>
  <c r="CS51"/>
  <c r="DE28"/>
  <c r="DE32"/>
  <c r="DE36"/>
  <c r="DE40"/>
  <c r="DQ63"/>
  <c r="DQ60"/>
  <c r="DQ59"/>
  <c r="AK59"/>
  <c r="AK62"/>
  <c r="AK63"/>
  <c r="BI60"/>
  <c r="BI62"/>
  <c r="BI61"/>
  <c r="CG59"/>
  <c r="CG62"/>
  <c r="CG63"/>
  <c r="DE60"/>
  <c r="DE61"/>
  <c r="DE62"/>
  <c r="M60"/>
  <c r="M59"/>
  <c r="Y62"/>
  <c r="Y59"/>
  <c r="AW61"/>
  <c r="AW63"/>
  <c r="BU60"/>
  <c r="BU59"/>
  <c r="BU63"/>
  <c r="BU61"/>
  <c r="CS59"/>
  <c r="CS60"/>
  <c r="CS29"/>
  <c r="DQ22"/>
  <c r="DQ30"/>
  <c r="DQ38"/>
  <c r="DQ46"/>
  <c r="DQ54"/>
  <c r="Y56"/>
  <c r="AW26"/>
  <c r="AW34"/>
  <c r="AW42"/>
  <c r="BI20"/>
  <c r="BI24"/>
  <c r="BI28"/>
  <c r="BI32"/>
  <c r="BI36"/>
  <c r="BI40"/>
  <c r="BI44"/>
  <c r="BI48"/>
  <c r="BI52"/>
  <c r="BI56"/>
  <c r="BU22"/>
  <c r="BU26"/>
  <c r="BU30"/>
  <c r="BU34"/>
  <c r="BU38"/>
  <c r="BU42"/>
  <c r="BU46"/>
  <c r="BU50"/>
  <c r="BU54"/>
  <c r="BU58"/>
  <c r="CG26"/>
  <c r="CG30"/>
  <c r="CG34"/>
  <c r="CG38"/>
  <c r="CG42"/>
  <c r="CG46"/>
  <c r="DE22"/>
  <c r="DQ20"/>
  <c r="DQ24"/>
  <c r="DQ28"/>
  <c r="DQ32"/>
  <c r="AK51"/>
  <c r="AK54"/>
  <c r="DE47"/>
  <c r="DE50"/>
  <c r="DE54"/>
  <c r="AW57"/>
  <c r="CG22"/>
  <c r="DE41"/>
  <c r="DE44"/>
  <c r="DE48"/>
  <c r="DE52"/>
  <c r="DE56"/>
  <c r="DQ62"/>
  <c r="Y63"/>
  <c r="AW62"/>
  <c r="BU62"/>
  <c r="DQ61"/>
  <c r="CS62"/>
  <c r="DQ49"/>
  <c r="DQ52"/>
  <c r="DQ56"/>
  <c r="Y58"/>
  <c r="AK22"/>
  <c r="AK26"/>
  <c r="AK30"/>
  <c r="AK34"/>
  <c r="AK29"/>
  <c r="AK32"/>
  <c r="AK36"/>
  <c r="AK40"/>
  <c r="AK44"/>
  <c r="CS37"/>
  <c r="CS41"/>
  <c r="DE26"/>
  <c r="DE30"/>
  <c r="CS28"/>
  <c r="CS31"/>
  <c r="CS35"/>
  <c r="CS39"/>
  <c r="CS43"/>
  <c r="DE20"/>
  <c r="DE24"/>
  <c r="AZ5" i="33"/>
  <c r="L5"/>
  <c r="Q5"/>
  <c r="V5"/>
  <c r="AU5"/>
  <c r="AA5"/>
  <c r="AF5"/>
  <c r="AK5"/>
  <c r="DE19" i="30"/>
  <c r="CG19"/>
  <c r="BU19"/>
  <c r="BI19"/>
  <c r="AW19"/>
  <c r="AK19"/>
  <c r="Y19"/>
  <c r="DQ19"/>
  <c r="N19"/>
  <c r="M19"/>
  <c r="V49" i="34" l="1"/>
  <c r="S49"/>
  <c r="Q49"/>
  <c r="G59" i="31"/>
  <c r="G58"/>
  <c r="G57"/>
  <c r="G60"/>
  <c r="G61"/>
  <c r="BR24" i="44"/>
  <c r="BR22"/>
  <c r="BR20"/>
  <c r="BR18"/>
  <c r="BR16"/>
  <c r="BR25"/>
  <c r="BR21"/>
  <c r="BR17"/>
  <c r="BR23"/>
  <c r="BR19"/>
  <c r="BT15"/>
  <c r="V48" i="34"/>
  <c r="R50"/>
  <c r="CH8" i="45"/>
  <c r="CI8" s="1"/>
  <c r="BE45" i="8"/>
  <c r="BF45" s="1"/>
  <c r="BH45" s="1"/>
  <c r="CD4" i="45"/>
  <c r="CE4" s="1"/>
  <c r="CH10"/>
  <c r="CI10" s="1"/>
  <c r="P49" i="34"/>
  <c r="CF6" i="45"/>
  <c r="CG6" s="1"/>
  <c r="BE47" i="8"/>
  <c r="BF47" s="1"/>
  <c r="BH47" s="1"/>
  <c r="CH4" i="45"/>
  <c r="CI4" s="1"/>
  <c r="O50" i="34"/>
  <c r="CH5" i="45"/>
  <c r="CI5" s="1"/>
  <c r="U49" i="34"/>
  <c r="CF11" i="45"/>
  <c r="CG11" s="1"/>
  <c r="U48" i="34"/>
  <c r="CD11" i="45"/>
  <c r="CE11" s="1"/>
  <c r="T48" i="34"/>
  <c r="CD10" i="45"/>
  <c r="CE10" s="1"/>
  <c r="P50" i="34"/>
  <c r="CH6" i="45"/>
  <c r="CI6" s="1"/>
  <c r="U50" i="34"/>
  <c r="CH11" i="45"/>
  <c r="CI11" s="1"/>
  <c r="Q50" i="34"/>
  <c r="CH7" i="45"/>
  <c r="CI7" s="1"/>
  <c r="P48" i="34"/>
  <c r="CD6" i="45"/>
  <c r="CE6" s="1"/>
  <c r="BD45" i="8"/>
  <c r="BJ45" s="1"/>
  <c r="BD46"/>
  <c r="BJ46" s="1"/>
  <c r="BD47"/>
  <c r="BJ47" s="1"/>
  <c r="BK48"/>
  <c r="I57" i="31" s="1"/>
  <c r="BG48" i="8"/>
  <c r="H57" i="31" s="1"/>
  <c r="BI48" i="8"/>
  <c r="BK51"/>
  <c r="I60" i="31" s="1"/>
  <c r="BI51" i="8"/>
  <c r="BG51"/>
  <c r="H60" i="31" s="1"/>
  <c r="BI45" i="8"/>
  <c r="BG47"/>
  <c r="H56" i="31" s="1"/>
  <c r="BK50" i="8"/>
  <c r="I59" i="31" s="1"/>
  <c r="BG50" i="8"/>
  <c r="H59" i="31" s="1"/>
  <c r="BI50" i="8"/>
  <c r="BK49"/>
  <c r="I58" i="31" s="1"/>
  <c r="BI49" i="8"/>
  <c r="BG49"/>
  <c r="H58" i="31" s="1"/>
  <c r="BK52" i="8"/>
  <c r="I61" i="31" s="1"/>
  <c r="BG52" i="8"/>
  <c r="H61" i="31" s="1"/>
  <c r="BI52" i="8"/>
  <c r="BP24" i="45"/>
  <c r="BP22"/>
  <c r="BP20"/>
  <c r="BP18"/>
  <c r="BP16"/>
  <c r="BP25"/>
  <c r="BP23"/>
  <c r="BP21"/>
  <c r="BP19"/>
  <c r="BP17"/>
  <c r="BR15"/>
  <c r="N49" i="34"/>
  <c r="R49"/>
  <c r="S48"/>
  <c r="T50"/>
  <c r="N50"/>
  <c r="BE46" i="8"/>
  <c r="BF46" s="1"/>
  <c r="BH46" s="1"/>
  <c r="R48" i="34"/>
  <c r="BJ67" i="30"/>
  <c r="Q48" i="34"/>
  <c r="V50"/>
  <c r="O49"/>
  <c r="CH67" i="30"/>
  <c r="AX67"/>
  <c r="M67"/>
  <c r="DR67"/>
  <c r="Z67"/>
  <c r="N67"/>
  <c r="DQ67"/>
  <c r="AK67"/>
  <c r="AW67"/>
  <c r="BI67"/>
  <c r="BU67"/>
  <c r="DE67"/>
  <c r="CG67"/>
  <c r="BV67"/>
  <c r="AL67"/>
  <c r="Y67"/>
  <c r="CS67"/>
  <c r="CT67"/>
  <c r="DF67"/>
  <c r="A6" i="24"/>
  <c r="B6"/>
  <c r="C6"/>
  <c r="D6"/>
  <c r="E6"/>
  <c r="A7"/>
  <c r="B7"/>
  <c r="C7"/>
  <c r="D7"/>
  <c r="E7"/>
  <c r="A8"/>
  <c r="B8"/>
  <c r="C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A37"/>
  <c r="B37"/>
  <c r="C37"/>
  <c r="D37"/>
  <c r="E37"/>
  <c r="A38"/>
  <c r="B38"/>
  <c r="C38"/>
  <c r="D38"/>
  <c r="E38"/>
  <c r="A39"/>
  <c r="B39"/>
  <c r="C39"/>
  <c r="D39"/>
  <c r="E39"/>
  <c r="A40"/>
  <c r="B40"/>
  <c r="C40"/>
  <c r="D40"/>
  <c r="E40"/>
  <c r="A41"/>
  <c r="B41"/>
  <c r="C41"/>
  <c r="D41"/>
  <c r="E41"/>
  <c r="A42"/>
  <c r="B42"/>
  <c r="C42"/>
  <c r="D42"/>
  <c r="E42"/>
  <c r="A43"/>
  <c r="B43"/>
  <c r="C43"/>
  <c r="D43"/>
  <c r="E43"/>
  <c r="A44"/>
  <c r="B44"/>
  <c r="C44"/>
  <c r="D44"/>
  <c r="E44"/>
  <c r="B5"/>
  <c r="C5"/>
  <c r="D5"/>
  <c r="E5"/>
  <c r="A5"/>
  <c r="G54" i="31" l="1"/>
  <c r="BT24" i="44"/>
  <c r="BT22"/>
  <c r="BT20"/>
  <c r="BT18"/>
  <c r="BT16"/>
  <c r="BV15"/>
  <c r="BT23"/>
  <c r="BT19"/>
  <c r="BT25"/>
  <c r="BT21"/>
  <c r="BT17"/>
  <c r="G55" i="31"/>
  <c r="G56"/>
  <c r="BG45" i="8"/>
  <c r="H54" i="31" s="1"/>
  <c r="BI47" i="8"/>
  <c r="BK47"/>
  <c r="I56" i="31" s="1"/>
  <c r="BK45" i="8"/>
  <c r="I54" i="31" s="1"/>
  <c r="BK46" i="8"/>
  <c r="I55" i="31" s="1"/>
  <c r="BG46" i="8"/>
  <c r="H55" i="31" s="1"/>
  <c r="BI46" i="8"/>
  <c r="BR25" i="45"/>
  <c r="BR23"/>
  <c r="BR21"/>
  <c r="BR19"/>
  <c r="BR17"/>
  <c r="BR24"/>
  <c r="BR22"/>
  <c r="BR20"/>
  <c r="BR18"/>
  <c r="BR16"/>
  <c r="BT15"/>
  <c r="C8" i="17"/>
  <c r="BZ4" i="44" l="1"/>
  <c r="CA4" s="1"/>
  <c r="BV4"/>
  <c r="BW4" s="1"/>
  <c r="BR4"/>
  <c r="BS4" s="1"/>
  <c r="BN4"/>
  <c r="BO4" s="1"/>
  <c r="BJ4"/>
  <c r="BK4" s="1"/>
  <c r="BF4"/>
  <c r="BG4" s="1"/>
  <c r="BB4"/>
  <c r="BC4" s="1"/>
  <c r="AX4"/>
  <c r="AY4" s="1"/>
  <c r="AT4"/>
  <c r="AU4" s="1"/>
  <c r="AP4"/>
  <c r="AQ4" s="1"/>
  <c r="AL4"/>
  <c r="AM4" s="1"/>
  <c r="AH4"/>
  <c r="AI4" s="1"/>
  <c r="AD4"/>
  <c r="AE4" s="1"/>
  <c r="Z4"/>
  <c r="AA4" s="1"/>
  <c r="V4"/>
  <c r="W4" s="1"/>
  <c r="R4"/>
  <c r="S4" s="1"/>
  <c r="N4"/>
  <c r="O4" s="1"/>
  <c r="J4"/>
  <c r="K4" s="1"/>
  <c r="F4"/>
  <c r="G4" s="1"/>
  <c r="CB4"/>
  <c r="CC4" s="1"/>
  <c r="BX4"/>
  <c r="BY4" s="1"/>
  <c r="BT4"/>
  <c r="BU4" s="1"/>
  <c r="BP4"/>
  <c r="BQ4" s="1"/>
  <c r="BL4"/>
  <c r="BM4" s="1"/>
  <c r="BH4"/>
  <c r="BI4" s="1"/>
  <c r="BD4"/>
  <c r="BE4" s="1"/>
  <c r="AZ4"/>
  <c r="BA4" s="1"/>
  <c r="AV4"/>
  <c r="AW4" s="1"/>
  <c r="AR4"/>
  <c r="AS4" s="1"/>
  <c r="AN4"/>
  <c r="AO4" s="1"/>
  <c r="AJ4"/>
  <c r="AK4" s="1"/>
  <c r="AF4"/>
  <c r="AG4" s="1"/>
  <c r="AB4"/>
  <c r="AC4" s="1"/>
  <c r="X4"/>
  <c r="Y4" s="1"/>
  <c r="T4"/>
  <c r="U4" s="1"/>
  <c r="P4"/>
  <c r="Q4" s="1"/>
  <c r="L4"/>
  <c r="M4" s="1"/>
  <c r="H4"/>
  <c r="I4" s="1"/>
  <c r="D4"/>
  <c r="E4" s="1"/>
  <c r="BV24"/>
  <c r="BV22"/>
  <c r="BV20"/>
  <c r="BV18"/>
  <c r="BV16"/>
  <c r="BV25"/>
  <c r="BV21"/>
  <c r="BV17"/>
  <c r="BX15"/>
  <c r="BV23"/>
  <c r="BV19"/>
  <c r="BT24" i="45"/>
  <c r="BT22"/>
  <c r="BT20"/>
  <c r="BT18"/>
  <c r="BT16"/>
  <c r="BT25"/>
  <c r="BT23"/>
  <c r="BT21"/>
  <c r="BT19"/>
  <c r="BT17"/>
  <c r="BV15"/>
  <c r="E47" i="34"/>
  <c r="CB5" i="44"/>
  <c r="CC5" s="1"/>
  <c r="C46" i="34"/>
  <c r="BZ3" i="44"/>
  <c r="CJ43" i="6"/>
  <c r="CU43" s="1"/>
  <c r="CI43"/>
  <c r="CT43" s="1"/>
  <c r="E44" i="34"/>
  <c r="BV5" i="44"/>
  <c r="BW5" s="1"/>
  <c r="C42" i="34"/>
  <c r="CJ39" i="6"/>
  <c r="CU39" s="1"/>
  <c r="BR3" i="44"/>
  <c r="CI39" i="6"/>
  <c r="CT39" s="1"/>
  <c r="E41" i="34"/>
  <c r="BP5" i="44"/>
  <c r="BQ5" s="1"/>
  <c r="C41" i="34"/>
  <c r="CJ38" i="6"/>
  <c r="CU38" s="1"/>
  <c r="CI38"/>
  <c r="CT38" s="1"/>
  <c r="BP3" i="44"/>
  <c r="E40" i="34"/>
  <c r="BN5" i="44"/>
  <c r="BO5" s="1"/>
  <c r="E39" i="34"/>
  <c r="BL5" i="44"/>
  <c r="BM5" s="1"/>
  <c r="C39" i="34"/>
  <c r="CJ36" i="6"/>
  <c r="CU36" s="1"/>
  <c r="CI36"/>
  <c r="CT36" s="1"/>
  <c r="BL3" i="44"/>
  <c r="E38" i="34"/>
  <c r="BJ5" i="44"/>
  <c r="BK5" s="1"/>
  <c r="K37" i="34"/>
  <c r="BH11" i="44"/>
  <c r="G37" i="34"/>
  <c r="BH7" i="44"/>
  <c r="E37" i="34"/>
  <c r="BH5" i="44"/>
  <c r="BI5" s="1"/>
  <c r="K36" i="34"/>
  <c r="BF11" i="44"/>
  <c r="G36" i="34"/>
  <c r="BF7" i="44"/>
  <c r="C36" i="34"/>
  <c r="CJ33" i="6"/>
  <c r="CU33" s="1"/>
  <c r="CI33"/>
  <c r="CT33" s="1"/>
  <c r="BF3" i="44"/>
  <c r="K35" i="34"/>
  <c r="BD11" i="44"/>
  <c r="G35" i="34"/>
  <c r="BD7" i="44"/>
  <c r="C35" i="34"/>
  <c r="CJ32" i="6"/>
  <c r="CU32" s="1"/>
  <c r="CI32"/>
  <c r="CT32" s="1"/>
  <c r="BD3" i="44"/>
  <c r="I34" i="34"/>
  <c r="BB9" i="44"/>
  <c r="E34" i="34"/>
  <c r="BB5" i="44"/>
  <c r="BC5" s="1"/>
  <c r="K33" i="34"/>
  <c r="AZ11" i="44"/>
  <c r="G33" i="34"/>
  <c r="AZ7" i="44"/>
  <c r="C33" i="34"/>
  <c r="CJ30" i="6"/>
  <c r="CU30" s="1"/>
  <c r="CI30"/>
  <c r="CT30" s="1"/>
  <c r="AZ3" i="44"/>
  <c r="L37" i="34"/>
  <c r="BH12" i="44"/>
  <c r="J37" i="34"/>
  <c r="BH10" i="44"/>
  <c r="H37" i="34"/>
  <c r="BH8" i="44"/>
  <c r="F37" i="34"/>
  <c r="BH6" i="44"/>
  <c r="BI6" s="1"/>
  <c r="L36" i="34"/>
  <c r="BF12" i="44"/>
  <c r="J36" i="34"/>
  <c r="BF10" i="44"/>
  <c r="H36" i="34"/>
  <c r="BF8" i="44"/>
  <c r="F36" i="34"/>
  <c r="BF6" i="44"/>
  <c r="BG6" s="1"/>
  <c r="L35" i="34"/>
  <c r="BD12" i="44"/>
  <c r="J35" i="34"/>
  <c r="BD10" i="44"/>
  <c r="H35" i="34"/>
  <c r="BD8" i="44"/>
  <c r="F35" i="34"/>
  <c r="BD6" i="44"/>
  <c r="BE6" s="1"/>
  <c r="L34" i="34"/>
  <c r="BB12" i="44"/>
  <c r="J34" i="34"/>
  <c r="BB10" i="44"/>
  <c r="H34" i="34"/>
  <c r="BB8" i="44"/>
  <c r="F34" i="34"/>
  <c r="BB6" i="44"/>
  <c r="BC6" s="1"/>
  <c r="L33" i="34"/>
  <c r="AZ12" i="44"/>
  <c r="J33" i="34"/>
  <c r="AZ10" i="44"/>
  <c r="H33" i="34"/>
  <c r="AZ8" i="44"/>
  <c r="F33" i="34"/>
  <c r="AZ6" i="44"/>
  <c r="BA6" s="1"/>
  <c r="L32" i="34"/>
  <c r="AX12" i="44"/>
  <c r="J32" i="34"/>
  <c r="AX10" i="44"/>
  <c r="H32" i="34"/>
  <c r="AX8" i="44"/>
  <c r="F32" i="34"/>
  <c r="AX6" i="44"/>
  <c r="AY6" s="1"/>
  <c r="L31" i="34"/>
  <c r="AV12" i="44"/>
  <c r="J31" i="34"/>
  <c r="AV10" i="44"/>
  <c r="H31" i="34"/>
  <c r="AV8" i="44"/>
  <c r="F31" i="34"/>
  <c r="AV6" i="44"/>
  <c r="AW6" s="1"/>
  <c r="L30" i="34"/>
  <c r="AT12" i="44"/>
  <c r="J30" i="34"/>
  <c r="AT10" i="44"/>
  <c r="H30" i="34"/>
  <c r="AT8" i="44"/>
  <c r="F30" i="34"/>
  <c r="AT6" i="44"/>
  <c r="AU6" s="1"/>
  <c r="L29" i="34"/>
  <c r="AR12" i="44"/>
  <c r="J29" i="34"/>
  <c r="AR10" i="44"/>
  <c r="H29" i="34"/>
  <c r="AR8" i="44"/>
  <c r="F29" i="34"/>
  <c r="AR6" i="44"/>
  <c r="AS6" s="1"/>
  <c r="L28" i="34"/>
  <c r="AP12" i="44"/>
  <c r="J28" i="34"/>
  <c r="AP10" i="44"/>
  <c r="H28" i="34"/>
  <c r="AP8" i="44"/>
  <c r="F28" i="34"/>
  <c r="AP6" i="44"/>
  <c r="AQ6" s="1"/>
  <c r="L27" i="34"/>
  <c r="AN12" i="44"/>
  <c r="J27" i="34"/>
  <c r="AN10" i="44"/>
  <c r="H27" i="34"/>
  <c r="AN8" i="44"/>
  <c r="F27" i="34"/>
  <c r="AN6" i="44"/>
  <c r="AO6" s="1"/>
  <c r="L26" i="34"/>
  <c r="AL12" i="44"/>
  <c r="J26" i="34"/>
  <c r="AL10" i="44"/>
  <c r="H26" i="34"/>
  <c r="AL8" i="44"/>
  <c r="F26" i="34"/>
  <c r="AL6" i="44"/>
  <c r="AM6" s="1"/>
  <c r="L25" i="34"/>
  <c r="AJ12" i="44"/>
  <c r="J25" i="34"/>
  <c r="AJ10" i="44"/>
  <c r="H25" i="34"/>
  <c r="AJ8" i="44"/>
  <c r="F25" i="34"/>
  <c r="AJ6" i="44"/>
  <c r="AK6" s="1"/>
  <c r="L24" i="34"/>
  <c r="AH12" i="44"/>
  <c r="J24" i="34"/>
  <c r="AH10" i="44"/>
  <c r="H24" i="34"/>
  <c r="AH8" i="44"/>
  <c r="F24" i="34"/>
  <c r="AH6" i="44"/>
  <c r="AI6" s="1"/>
  <c r="L23" i="34"/>
  <c r="AF12" i="44"/>
  <c r="J23" i="34"/>
  <c r="AF10" i="44"/>
  <c r="H23" i="34"/>
  <c r="AF8" i="44"/>
  <c r="F23" i="34"/>
  <c r="AF6" i="44"/>
  <c r="AG6" s="1"/>
  <c r="L22" i="34"/>
  <c r="AD12" i="44"/>
  <c r="J22" i="34"/>
  <c r="AD10" i="44"/>
  <c r="H22" i="34"/>
  <c r="AD8" i="44"/>
  <c r="F22" i="34"/>
  <c r="AD6" i="44"/>
  <c r="AE6" s="1"/>
  <c r="L21" i="34"/>
  <c r="AB12" i="44"/>
  <c r="J21" i="34"/>
  <c r="AB10" i="44"/>
  <c r="H21" i="34"/>
  <c r="AB8" i="44"/>
  <c r="F21" i="34"/>
  <c r="AB6" i="44"/>
  <c r="AC6" s="1"/>
  <c r="L20" i="34"/>
  <c r="Z12" i="44"/>
  <c r="J20" i="34"/>
  <c r="Z10" i="44"/>
  <c r="H20" i="34"/>
  <c r="Z8" i="44"/>
  <c r="F20" i="34"/>
  <c r="Z6" i="44"/>
  <c r="AA6" s="1"/>
  <c r="L19" i="34"/>
  <c r="X12" i="44"/>
  <c r="J19" i="34"/>
  <c r="X10" i="44"/>
  <c r="H19" i="34"/>
  <c r="X8" i="44"/>
  <c r="F19" i="34"/>
  <c r="X6" i="44"/>
  <c r="Y6" s="1"/>
  <c r="L18" i="34"/>
  <c r="V12" i="44"/>
  <c r="J18" i="34"/>
  <c r="V10" i="44"/>
  <c r="H18" i="34"/>
  <c r="V8" i="44"/>
  <c r="F18" i="34"/>
  <c r="V6" i="44"/>
  <c r="W6" s="1"/>
  <c r="L17" i="34"/>
  <c r="T12" i="44"/>
  <c r="J17" i="34"/>
  <c r="T10" i="44"/>
  <c r="H17" i="34"/>
  <c r="T8" i="44"/>
  <c r="F17" i="34"/>
  <c r="T6" i="44"/>
  <c r="U6" s="1"/>
  <c r="L16" i="34"/>
  <c r="R12" i="44"/>
  <c r="J16" i="34"/>
  <c r="R10" i="44"/>
  <c r="H16" i="34"/>
  <c r="R8" i="44"/>
  <c r="F16" i="34"/>
  <c r="R6" i="44"/>
  <c r="S6" s="1"/>
  <c r="L15" i="34"/>
  <c r="P12" i="44"/>
  <c r="J15" i="34"/>
  <c r="P10" i="44"/>
  <c r="H15" i="34"/>
  <c r="P8" i="44"/>
  <c r="F15" i="34"/>
  <c r="P6" i="44"/>
  <c r="Q6" s="1"/>
  <c r="L14" i="34"/>
  <c r="N12" i="44"/>
  <c r="J14" i="34"/>
  <c r="N10" i="44"/>
  <c r="H14" i="34"/>
  <c r="N8" i="44"/>
  <c r="F14" i="34"/>
  <c r="N6" i="44"/>
  <c r="O6" s="1"/>
  <c r="L13" i="34"/>
  <c r="L12" i="44"/>
  <c r="J13" i="34"/>
  <c r="L10" i="44"/>
  <c r="H13" i="34"/>
  <c r="L8" i="44"/>
  <c r="F13" i="34"/>
  <c r="L6" i="44"/>
  <c r="M6" s="1"/>
  <c r="L12" i="34"/>
  <c r="J12" i="44"/>
  <c r="J12" i="34"/>
  <c r="J10" i="44"/>
  <c r="H12" i="34"/>
  <c r="J8" i="44"/>
  <c r="F12" i="34"/>
  <c r="J6" i="44"/>
  <c r="K6" s="1"/>
  <c r="C47" i="34"/>
  <c r="CJ44" i="6"/>
  <c r="CU44" s="1"/>
  <c r="CB3" i="44"/>
  <c r="CI44" i="6"/>
  <c r="CT44" s="1"/>
  <c r="E46" i="34"/>
  <c r="BZ5" i="44"/>
  <c r="CA5" s="1"/>
  <c r="E45" i="34"/>
  <c r="BX5" i="44"/>
  <c r="BY5" s="1"/>
  <c r="C45" i="34"/>
  <c r="CJ42" i="6"/>
  <c r="CU42" s="1"/>
  <c r="CI42"/>
  <c r="CT42" s="1"/>
  <c r="BX3" i="44"/>
  <c r="C44" i="34"/>
  <c r="CJ41" i="6"/>
  <c r="CU41" s="1"/>
  <c r="BV3" i="44"/>
  <c r="CI41" i="6"/>
  <c r="CT41" s="1"/>
  <c r="E43" i="34"/>
  <c r="BT5" i="44"/>
  <c r="BU5" s="1"/>
  <c r="C43" i="34"/>
  <c r="CJ40" i="6"/>
  <c r="CU40" s="1"/>
  <c r="CI40"/>
  <c r="CT40" s="1"/>
  <c r="BT3" i="44"/>
  <c r="E42" i="34"/>
  <c r="BR5" i="44"/>
  <c r="BS5" s="1"/>
  <c r="C40" i="34"/>
  <c r="CJ37" i="6"/>
  <c r="CU37" s="1"/>
  <c r="BN3" i="44"/>
  <c r="CI37" i="6"/>
  <c r="CT37" s="1"/>
  <c r="C38" i="34"/>
  <c r="CJ35" i="6"/>
  <c r="CU35" s="1"/>
  <c r="BJ3" i="44"/>
  <c r="CI35" i="6"/>
  <c r="CT35" s="1"/>
  <c r="I37" i="34"/>
  <c r="BH9" i="44"/>
  <c r="C37" i="34"/>
  <c r="CJ34" i="6"/>
  <c r="CU34" s="1"/>
  <c r="CI34"/>
  <c r="CT34" s="1"/>
  <c r="BH3" i="44"/>
  <c r="I36" i="34"/>
  <c r="BF9" i="44"/>
  <c r="E36" i="34"/>
  <c r="BF5" i="44"/>
  <c r="BG5" s="1"/>
  <c r="I35" i="34"/>
  <c r="BD9" i="44"/>
  <c r="E35" i="34"/>
  <c r="BD5" i="44"/>
  <c r="BE5" s="1"/>
  <c r="K34" i="34"/>
  <c r="BB11" i="44"/>
  <c r="G34" i="34"/>
  <c r="BB7" i="44"/>
  <c r="C34" i="34"/>
  <c r="CJ31" i="6"/>
  <c r="CU31" s="1"/>
  <c r="CI31"/>
  <c r="CT31" s="1"/>
  <c r="BB3" i="44"/>
  <c r="I33" i="34"/>
  <c r="AZ9" i="44"/>
  <c r="E33" i="34"/>
  <c r="AZ5" i="44"/>
  <c r="BA5" s="1"/>
  <c r="K32" i="34"/>
  <c r="AX11" i="44"/>
  <c r="I32" i="34"/>
  <c r="AX9" i="44"/>
  <c r="G32" i="34"/>
  <c r="AX7" i="44"/>
  <c r="E32" i="34"/>
  <c r="AX5" i="44"/>
  <c r="AY5" s="1"/>
  <c r="C32" i="34"/>
  <c r="CJ29" i="6"/>
  <c r="CU29" s="1"/>
  <c r="CI29"/>
  <c r="CT29" s="1"/>
  <c r="AX3" i="44"/>
  <c r="K31" i="34"/>
  <c r="AV11" i="44"/>
  <c r="I31" i="34"/>
  <c r="AV9" i="44"/>
  <c r="G31" i="34"/>
  <c r="AV7" i="44"/>
  <c r="E31" i="34"/>
  <c r="AV5" i="44"/>
  <c r="AW5" s="1"/>
  <c r="C31" i="34"/>
  <c r="CJ28" i="6"/>
  <c r="CU28" s="1"/>
  <c r="CI28"/>
  <c r="CT28" s="1"/>
  <c r="AV3" i="44"/>
  <c r="K30" i="34"/>
  <c r="AT11" i="44"/>
  <c r="I30" i="34"/>
  <c r="AT9" i="44"/>
  <c r="G30" i="34"/>
  <c r="AT7" i="44"/>
  <c r="E30" i="34"/>
  <c r="AT5" i="44"/>
  <c r="AU5" s="1"/>
  <c r="C30" i="34"/>
  <c r="CJ27" i="6"/>
  <c r="CU27" s="1"/>
  <c r="CI27"/>
  <c r="CT27" s="1"/>
  <c r="AT3" i="44"/>
  <c r="K29" i="34"/>
  <c r="AR11" i="44"/>
  <c r="I29" i="34"/>
  <c r="AR9" i="44"/>
  <c r="G29" i="34"/>
  <c r="AR7" i="44"/>
  <c r="E29" i="34"/>
  <c r="AR5" i="44"/>
  <c r="AS5" s="1"/>
  <c r="C29" i="34"/>
  <c r="CJ26" i="6"/>
  <c r="CU26" s="1"/>
  <c r="CI26"/>
  <c r="CT26" s="1"/>
  <c r="AR3" i="44"/>
  <c r="K28" i="34"/>
  <c r="AP11" i="44"/>
  <c r="I28" i="34"/>
  <c r="AP9" i="44"/>
  <c r="G28" i="34"/>
  <c r="AP7" i="44"/>
  <c r="E28" i="34"/>
  <c r="AP5" i="44"/>
  <c r="AQ5" s="1"/>
  <c r="C28" i="34"/>
  <c r="CJ25" i="6"/>
  <c r="CU25" s="1"/>
  <c r="CI25"/>
  <c r="CT25" s="1"/>
  <c r="AP3" i="44"/>
  <c r="K27" i="34"/>
  <c r="AN11" i="44"/>
  <c r="I27" i="34"/>
  <c r="AN9" i="44"/>
  <c r="G27" i="34"/>
  <c r="AN7" i="44"/>
  <c r="E27" i="34"/>
  <c r="AN5" i="44"/>
  <c r="AO5" s="1"/>
  <c r="C27" i="34"/>
  <c r="CJ24" i="6"/>
  <c r="CU24" s="1"/>
  <c r="CI24"/>
  <c r="CT24" s="1"/>
  <c r="AN3" i="44"/>
  <c r="K26" i="34"/>
  <c r="AL11" i="44"/>
  <c r="I26" i="34"/>
  <c r="AL9" i="44"/>
  <c r="G26" i="34"/>
  <c r="AL7" i="44"/>
  <c r="E26" i="34"/>
  <c r="AL5" i="44"/>
  <c r="AM5" s="1"/>
  <c r="C26" i="34"/>
  <c r="CJ23" i="6"/>
  <c r="CU23" s="1"/>
  <c r="CI23"/>
  <c r="CT23" s="1"/>
  <c r="AL3" i="44"/>
  <c r="K25" i="34"/>
  <c r="AJ11" i="44"/>
  <c r="I25" i="34"/>
  <c r="AJ9" i="44"/>
  <c r="G25" i="34"/>
  <c r="AJ7" i="44"/>
  <c r="E25" i="34"/>
  <c r="AJ5" i="44"/>
  <c r="AK5" s="1"/>
  <c r="C25" i="34"/>
  <c r="CJ22" i="6"/>
  <c r="CU22" s="1"/>
  <c r="CI22"/>
  <c r="CT22" s="1"/>
  <c r="AJ3" i="44"/>
  <c r="K24" i="34"/>
  <c r="AH11" i="44"/>
  <c r="I24" i="34"/>
  <c r="AH9" i="44"/>
  <c r="G24" i="34"/>
  <c r="AH7" i="44"/>
  <c r="E24" i="34"/>
  <c r="AH5" i="44"/>
  <c r="AI5" s="1"/>
  <c r="C24" i="34"/>
  <c r="CJ21" i="6"/>
  <c r="CU21" s="1"/>
  <c r="CI21"/>
  <c r="CT21" s="1"/>
  <c r="AH3" i="44"/>
  <c r="K23" i="34"/>
  <c r="AF11" i="44"/>
  <c r="I23" i="34"/>
  <c r="AF9" i="44"/>
  <c r="G23" i="34"/>
  <c r="AF7" i="44"/>
  <c r="E23" i="34"/>
  <c r="AF5" i="44"/>
  <c r="AG5" s="1"/>
  <c r="C23" i="34"/>
  <c r="CJ20" i="6"/>
  <c r="CU20" s="1"/>
  <c r="AF3" i="44"/>
  <c r="CI20" i="6"/>
  <c r="CT20" s="1"/>
  <c r="K22" i="34"/>
  <c r="AD11" i="44"/>
  <c r="I22" i="34"/>
  <c r="AD9" i="44"/>
  <c r="G22" i="34"/>
  <c r="AD7" i="44"/>
  <c r="E22" i="34"/>
  <c r="AD5" i="44"/>
  <c r="AE5" s="1"/>
  <c r="C22" i="34"/>
  <c r="CJ19" i="6"/>
  <c r="CU19" s="1"/>
  <c r="CI19"/>
  <c r="CT19" s="1"/>
  <c r="AD3" i="44"/>
  <c r="K21" i="34"/>
  <c r="AB11" i="44"/>
  <c r="I21" i="34"/>
  <c r="AB9" i="44"/>
  <c r="G21" i="34"/>
  <c r="AB7" i="44"/>
  <c r="E21" i="34"/>
  <c r="AB5" i="44"/>
  <c r="AC5" s="1"/>
  <c r="C21" i="34"/>
  <c r="CJ18" i="6"/>
  <c r="CU18" s="1"/>
  <c r="CI18"/>
  <c r="CT18" s="1"/>
  <c r="AB3" i="44"/>
  <c r="K20" i="34"/>
  <c r="Z11" i="44"/>
  <c r="I20" i="34"/>
  <c r="Z9" i="44"/>
  <c r="G20" i="34"/>
  <c r="Z7" i="44"/>
  <c r="E20" i="34"/>
  <c r="Z5" i="44"/>
  <c r="AA5" s="1"/>
  <c r="C20" i="34"/>
  <c r="CJ17" i="6"/>
  <c r="CU17" s="1"/>
  <c r="CI17"/>
  <c r="CT17" s="1"/>
  <c r="Z3" i="44"/>
  <c r="K19" i="34"/>
  <c r="X11" i="44"/>
  <c r="I19" i="34"/>
  <c r="X9" i="44"/>
  <c r="G19" i="34"/>
  <c r="X7" i="44"/>
  <c r="E19" i="34"/>
  <c r="X5" i="44"/>
  <c r="Y5" s="1"/>
  <c r="C19" i="34"/>
  <c r="CJ16" i="6"/>
  <c r="CU16" s="1"/>
  <c r="CI16"/>
  <c r="CT16" s="1"/>
  <c r="X3" i="44"/>
  <c r="K18" i="34"/>
  <c r="V11" i="44"/>
  <c r="I18" i="34"/>
  <c r="V9" i="44"/>
  <c r="G18" i="34"/>
  <c r="V7" i="44"/>
  <c r="E18" i="34"/>
  <c r="V5" i="44"/>
  <c r="W5" s="1"/>
  <c r="C18" i="34"/>
  <c r="CJ15" i="6"/>
  <c r="CU15" s="1"/>
  <c r="CI15"/>
  <c r="CT15" s="1"/>
  <c r="V3" i="44"/>
  <c r="K17" i="34"/>
  <c r="T11" i="44"/>
  <c r="I17" i="34"/>
  <c r="T9" i="44"/>
  <c r="G17" i="34"/>
  <c r="T7" i="44"/>
  <c r="E17" i="34"/>
  <c r="T5" i="44"/>
  <c r="U5" s="1"/>
  <c r="C17" i="34"/>
  <c r="CJ14" i="6"/>
  <c r="CU14" s="1"/>
  <c r="CI14"/>
  <c r="CT14" s="1"/>
  <c r="T3" i="44"/>
  <c r="K16" i="34"/>
  <c r="R11" i="44"/>
  <c r="I16" i="34"/>
  <c r="R9" i="44"/>
  <c r="G16" i="34"/>
  <c r="R7" i="44"/>
  <c r="E16" i="34"/>
  <c r="R5" i="44"/>
  <c r="S5" s="1"/>
  <c r="C16" i="34"/>
  <c r="CJ13" i="6"/>
  <c r="CU13" s="1"/>
  <c r="CI13"/>
  <c r="CT13" s="1"/>
  <c r="R3" i="44"/>
  <c r="K15" i="34"/>
  <c r="P11" i="44"/>
  <c r="I15" i="34"/>
  <c r="P9" i="44"/>
  <c r="G15" i="34"/>
  <c r="P7" i="44"/>
  <c r="E15" i="34"/>
  <c r="P5" i="44"/>
  <c r="Q5" s="1"/>
  <c r="C15" i="34"/>
  <c r="CJ12" i="6"/>
  <c r="CU12" s="1"/>
  <c r="CI12"/>
  <c r="CT12" s="1"/>
  <c r="P3" i="44"/>
  <c r="K14" i="34"/>
  <c r="N11" i="44"/>
  <c r="I14" i="34"/>
  <c r="N9" i="44"/>
  <c r="G14" i="34"/>
  <c r="N7" i="44"/>
  <c r="E14" i="34"/>
  <c r="N5" i="44"/>
  <c r="O5" s="1"/>
  <c r="C14" i="34"/>
  <c r="CJ11" i="6"/>
  <c r="CU11" s="1"/>
  <c r="CI11"/>
  <c r="CT11" s="1"/>
  <c r="N3" i="44"/>
  <c r="K13" i="34"/>
  <c r="L11" i="44"/>
  <c r="I13" i="34"/>
  <c r="L9" i="44"/>
  <c r="G13" i="34"/>
  <c r="L7" i="44"/>
  <c r="E13" i="34"/>
  <c r="L5" i="44"/>
  <c r="M5" s="1"/>
  <c r="C13" i="34"/>
  <c r="CJ10" i="6"/>
  <c r="CU10" s="1"/>
  <c r="CI10"/>
  <c r="CT10" s="1"/>
  <c r="L3" i="44"/>
  <c r="K12" i="34"/>
  <c r="J11" i="44"/>
  <c r="I12" i="34"/>
  <c r="J9" i="44"/>
  <c r="G12" i="34"/>
  <c r="J7" i="44"/>
  <c r="E12" i="34"/>
  <c r="J5" i="44"/>
  <c r="K5" s="1"/>
  <c r="C12" i="34"/>
  <c r="CJ9" i="6"/>
  <c r="CU9" s="1"/>
  <c r="CI9"/>
  <c r="CT9" s="1"/>
  <c r="J3" i="44"/>
  <c r="E11" i="34"/>
  <c r="H5" i="44"/>
  <c r="I5" s="1"/>
  <c r="C11" i="34"/>
  <c r="CJ8" i="6"/>
  <c r="CU8" s="1"/>
  <c r="CI8"/>
  <c r="CT8" s="1"/>
  <c r="H3" i="44"/>
  <c r="CJ7" i="6"/>
  <c r="CU7" s="1"/>
  <c r="CI7"/>
  <c r="CT7" s="1"/>
  <c r="CJ6"/>
  <c r="CU6" s="1"/>
  <c r="CI6"/>
  <c r="CT6" s="1"/>
  <c r="L47" i="34"/>
  <c r="CB12" i="44"/>
  <c r="L45" i="34"/>
  <c r="BX12" i="44"/>
  <c r="L43" i="34"/>
  <c r="BT12" i="44"/>
  <c r="L41" i="34"/>
  <c r="BP12" i="44"/>
  <c r="L39" i="34"/>
  <c r="BL12" i="44"/>
  <c r="L11" i="34"/>
  <c r="H12" i="44"/>
  <c r="L10" i="34"/>
  <c r="F12" i="44"/>
  <c r="L9" i="34"/>
  <c r="D12" i="44"/>
  <c r="L46" i="34"/>
  <c r="BZ12" i="44"/>
  <c r="L44" i="34"/>
  <c r="BV12" i="44"/>
  <c r="L42" i="34"/>
  <c r="BR12" i="44"/>
  <c r="L40" i="34"/>
  <c r="BN12" i="44"/>
  <c r="L38" i="34"/>
  <c r="BJ12" i="44"/>
  <c r="L8" i="34"/>
  <c r="B12" i="44"/>
  <c r="K43" i="34"/>
  <c r="BT11" i="44"/>
  <c r="K41" i="34"/>
  <c r="BP11" i="44"/>
  <c r="K40" i="34"/>
  <c r="BN11" i="44"/>
  <c r="K8" i="34"/>
  <c r="B11" i="44"/>
  <c r="K47" i="34"/>
  <c r="CB11" i="44"/>
  <c r="K46" i="34"/>
  <c r="BZ11" i="44"/>
  <c r="K45" i="34"/>
  <c r="BX11" i="44"/>
  <c r="K44" i="34"/>
  <c r="BV11" i="44"/>
  <c r="K42" i="34"/>
  <c r="BR11" i="44"/>
  <c r="K39" i="34"/>
  <c r="BL11" i="44"/>
  <c r="K38" i="34"/>
  <c r="BJ11" i="44"/>
  <c r="K11" i="34"/>
  <c r="H11" i="44"/>
  <c r="K10" i="34"/>
  <c r="F11" i="44"/>
  <c r="K9" i="34"/>
  <c r="D11" i="44"/>
  <c r="J46" i="34"/>
  <c r="BZ10" i="44"/>
  <c r="J45" i="34"/>
  <c r="BX10" i="44"/>
  <c r="J42" i="34"/>
  <c r="BR10" i="44"/>
  <c r="J39" i="34"/>
  <c r="BL10" i="44"/>
  <c r="J38" i="34"/>
  <c r="BJ10" i="44"/>
  <c r="J11" i="34"/>
  <c r="H10" i="44"/>
  <c r="J10" i="34"/>
  <c r="F10" i="44"/>
  <c r="J9" i="34"/>
  <c r="D10" i="44"/>
  <c r="J47" i="34"/>
  <c r="CB10" i="44"/>
  <c r="J44" i="34"/>
  <c r="BV10" i="44"/>
  <c r="J43" i="34"/>
  <c r="BT10" i="44"/>
  <c r="J41" i="34"/>
  <c r="BP10" i="44"/>
  <c r="J40" i="34"/>
  <c r="BN10" i="44"/>
  <c r="J8" i="34"/>
  <c r="B10" i="44"/>
  <c r="I47" i="34"/>
  <c r="CB9" i="44"/>
  <c r="I46" i="34"/>
  <c r="BZ9" i="44"/>
  <c r="I45" i="34"/>
  <c r="BX9" i="44"/>
  <c r="I44" i="34"/>
  <c r="BV9" i="44"/>
  <c r="I43" i="34"/>
  <c r="BT9" i="44"/>
  <c r="I42" i="34"/>
  <c r="BR9" i="44"/>
  <c r="I41" i="34"/>
  <c r="BP9" i="44"/>
  <c r="I40" i="34"/>
  <c r="BN9" i="44"/>
  <c r="I39" i="34"/>
  <c r="BL9" i="44"/>
  <c r="I38" i="34"/>
  <c r="BJ9" i="44"/>
  <c r="I8" i="34"/>
  <c r="B9" i="44"/>
  <c r="I11" i="34"/>
  <c r="H9" i="44"/>
  <c r="I10" i="34"/>
  <c r="F9" i="44"/>
  <c r="I9" i="34"/>
  <c r="D9" i="44"/>
  <c r="H47" i="34"/>
  <c r="CB8" i="44"/>
  <c r="H45" i="34"/>
  <c r="BX8" i="44"/>
  <c r="H43" i="34"/>
  <c r="BT8" i="44"/>
  <c r="H41" i="34"/>
  <c r="BP8" i="44"/>
  <c r="H38" i="34"/>
  <c r="BJ8" i="44"/>
  <c r="H11" i="34"/>
  <c r="H8" i="44"/>
  <c r="H10" i="34"/>
  <c r="F8" i="44"/>
  <c r="H9" i="34"/>
  <c r="D8" i="44"/>
  <c r="H46" i="34"/>
  <c r="BZ8" i="44"/>
  <c r="H44" i="34"/>
  <c r="BV8" i="44"/>
  <c r="H42" i="34"/>
  <c r="BR8" i="44"/>
  <c r="H40" i="34"/>
  <c r="BN8" i="44"/>
  <c r="H39" i="34"/>
  <c r="BL8" i="44"/>
  <c r="H8" i="34"/>
  <c r="B8" i="44"/>
  <c r="G47" i="34"/>
  <c r="CB7" i="44"/>
  <c r="G46" i="34"/>
  <c r="BZ7" i="44"/>
  <c r="G45" i="34"/>
  <c r="BX7" i="44"/>
  <c r="G44" i="34"/>
  <c r="BV7" i="44"/>
  <c r="G43" i="34"/>
  <c r="BT7" i="44"/>
  <c r="G42" i="34"/>
  <c r="BR7" i="44"/>
  <c r="G41" i="34"/>
  <c r="BP7" i="44"/>
  <c r="G40" i="34"/>
  <c r="BN7" i="44"/>
  <c r="G39" i="34"/>
  <c r="BL7" i="44"/>
  <c r="G38" i="34"/>
  <c r="BJ7" i="44"/>
  <c r="G8" i="34"/>
  <c r="B7" i="44"/>
  <c r="G11" i="34"/>
  <c r="H7" i="44"/>
  <c r="G10" i="34"/>
  <c r="F7" i="44"/>
  <c r="G9" i="34"/>
  <c r="D7" i="44"/>
  <c r="F11" i="34"/>
  <c r="H6" i="44"/>
  <c r="I6" s="1"/>
  <c r="F10" i="34"/>
  <c r="F6" i="44"/>
  <c r="G6" s="1"/>
  <c r="F9" i="34"/>
  <c r="D6" i="44"/>
  <c r="E6" s="1"/>
  <c r="F47" i="34"/>
  <c r="CB6" i="44"/>
  <c r="CC6" s="1"/>
  <c r="F46" i="34"/>
  <c r="BZ6" i="44"/>
  <c r="CA6" s="1"/>
  <c r="F45" i="34"/>
  <c r="BX6" i="44"/>
  <c r="BY6" s="1"/>
  <c r="F44" i="34"/>
  <c r="BV6" i="44"/>
  <c r="BW6" s="1"/>
  <c r="F43" i="34"/>
  <c r="BT6" i="44"/>
  <c r="BU6" s="1"/>
  <c r="F42" i="34"/>
  <c r="BR6" i="44"/>
  <c r="BS6" s="1"/>
  <c r="F41" i="34"/>
  <c r="BP6" i="44"/>
  <c r="BQ6" s="1"/>
  <c r="F40" i="34"/>
  <c r="BN6" i="44"/>
  <c r="BO6" s="1"/>
  <c r="F39" i="34"/>
  <c r="BL6" i="44"/>
  <c r="BM6" s="1"/>
  <c r="F38" i="34"/>
  <c r="BJ6" i="44"/>
  <c r="BK6" s="1"/>
  <c r="F8" i="34"/>
  <c r="B6" i="44"/>
  <c r="C6" s="1"/>
  <c r="E10" i="34"/>
  <c r="F5" i="44"/>
  <c r="G5" s="1"/>
  <c r="E9" i="34"/>
  <c r="D5" i="44"/>
  <c r="E5" s="1"/>
  <c r="C10" i="34"/>
  <c r="F3" i="44"/>
  <c r="C9" i="34"/>
  <c r="D3" i="44"/>
  <c r="D47" i="34"/>
  <c r="CH44" i="6"/>
  <c r="D44" i="34"/>
  <c r="CH41" i="6"/>
  <c r="D43" i="34"/>
  <c r="CH40" i="6"/>
  <c r="D40" i="34"/>
  <c r="CH37" i="6"/>
  <c r="D39" i="34"/>
  <c r="CH36" i="6"/>
  <c r="D37" i="34"/>
  <c r="CH34" i="6"/>
  <c r="D36" i="34"/>
  <c r="CH33" i="6"/>
  <c r="D34" i="34"/>
  <c r="CH31" i="6"/>
  <c r="D33" i="34"/>
  <c r="CH30" i="6"/>
  <c r="D31" i="34"/>
  <c r="CH28" i="6"/>
  <c r="D30" i="34"/>
  <c r="CH27" i="6"/>
  <c r="D29" i="34"/>
  <c r="CH26" i="6"/>
  <c r="D28" i="34"/>
  <c r="CH25" i="6"/>
  <c r="D27" i="34"/>
  <c r="CH24" i="6"/>
  <c r="D26" i="34"/>
  <c r="CH23" i="6"/>
  <c r="D25" i="34"/>
  <c r="CH22" i="6"/>
  <c r="D24" i="34"/>
  <c r="CH21" i="6"/>
  <c r="D23" i="34"/>
  <c r="CH20" i="6"/>
  <c r="D22" i="34"/>
  <c r="CH19" i="6"/>
  <c r="D21" i="34"/>
  <c r="CH18" i="6"/>
  <c r="D20" i="34"/>
  <c r="CH17" i="6"/>
  <c r="D19" i="34"/>
  <c r="CH16" i="6"/>
  <c r="D18" i="34"/>
  <c r="CH15" i="6"/>
  <c r="D17" i="34"/>
  <c r="CH14" i="6"/>
  <c r="D16" i="34"/>
  <c r="CH13" i="6"/>
  <c r="D15" i="34"/>
  <c r="CH12" i="6"/>
  <c r="D14" i="34"/>
  <c r="CH11" i="6"/>
  <c r="D13" i="34"/>
  <c r="CH10" i="6"/>
  <c r="D12" i="34"/>
  <c r="CH9" i="6"/>
  <c r="D11" i="34"/>
  <c r="CH8" i="6"/>
  <c r="D10" i="34"/>
  <c r="CH7" i="6"/>
  <c r="D9" i="34"/>
  <c r="CH6" i="6"/>
  <c r="D46" i="34"/>
  <c r="CH43" i="6"/>
  <c r="D45" i="34"/>
  <c r="CH42" i="6"/>
  <c r="D42" i="34"/>
  <c r="CH39" i="6"/>
  <c r="D41" i="34"/>
  <c r="CH38" i="6"/>
  <c r="D38" i="34"/>
  <c r="CH35" i="6"/>
  <c r="D35" i="34"/>
  <c r="CH32" i="6"/>
  <c r="D32" i="34"/>
  <c r="CH29" i="6"/>
  <c r="E1" i="37"/>
  <c r="E1" i="36"/>
  <c r="G1" i="37"/>
  <c r="G1" i="36"/>
  <c r="I1" i="37"/>
  <c r="I1" i="36"/>
  <c r="K1" i="37"/>
  <c r="K1" i="36"/>
  <c r="M1" i="37"/>
  <c r="M1" i="36"/>
  <c r="O1" i="37"/>
  <c r="O1" i="36"/>
  <c r="R1" i="37"/>
  <c r="R1" i="36"/>
  <c r="T1" i="37"/>
  <c r="T1" i="36"/>
  <c r="V1" i="37"/>
  <c r="V1" i="36"/>
  <c r="X1" i="37"/>
  <c r="X1" i="36"/>
  <c r="Z1" i="37"/>
  <c r="Z1" i="36"/>
  <c r="AB1" i="37"/>
  <c r="AB1" i="36"/>
  <c r="AD1" i="37"/>
  <c r="AD1" i="36"/>
  <c r="AF1" i="37"/>
  <c r="AF1" i="36"/>
  <c r="AH1" i="37"/>
  <c r="AH1" i="36"/>
  <c r="AJ1" i="37"/>
  <c r="AJ1" i="36"/>
  <c r="AL1" i="37"/>
  <c r="AL1" i="36"/>
  <c r="AN1" i="37"/>
  <c r="AN1" i="36"/>
  <c r="AP1" i="37"/>
  <c r="AP1" i="36"/>
  <c r="Q1" i="37"/>
  <c r="Q1" i="36"/>
  <c r="D1" i="37"/>
  <c r="D1" i="36"/>
  <c r="F1" i="37"/>
  <c r="F1" i="36"/>
  <c r="H1" i="37"/>
  <c r="H1" i="36"/>
  <c r="J1" i="37"/>
  <c r="J1" i="36"/>
  <c r="L1" i="37"/>
  <c r="L1" i="36"/>
  <c r="N1" i="37"/>
  <c r="N1" i="36"/>
  <c r="P1" i="37"/>
  <c r="P1" i="36"/>
  <c r="S1" i="37"/>
  <c r="S1" i="36"/>
  <c r="U1" i="37"/>
  <c r="U1" i="36"/>
  <c r="W1" i="37"/>
  <c r="W1" i="36"/>
  <c r="Y1" i="37"/>
  <c r="Y1" i="36"/>
  <c r="AA1" i="37"/>
  <c r="AA1" i="36"/>
  <c r="AC1" i="37"/>
  <c r="AC1" i="36"/>
  <c r="AE1" i="37"/>
  <c r="AE1" i="36"/>
  <c r="AG1" i="37"/>
  <c r="AG1" i="36"/>
  <c r="AI1" i="37"/>
  <c r="AI1" i="36"/>
  <c r="AK1" i="37"/>
  <c r="AK1" i="36"/>
  <c r="AM1" i="37"/>
  <c r="AM1" i="36"/>
  <c r="AO1" i="37"/>
  <c r="AO1" i="36"/>
  <c r="AQ1" i="37"/>
  <c r="AQ1" i="36"/>
  <c r="D1" i="27"/>
  <c r="D1" i="23"/>
  <c r="D1" i="35"/>
  <c r="H1" i="27"/>
  <c r="H1" i="23"/>
  <c r="H1" i="35"/>
  <c r="J1" i="27"/>
  <c r="J1" i="23"/>
  <c r="J1" i="35"/>
  <c r="N1" i="27"/>
  <c r="N1" i="23"/>
  <c r="N1" i="35"/>
  <c r="S1" i="27"/>
  <c r="S1" i="23"/>
  <c r="S1" i="35"/>
  <c r="W1" i="27"/>
  <c r="W1" i="23"/>
  <c r="W1" i="35"/>
  <c r="AA1" i="27"/>
  <c r="AA1" i="23"/>
  <c r="AA1" i="35"/>
  <c r="E1" i="27"/>
  <c r="E1" i="35"/>
  <c r="E1" i="23"/>
  <c r="G1" i="27"/>
  <c r="G1" i="23"/>
  <c r="G1" i="35"/>
  <c r="I1" i="27"/>
  <c r="I1" i="23"/>
  <c r="I1" i="35"/>
  <c r="K1" i="27"/>
  <c r="K1" i="23"/>
  <c r="K1" i="35"/>
  <c r="M1" i="27"/>
  <c r="M1" i="23"/>
  <c r="M1" i="35"/>
  <c r="O1" i="27"/>
  <c r="O1" i="23"/>
  <c r="O1" i="35"/>
  <c r="R1" i="27"/>
  <c r="R1" i="23"/>
  <c r="R1" i="35"/>
  <c r="T1" i="27"/>
  <c r="T1" i="23"/>
  <c r="T1" i="35"/>
  <c r="V1" i="27"/>
  <c r="V1" i="23"/>
  <c r="V1" i="35"/>
  <c r="X1" i="27"/>
  <c r="X1" i="23"/>
  <c r="X1" i="35"/>
  <c r="Z1" i="27"/>
  <c r="Z1" i="23"/>
  <c r="Z1" i="35"/>
  <c r="AB1" i="27"/>
  <c r="AB1" i="23"/>
  <c r="AB1" i="35"/>
  <c r="AD1" i="27"/>
  <c r="AD1" i="23"/>
  <c r="AD1" i="35"/>
  <c r="AF1" i="27"/>
  <c r="AF1" i="23"/>
  <c r="AF1" i="35"/>
  <c r="AH1" i="27"/>
  <c r="AH1" i="23"/>
  <c r="AH1" i="35"/>
  <c r="AJ1" i="27"/>
  <c r="AJ1" i="23"/>
  <c r="AJ1" i="35"/>
  <c r="AL1" i="27"/>
  <c r="AL1" i="23"/>
  <c r="AL1" i="35"/>
  <c r="AN1" i="27"/>
  <c r="AN1" i="23"/>
  <c r="AN1" i="35"/>
  <c r="AP1" i="21"/>
  <c r="AP1" i="27"/>
  <c r="AP1" i="23"/>
  <c r="AP1" i="35"/>
  <c r="Q1" i="27"/>
  <c r="Q1" i="23"/>
  <c r="Q1" i="35"/>
  <c r="F1" i="27"/>
  <c r="F1" i="23"/>
  <c r="F1" i="35"/>
  <c r="L1" i="27"/>
  <c r="L1" i="23"/>
  <c r="L1" i="35"/>
  <c r="P1" i="27"/>
  <c r="P1" i="23"/>
  <c r="P1" i="35"/>
  <c r="U1" i="27"/>
  <c r="U1" i="23"/>
  <c r="U1" i="35"/>
  <c r="Y1" i="27"/>
  <c r="Y1" i="23"/>
  <c r="Y1" i="35"/>
  <c r="AC1" i="27"/>
  <c r="AC1" i="23"/>
  <c r="AC1" i="35"/>
  <c r="AE1" i="27"/>
  <c r="AE1" i="23"/>
  <c r="AE1" i="35"/>
  <c r="AG1" i="27"/>
  <c r="AG1" i="23"/>
  <c r="AG1" i="35"/>
  <c r="AI1" i="27"/>
  <c r="AI1" i="23"/>
  <c r="AI1" i="35"/>
  <c r="AK1" i="27"/>
  <c r="AK1" i="35"/>
  <c r="AK1" i="23"/>
  <c r="AM1" i="27"/>
  <c r="AM1" i="35"/>
  <c r="AM1" i="23"/>
  <c r="AO1" i="27"/>
  <c r="AO1" i="35"/>
  <c r="AO1" i="23"/>
  <c r="AQ1" i="21"/>
  <c r="AQ1" i="27"/>
  <c r="AQ1" i="35"/>
  <c r="AQ1" i="23"/>
  <c r="AN1" i="21"/>
  <c r="AL1"/>
  <c r="AO1"/>
  <c r="AM1"/>
  <c r="AK1"/>
  <c r="AI1"/>
  <c r="AG1"/>
  <c r="AE1"/>
  <c r="AC1"/>
  <c r="AA1"/>
  <c r="Y1"/>
  <c r="W1"/>
  <c r="U1"/>
  <c r="S1"/>
  <c r="Q1"/>
  <c r="O1"/>
  <c r="M1"/>
  <c r="K1"/>
  <c r="I1"/>
  <c r="G1"/>
  <c r="E1"/>
  <c r="D1"/>
  <c r="AJ1"/>
  <c r="AH1"/>
  <c r="AF1"/>
  <c r="AD1"/>
  <c r="AB1"/>
  <c r="Z1"/>
  <c r="X1"/>
  <c r="V1"/>
  <c r="T1"/>
  <c r="R1"/>
  <c r="P1"/>
  <c r="N1"/>
  <c r="L1"/>
  <c r="J1"/>
  <c r="H1"/>
  <c r="F1"/>
  <c r="B4" i="44" l="1"/>
  <c r="C4" s="1"/>
  <c r="D8" i="34"/>
  <c r="B5" i="44"/>
  <c r="C5" s="1"/>
  <c r="E8" i="34"/>
  <c r="CM32" i="6"/>
  <c r="CP32" s="1"/>
  <c r="CM38"/>
  <c r="CP38"/>
  <c r="CM42"/>
  <c r="CP42"/>
  <c r="CV42" s="1"/>
  <c r="CM6"/>
  <c r="CP6" s="1"/>
  <c r="CQ6" s="1"/>
  <c r="CS6" s="1"/>
  <c r="CM8"/>
  <c r="CP8" s="1"/>
  <c r="CM10"/>
  <c r="CP10" s="1"/>
  <c r="CM12"/>
  <c r="CP12" s="1"/>
  <c r="CM14"/>
  <c r="CP14" s="1"/>
  <c r="CM16"/>
  <c r="CP16" s="1"/>
  <c r="CM18"/>
  <c r="CP18" s="1"/>
  <c r="CM20"/>
  <c r="CP20" s="1"/>
  <c r="CM22"/>
  <c r="CP22" s="1"/>
  <c r="CM24"/>
  <c r="CP24" s="1"/>
  <c r="CM26"/>
  <c r="CP26" s="1"/>
  <c r="CM28"/>
  <c r="CP28" s="1"/>
  <c r="CM31"/>
  <c r="CP31" s="1"/>
  <c r="CM34"/>
  <c r="CP34" s="1"/>
  <c r="CM37"/>
  <c r="CP37"/>
  <c r="CM41"/>
  <c r="CP41"/>
  <c r="CV41" s="1"/>
  <c r="CM29"/>
  <c r="CP29" s="1"/>
  <c r="CM35"/>
  <c r="CP35" s="1"/>
  <c r="CM39"/>
  <c r="CP39"/>
  <c r="CM43"/>
  <c r="CP43"/>
  <c r="CV43" s="1"/>
  <c r="CM7"/>
  <c r="CP7" s="1"/>
  <c r="CM9"/>
  <c r="CP9" s="1"/>
  <c r="CM11"/>
  <c r="CP11" s="1"/>
  <c r="CM13"/>
  <c r="CP13" s="1"/>
  <c r="CM15"/>
  <c r="CP15" s="1"/>
  <c r="CM17"/>
  <c r="CP17" s="1"/>
  <c r="CM19"/>
  <c r="CP19"/>
  <c r="CM21"/>
  <c r="CP21"/>
  <c r="CM23"/>
  <c r="CP23"/>
  <c r="CM25"/>
  <c r="CP25"/>
  <c r="CM27"/>
  <c r="CP27"/>
  <c r="CM30"/>
  <c r="CP30"/>
  <c r="CM33"/>
  <c r="CP33"/>
  <c r="CM36"/>
  <c r="CP36"/>
  <c r="CM40"/>
  <c r="CP40"/>
  <c r="CV40" s="1"/>
  <c r="CM44"/>
  <c r="CP44"/>
  <c r="CV44" s="1"/>
  <c r="BX24" i="44"/>
  <c r="BX22"/>
  <c r="BX20"/>
  <c r="BX18"/>
  <c r="BX16"/>
  <c r="BZ15"/>
  <c r="BX23"/>
  <c r="BX19"/>
  <c r="BX25"/>
  <c r="BX21"/>
  <c r="BX17"/>
  <c r="BV25" i="45"/>
  <c r="BV23"/>
  <c r="BV21"/>
  <c r="BV19"/>
  <c r="BV17"/>
  <c r="BV24"/>
  <c r="BV22"/>
  <c r="BV20"/>
  <c r="BV18"/>
  <c r="BV16"/>
  <c r="BX15"/>
  <c r="I12" i="44"/>
  <c r="I11"/>
  <c r="I8"/>
  <c r="I3"/>
  <c r="CW8" i="6" s="1"/>
  <c r="I10" i="44"/>
  <c r="I9"/>
  <c r="I7"/>
  <c r="K9"/>
  <c r="K7"/>
  <c r="K3"/>
  <c r="CW9" i="6" s="1"/>
  <c r="K12" i="44"/>
  <c r="K11"/>
  <c r="K10"/>
  <c r="K8"/>
  <c r="M3"/>
  <c r="CW10" i="6" s="1"/>
  <c r="M11" i="44"/>
  <c r="M10"/>
  <c r="M9"/>
  <c r="M12"/>
  <c r="M8"/>
  <c r="M7"/>
  <c r="O12"/>
  <c r="O10"/>
  <c r="O8"/>
  <c r="O7"/>
  <c r="O3"/>
  <c r="CW11" i="6" s="1"/>
  <c r="O11" i="44"/>
  <c r="O9"/>
  <c r="Q3"/>
  <c r="CW12" i="6" s="1"/>
  <c r="Q11" i="44"/>
  <c r="Q9"/>
  <c r="Q8"/>
  <c r="Q12"/>
  <c r="Q10"/>
  <c r="Q7"/>
  <c r="S3"/>
  <c r="CW13" i="6" s="1"/>
  <c r="S11" i="44"/>
  <c r="S7"/>
  <c r="S12"/>
  <c r="S10"/>
  <c r="S9"/>
  <c r="S8"/>
  <c r="U12"/>
  <c r="U10"/>
  <c r="U3"/>
  <c r="CW14" i="6" s="1"/>
  <c r="U11" i="44"/>
  <c r="U9"/>
  <c r="U8"/>
  <c r="U7"/>
  <c r="W3"/>
  <c r="CW15" i="6" s="1"/>
  <c r="W12" i="44"/>
  <c r="W11"/>
  <c r="W10"/>
  <c r="W9"/>
  <c r="W8"/>
  <c r="W7"/>
  <c r="Y12"/>
  <c r="Y8"/>
  <c r="Y3"/>
  <c r="CW16" i="6" s="1"/>
  <c r="Y11" i="44"/>
  <c r="Y10"/>
  <c r="Y9"/>
  <c r="Y7"/>
  <c r="AA11"/>
  <c r="AA9"/>
  <c r="AA7"/>
  <c r="AA3"/>
  <c r="CW17" i="6" s="1"/>
  <c r="AA12" i="44"/>
  <c r="AA10"/>
  <c r="AA8"/>
  <c r="AC3"/>
  <c r="CW18" i="6" s="1"/>
  <c r="AC10" i="44"/>
  <c r="AC9"/>
  <c r="AC12"/>
  <c r="AC11"/>
  <c r="AC8"/>
  <c r="AC7"/>
  <c r="AE12"/>
  <c r="AE10"/>
  <c r="AE8"/>
  <c r="AE7"/>
  <c r="AE3"/>
  <c r="CW19" i="6" s="1"/>
  <c r="AE11" i="44"/>
  <c r="AE9"/>
  <c r="AI3"/>
  <c r="CW21" i="6" s="1"/>
  <c r="AI11" i="44"/>
  <c r="AI7"/>
  <c r="AI12"/>
  <c r="AI10"/>
  <c r="AI9"/>
  <c r="AI8"/>
  <c r="AK9"/>
  <c r="AK12"/>
  <c r="AK10"/>
  <c r="AK3"/>
  <c r="CW22" i="6" s="1"/>
  <c r="AK11" i="44"/>
  <c r="AK8"/>
  <c r="AK7"/>
  <c r="AM3"/>
  <c r="CW23" i="6" s="1"/>
  <c r="AM12" i="44"/>
  <c r="AM10"/>
  <c r="AM9"/>
  <c r="AM8"/>
  <c r="AM7"/>
  <c r="AM11"/>
  <c r="AO12"/>
  <c r="AO11"/>
  <c r="AO8"/>
  <c r="AO3"/>
  <c r="CW24" i="6" s="1"/>
  <c r="AO10" i="44"/>
  <c r="AO9"/>
  <c r="AO7"/>
  <c r="AQ9"/>
  <c r="AQ7"/>
  <c r="AQ3"/>
  <c r="CW25" i="6" s="1"/>
  <c r="AQ12" i="44"/>
  <c r="AQ11"/>
  <c r="AQ10"/>
  <c r="AQ8"/>
  <c r="AS3"/>
  <c r="CW26" i="6" s="1"/>
  <c r="AS11" i="44"/>
  <c r="AS10"/>
  <c r="AS12"/>
  <c r="AS9"/>
  <c r="AS8"/>
  <c r="AS7"/>
  <c r="AU12"/>
  <c r="AU10"/>
  <c r="AU9"/>
  <c r="AU8"/>
  <c r="AU7"/>
  <c r="AU3"/>
  <c r="CW27" i="6" s="1"/>
  <c r="AU11" i="44"/>
  <c r="AW3"/>
  <c r="CW28" i="6" s="1"/>
  <c r="AW11" i="44"/>
  <c r="AW8"/>
  <c r="AW12"/>
  <c r="AW10"/>
  <c r="AW9"/>
  <c r="AW7"/>
  <c r="AY3"/>
  <c r="CW29" i="6" s="1"/>
  <c r="AY9" i="44"/>
  <c r="AY7"/>
  <c r="AY12"/>
  <c r="AY11"/>
  <c r="AY10"/>
  <c r="AY8"/>
  <c r="BC3"/>
  <c r="CW31" i="6" s="1"/>
  <c r="BC12" i="44"/>
  <c r="BC10"/>
  <c r="BC9"/>
  <c r="BC8"/>
  <c r="BC7"/>
  <c r="BC11"/>
  <c r="BI3"/>
  <c r="CW34" i="6" s="1"/>
  <c r="BI11" i="44"/>
  <c r="BI10"/>
  <c r="BI12"/>
  <c r="BI9"/>
  <c r="BI8"/>
  <c r="BI7"/>
  <c r="BU12"/>
  <c r="BU11"/>
  <c r="BU8"/>
  <c r="BU3"/>
  <c r="CW40" i="6" s="1"/>
  <c r="BU10" i="44"/>
  <c r="BU9"/>
  <c r="BU7"/>
  <c r="CX40" i="6"/>
  <c r="BY3" i="44"/>
  <c r="CW42" i="6" s="1"/>
  <c r="BY11" i="44"/>
  <c r="BY10"/>
  <c r="BY12"/>
  <c r="BY9"/>
  <c r="BY8"/>
  <c r="BY7"/>
  <c r="BS3"/>
  <c r="CW39" i="6" s="1"/>
  <c r="BS12" i="44"/>
  <c r="BS10"/>
  <c r="BS9"/>
  <c r="BS8"/>
  <c r="BS7"/>
  <c r="BS11"/>
  <c r="AG3"/>
  <c r="CW20" i="6" s="1"/>
  <c r="AG11" i="44"/>
  <c r="AG9"/>
  <c r="AG8"/>
  <c r="AG12"/>
  <c r="AG10"/>
  <c r="AG7"/>
  <c r="BK12"/>
  <c r="BK10"/>
  <c r="BK9"/>
  <c r="BK8"/>
  <c r="BK7"/>
  <c r="BK3"/>
  <c r="CW35" i="6" s="1"/>
  <c r="BK11" i="44"/>
  <c r="BO3"/>
  <c r="CW37" i="6" s="1"/>
  <c r="BO9" i="44"/>
  <c r="BO7"/>
  <c r="BO12"/>
  <c r="BO11"/>
  <c r="BO10"/>
  <c r="BO8"/>
  <c r="BW9"/>
  <c r="BW7"/>
  <c r="BW3"/>
  <c r="CW41" i="6" s="1"/>
  <c r="BW12" i="44"/>
  <c r="BW11"/>
  <c r="BW10"/>
  <c r="BW8"/>
  <c r="CC3"/>
  <c r="CW44" i="6" s="1"/>
  <c r="CC11" i="44"/>
  <c r="CC8"/>
  <c r="CC12"/>
  <c r="CC10"/>
  <c r="CC9"/>
  <c r="CC7"/>
  <c r="BA12"/>
  <c r="BA11"/>
  <c r="BA10"/>
  <c r="BA3"/>
  <c r="CW30" i="6" s="1"/>
  <c r="BA9" i="44"/>
  <c r="BA8"/>
  <c r="BA7"/>
  <c r="BE12"/>
  <c r="BE11"/>
  <c r="BE8"/>
  <c r="BE3"/>
  <c r="CW32" i="6" s="1"/>
  <c r="BE10" i="44"/>
  <c r="BE9"/>
  <c r="BE7"/>
  <c r="BG9"/>
  <c r="BG7"/>
  <c r="BG3"/>
  <c r="CW33" i="6" s="1"/>
  <c r="BG12" i="44"/>
  <c r="BG11"/>
  <c r="BG10"/>
  <c r="BG8"/>
  <c r="BM3"/>
  <c r="CW36" i="6" s="1"/>
  <c r="BM11" i="44"/>
  <c r="BM8"/>
  <c r="BM12"/>
  <c r="BM10"/>
  <c r="BM9"/>
  <c r="BM7"/>
  <c r="BQ12"/>
  <c r="BQ11"/>
  <c r="BQ10"/>
  <c r="BQ3"/>
  <c r="CW38" i="6" s="1"/>
  <c r="BQ9" i="44"/>
  <c r="BQ8"/>
  <c r="BQ7"/>
  <c r="CA12"/>
  <c r="CA10"/>
  <c r="CA9"/>
  <c r="CA8"/>
  <c r="CA7"/>
  <c r="CA3"/>
  <c r="CW43" i="6" s="1"/>
  <c r="CA11" i="44"/>
  <c r="E12"/>
  <c r="E3"/>
  <c r="CW6" i="6" s="1"/>
  <c r="E8" i="44"/>
  <c r="E10"/>
  <c r="E7"/>
  <c r="E9"/>
  <c r="E11"/>
  <c r="G12"/>
  <c r="G10"/>
  <c r="G8"/>
  <c r="G11"/>
  <c r="G9"/>
  <c r="G7"/>
  <c r="G3"/>
  <c r="CW7" i="6" s="1"/>
  <c r="B5"/>
  <c r="C5"/>
  <c r="D5"/>
  <c r="E5"/>
  <c r="B6"/>
  <c r="C6"/>
  <c r="D6"/>
  <c r="E6"/>
  <c r="B7"/>
  <c r="C7"/>
  <c r="D7"/>
  <c r="E7"/>
  <c r="B8"/>
  <c r="C8"/>
  <c r="D8"/>
  <c r="E8"/>
  <c r="B9"/>
  <c r="C9"/>
  <c r="D9"/>
  <c r="E9"/>
  <c r="B10"/>
  <c r="C10"/>
  <c r="D10"/>
  <c r="E10"/>
  <c r="B11"/>
  <c r="C11"/>
  <c r="D11"/>
  <c r="E11"/>
  <c r="B12"/>
  <c r="C12"/>
  <c r="D12"/>
  <c r="E12"/>
  <c r="B13"/>
  <c r="C13"/>
  <c r="D13"/>
  <c r="E13"/>
  <c r="B14"/>
  <c r="C14"/>
  <c r="D14"/>
  <c r="E14"/>
  <c r="B15"/>
  <c r="C15"/>
  <c r="D15"/>
  <c r="E15"/>
  <c r="B16"/>
  <c r="C16"/>
  <c r="D16"/>
  <c r="E16"/>
  <c r="B17"/>
  <c r="C17"/>
  <c r="D17"/>
  <c r="E17"/>
  <c r="B18"/>
  <c r="C18"/>
  <c r="D18"/>
  <c r="E18"/>
  <c r="B19"/>
  <c r="C19"/>
  <c r="D19"/>
  <c r="E19"/>
  <c r="B20"/>
  <c r="C20"/>
  <c r="D20"/>
  <c r="E20"/>
  <c r="B21"/>
  <c r="C21"/>
  <c r="D21"/>
  <c r="E21"/>
  <c r="B22"/>
  <c r="C22"/>
  <c r="D22"/>
  <c r="E22"/>
  <c r="B23"/>
  <c r="C23"/>
  <c r="D23"/>
  <c r="E23"/>
  <c r="B24"/>
  <c r="C24"/>
  <c r="D24"/>
  <c r="E24"/>
  <c r="B25"/>
  <c r="C25"/>
  <c r="D25"/>
  <c r="E25"/>
  <c r="B26"/>
  <c r="C26"/>
  <c r="D26"/>
  <c r="E26"/>
  <c r="B27"/>
  <c r="C27"/>
  <c r="D27"/>
  <c r="E27"/>
  <c r="B28"/>
  <c r="C28"/>
  <c r="D28"/>
  <c r="E28"/>
  <c r="B29"/>
  <c r="C29"/>
  <c r="D29"/>
  <c r="E29"/>
  <c r="B30"/>
  <c r="C30"/>
  <c r="D30"/>
  <c r="E30"/>
  <c r="B31"/>
  <c r="C31"/>
  <c r="D31"/>
  <c r="E31"/>
  <c r="B32"/>
  <c r="C32"/>
  <c r="D32"/>
  <c r="E32"/>
  <c r="B33"/>
  <c r="C33"/>
  <c r="D33"/>
  <c r="E33"/>
  <c r="B34"/>
  <c r="C34"/>
  <c r="D34"/>
  <c r="E34"/>
  <c r="B35"/>
  <c r="C35"/>
  <c r="D35"/>
  <c r="E35"/>
  <c r="B36"/>
  <c r="C36"/>
  <c r="D36"/>
  <c r="E36"/>
  <c r="B37"/>
  <c r="C37"/>
  <c r="D37"/>
  <c r="E37"/>
  <c r="B38"/>
  <c r="C38"/>
  <c r="D38"/>
  <c r="E38"/>
  <c r="B39"/>
  <c r="C39"/>
  <c r="D39"/>
  <c r="E39"/>
  <c r="B40"/>
  <c r="C40"/>
  <c r="D40"/>
  <c r="E40"/>
  <c r="B41"/>
  <c r="C41"/>
  <c r="D41"/>
  <c r="E41"/>
  <c r="B42"/>
  <c r="C42"/>
  <c r="D42"/>
  <c r="E42"/>
  <c r="B43"/>
  <c r="C43"/>
  <c r="D43"/>
  <c r="E43"/>
  <c r="B44"/>
  <c r="C44"/>
  <c r="D44"/>
  <c r="E44"/>
  <c r="A43"/>
  <c r="A44"/>
  <c r="A6"/>
  <c r="A7"/>
  <c r="A8"/>
  <c r="A9"/>
  <c r="A10"/>
  <c r="A11"/>
  <c r="A12"/>
  <c r="A13"/>
  <c r="A14"/>
  <c r="A15"/>
  <c r="A16"/>
  <c r="A17"/>
  <c r="A18"/>
  <c r="A19"/>
  <c r="A20"/>
  <c r="A21"/>
  <c r="A22"/>
  <c r="A23"/>
  <c r="A24"/>
  <c r="A25"/>
  <c r="A26"/>
  <c r="A27"/>
  <c r="A28"/>
  <c r="A29"/>
  <c r="A30"/>
  <c r="A31"/>
  <c r="A32"/>
  <c r="A33"/>
  <c r="A34"/>
  <c r="A35"/>
  <c r="A36"/>
  <c r="A37"/>
  <c r="A38"/>
  <c r="A39"/>
  <c r="A40"/>
  <c r="A41"/>
  <c r="A42"/>
  <c r="A5"/>
  <c r="E44" i="16"/>
  <c r="D44"/>
  <c r="C44"/>
  <c r="B44"/>
  <c r="A44"/>
  <c r="E43"/>
  <c r="D43"/>
  <c r="C43"/>
  <c r="B43"/>
  <c r="A43"/>
  <c r="E42"/>
  <c r="D42"/>
  <c r="C42"/>
  <c r="B42"/>
  <c r="A42"/>
  <c r="E41"/>
  <c r="D41"/>
  <c r="C41"/>
  <c r="B41"/>
  <c r="A41"/>
  <c r="E40"/>
  <c r="D40"/>
  <c r="C40"/>
  <c r="B40"/>
  <c r="A40"/>
  <c r="E39"/>
  <c r="D39"/>
  <c r="C39"/>
  <c r="B39"/>
  <c r="A39"/>
  <c r="E38"/>
  <c r="D38"/>
  <c r="C38"/>
  <c r="B38"/>
  <c r="A38"/>
  <c r="E37"/>
  <c r="D37"/>
  <c r="C37"/>
  <c r="B37"/>
  <c r="A37"/>
  <c r="E36"/>
  <c r="D36"/>
  <c r="C36"/>
  <c r="B36"/>
  <c r="A36"/>
  <c r="E35"/>
  <c r="D35"/>
  <c r="C35"/>
  <c r="B35"/>
  <c r="A35"/>
  <c r="E34"/>
  <c r="D34"/>
  <c r="C34"/>
  <c r="B34"/>
  <c r="A34"/>
  <c r="E33"/>
  <c r="D33"/>
  <c r="C33"/>
  <c r="B33"/>
  <c r="A33"/>
  <c r="E32"/>
  <c r="D32"/>
  <c r="C32"/>
  <c r="B32"/>
  <c r="A32"/>
  <c r="E31"/>
  <c r="D31"/>
  <c r="C31"/>
  <c r="B31"/>
  <c r="A31"/>
  <c r="E30"/>
  <c r="D30"/>
  <c r="C30"/>
  <c r="B30"/>
  <c r="A30"/>
  <c r="E29"/>
  <c r="D29"/>
  <c r="C29"/>
  <c r="B29"/>
  <c r="A29"/>
  <c r="E28"/>
  <c r="D28"/>
  <c r="C28"/>
  <c r="B28"/>
  <c r="A28"/>
  <c r="E27"/>
  <c r="D27"/>
  <c r="C27"/>
  <c r="B27"/>
  <c r="A27"/>
  <c r="E26"/>
  <c r="D26"/>
  <c r="C26"/>
  <c r="B26"/>
  <c r="A26"/>
  <c r="E25"/>
  <c r="D25"/>
  <c r="C25"/>
  <c r="B25"/>
  <c r="A25"/>
  <c r="E24"/>
  <c r="D24"/>
  <c r="C24"/>
  <c r="B24"/>
  <c r="A24"/>
  <c r="E23"/>
  <c r="D23"/>
  <c r="C23"/>
  <c r="B23"/>
  <c r="A23"/>
  <c r="E22"/>
  <c r="D22"/>
  <c r="C22"/>
  <c r="B22"/>
  <c r="A22"/>
  <c r="E21"/>
  <c r="D21"/>
  <c r="C21"/>
  <c r="B21"/>
  <c r="A21"/>
  <c r="E20"/>
  <c r="D20"/>
  <c r="C20"/>
  <c r="B20"/>
  <c r="A20"/>
  <c r="E19"/>
  <c r="D19"/>
  <c r="C19"/>
  <c r="B19"/>
  <c r="A19"/>
  <c r="E18"/>
  <c r="D18"/>
  <c r="C18"/>
  <c r="B18"/>
  <c r="A18"/>
  <c r="E17"/>
  <c r="D17"/>
  <c r="C17"/>
  <c r="B17"/>
  <c r="A17"/>
  <c r="E16"/>
  <c r="D16"/>
  <c r="C16"/>
  <c r="B16"/>
  <c r="A16"/>
  <c r="E15"/>
  <c r="D15"/>
  <c r="C15"/>
  <c r="B15"/>
  <c r="A15"/>
  <c r="E14"/>
  <c r="D14"/>
  <c r="C14"/>
  <c r="B14"/>
  <c r="A14"/>
  <c r="E13"/>
  <c r="D13"/>
  <c r="C13"/>
  <c r="B13"/>
  <c r="A13"/>
  <c r="E12"/>
  <c r="D12"/>
  <c r="C12"/>
  <c r="B12"/>
  <c r="A12"/>
  <c r="E11"/>
  <c r="D11"/>
  <c r="C11"/>
  <c r="B11"/>
  <c r="A11"/>
  <c r="E10"/>
  <c r="D10"/>
  <c r="C10"/>
  <c r="B10"/>
  <c r="A10"/>
  <c r="E9"/>
  <c r="D9"/>
  <c r="C9"/>
  <c r="B9"/>
  <c r="A9"/>
  <c r="E8"/>
  <c r="D8"/>
  <c r="C8"/>
  <c r="B8"/>
  <c r="A8"/>
  <c r="E7"/>
  <c r="D7"/>
  <c r="C7"/>
  <c r="B7"/>
  <c r="A7"/>
  <c r="E6"/>
  <c r="D6"/>
  <c r="C6"/>
  <c r="B6"/>
  <c r="A6"/>
  <c r="E5"/>
  <c r="D5"/>
  <c r="C5"/>
  <c r="B5"/>
  <c r="A5"/>
  <c r="A6" i="17"/>
  <c r="B6"/>
  <c r="C6"/>
  <c r="D6"/>
  <c r="E6"/>
  <c r="A7"/>
  <c r="B7"/>
  <c r="C7"/>
  <c r="D7"/>
  <c r="E7"/>
  <c r="A8"/>
  <c r="B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A37"/>
  <c r="B37"/>
  <c r="C37"/>
  <c r="D37"/>
  <c r="E37"/>
  <c r="A38"/>
  <c r="B38"/>
  <c r="C38"/>
  <c r="D38"/>
  <c r="E38"/>
  <c r="A39"/>
  <c r="B39"/>
  <c r="C39"/>
  <c r="D39"/>
  <c r="E39"/>
  <c r="A40"/>
  <c r="B40"/>
  <c r="C40"/>
  <c r="D40"/>
  <c r="E40"/>
  <c r="A41"/>
  <c r="B41"/>
  <c r="C41"/>
  <c r="D41"/>
  <c r="E41"/>
  <c r="A42"/>
  <c r="B42"/>
  <c r="C42"/>
  <c r="D42"/>
  <c r="E42"/>
  <c r="A43"/>
  <c r="B43"/>
  <c r="C43"/>
  <c r="D43"/>
  <c r="E43"/>
  <c r="A44"/>
  <c r="B44"/>
  <c r="C44"/>
  <c r="D44"/>
  <c r="E44"/>
  <c r="B5"/>
  <c r="C5"/>
  <c r="D5"/>
  <c r="E5"/>
  <c r="A5"/>
  <c r="J6" i="16"/>
  <c r="K6" s="1"/>
  <c r="P6"/>
  <c r="Q6" s="1"/>
  <c r="V6"/>
  <c r="W6" s="1"/>
  <c r="AB6"/>
  <c r="AC6" s="1"/>
  <c r="AH6"/>
  <c r="AI6" s="1"/>
  <c r="AN6"/>
  <c r="AO6" s="1"/>
  <c r="AT6"/>
  <c r="AU6" s="1"/>
  <c r="AZ6"/>
  <c r="BA6" s="1"/>
  <c r="BF6"/>
  <c r="BG6" s="1"/>
  <c r="BL6"/>
  <c r="BM6" s="1"/>
  <c r="J7"/>
  <c r="K7" s="1"/>
  <c r="P7"/>
  <c r="Q7" s="1"/>
  <c r="V7"/>
  <c r="W7" s="1"/>
  <c r="AB7"/>
  <c r="AC7" s="1"/>
  <c r="AH7"/>
  <c r="AI7" s="1"/>
  <c r="AN7"/>
  <c r="AO7" s="1"/>
  <c r="AT7"/>
  <c r="AU7" s="1"/>
  <c r="AZ7"/>
  <c r="BA7" s="1"/>
  <c r="BF7"/>
  <c r="BG7" s="1"/>
  <c r="BL7"/>
  <c r="BM7" s="1"/>
  <c r="J8"/>
  <c r="K8" s="1"/>
  <c r="P8"/>
  <c r="Q8" s="1"/>
  <c r="V8"/>
  <c r="W8" s="1"/>
  <c r="AB8"/>
  <c r="AC8" s="1"/>
  <c r="AH8"/>
  <c r="AI8" s="1"/>
  <c r="AN8"/>
  <c r="AO8" s="1"/>
  <c r="AT8"/>
  <c r="AU8" s="1"/>
  <c r="AZ8"/>
  <c r="BA8" s="1"/>
  <c r="BF8"/>
  <c r="BG8" s="1"/>
  <c r="BL8"/>
  <c r="BM8" s="1"/>
  <c r="J9"/>
  <c r="K9" s="1"/>
  <c r="P9"/>
  <c r="Q9" s="1"/>
  <c r="V9"/>
  <c r="W9" s="1"/>
  <c r="AB9"/>
  <c r="AC9" s="1"/>
  <c r="AH9"/>
  <c r="AI9" s="1"/>
  <c r="AN9"/>
  <c r="AO9" s="1"/>
  <c r="AT9"/>
  <c r="AU9" s="1"/>
  <c r="AZ9"/>
  <c r="BA9" s="1"/>
  <c r="BF9"/>
  <c r="BG9" s="1"/>
  <c r="BL9"/>
  <c r="BM9" s="1"/>
  <c r="J10"/>
  <c r="K10" s="1"/>
  <c r="P10"/>
  <c r="Q10" s="1"/>
  <c r="V10"/>
  <c r="W10" s="1"/>
  <c r="AB10"/>
  <c r="AC10" s="1"/>
  <c r="AH10"/>
  <c r="AI10" s="1"/>
  <c r="AN10"/>
  <c r="AO10" s="1"/>
  <c r="AT10"/>
  <c r="AU10" s="1"/>
  <c r="AZ10"/>
  <c r="BA10" s="1"/>
  <c r="BF10"/>
  <c r="BG10" s="1"/>
  <c r="BL10"/>
  <c r="BM10" s="1"/>
  <c r="J11"/>
  <c r="K11" s="1"/>
  <c r="P11"/>
  <c r="Q11" s="1"/>
  <c r="V11"/>
  <c r="W11" s="1"/>
  <c r="AB11"/>
  <c r="AC11" s="1"/>
  <c r="AH11"/>
  <c r="AI11" s="1"/>
  <c r="AN11"/>
  <c r="AO11" s="1"/>
  <c r="AT11"/>
  <c r="AU11" s="1"/>
  <c r="AZ11"/>
  <c r="BA11" s="1"/>
  <c r="BF11"/>
  <c r="BG11" s="1"/>
  <c r="BL11"/>
  <c r="BM11" s="1"/>
  <c r="J12"/>
  <c r="K12" s="1"/>
  <c r="P12"/>
  <c r="Q12" s="1"/>
  <c r="V12"/>
  <c r="W12" s="1"/>
  <c r="AB12"/>
  <c r="AC12" s="1"/>
  <c r="AH12"/>
  <c r="AI12" s="1"/>
  <c r="AN12"/>
  <c r="AO12" s="1"/>
  <c r="AT12"/>
  <c r="AU12" s="1"/>
  <c r="AZ12"/>
  <c r="BA12" s="1"/>
  <c r="BF12"/>
  <c r="BG12" s="1"/>
  <c r="BL12"/>
  <c r="BM12" s="1"/>
  <c r="J13"/>
  <c r="K13" s="1"/>
  <c r="P13"/>
  <c r="Q13" s="1"/>
  <c r="V13"/>
  <c r="W13" s="1"/>
  <c r="AB13"/>
  <c r="AC13" s="1"/>
  <c r="AH13"/>
  <c r="AI13" s="1"/>
  <c r="AN13"/>
  <c r="AO13" s="1"/>
  <c r="AT13"/>
  <c r="AU13" s="1"/>
  <c r="AZ13"/>
  <c r="BA13" s="1"/>
  <c r="BF13"/>
  <c r="BG13" s="1"/>
  <c r="BL13"/>
  <c r="BM13" s="1"/>
  <c r="J14"/>
  <c r="K14" s="1"/>
  <c r="P14"/>
  <c r="Q14" s="1"/>
  <c r="V14"/>
  <c r="W14" s="1"/>
  <c r="AB14"/>
  <c r="AC14" s="1"/>
  <c r="AH14"/>
  <c r="AI14" s="1"/>
  <c r="AN14"/>
  <c r="AO14" s="1"/>
  <c r="AT14"/>
  <c r="AU14" s="1"/>
  <c r="AZ14"/>
  <c r="BA14" s="1"/>
  <c r="BF14"/>
  <c r="BG14" s="1"/>
  <c r="BL14"/>
  <c r="BM14" s="1"/>
  <c r="J15"/>
  <c r="K15" s="1"/>
  <c r="P15"/>
  <c r="Q15" s="1"/>
  <c r="V15"/>
  <c r="W15" s="1"/>
  <c r="AB15"/>
  <c r="AC15" s="1"/>
  <c r="AH15"/>
  <c r="AI15" s="1"/>
  <c r="AN15"/>
  <c r="AO15" s="1"/>
  <c r="AT15"/>
  <c r="AU15" s="1"/>
  <c r="AZ15"/>
  <c r="BA15" s="1"/>
  <c r="BF15"/>
  <c r="BG15" s="1"/>
  <c r="BL15"/>
  <c r="BM15" s="1"/>
  <c r="J16"/>
  <c r="K16" s="1"/>
  <c r="P16"/>
  <c r="Q16" s="1"/>
  <c r="V16"/>
  <c r="W16" s="1"/>
  <c r="AB16"/>
  <c r="AC16" s="1"/>
  <c r="AH16"/>
  <c r="AI16" s="1"/>
  <c r="AN16"/>
  <c r="AO16" s="1"/>
  <c r="AT16"/>
  <c r="AU16" s="1"/>
  <c r="AZ16"/>
  <c r="BA16" s="1"/>
  <c r="BF16"/>
  <c r="BG16" s="1"/>
  <c r="BL16"/>
  <c r="BM16" s="1"/>
  <c r="J17"/>
  <c r="K17" s="1"/>
  <c r="P17"/>
  <c r="Q17" s="1"/>
  <c r="V17"/>
  <c r="W17" s="1"/>
  <c r="AB17"/>
  <c r="AC17" s="1"/>
  <c r="AH17"/>
  <c r="AI17" s="1"/>
  <c r="AN17"/>
  <c r="AO17" s="1"/>
  <c r="AT17"/>
  <c r="AU17" s="1"/>
  <c r="AZ17"/>
  <c r="BA17" s="1"/>
  <c r="BF17"/>
  <c r="BG17" s="1"/>
  <c r="BL17"/>
  <c r="BM17" s="1"/>
  <c r="J18"/>
  <c r="K18" s="1"/>
  <c r="P18"/>
  <c r="Q18" s="1"/>
  <c r="V18"/>
  <c r="W18" s="1"/>
  <c r="AB18"/>
  <c r="AC18" s="1"/>
  <c r="AH18"/>
  <c r="AI18" s="1"/>
  <c r="AN18"/>
  <c r="AO18" s="1"/>
  <c r="AT18"/>
  <c r="AU18" s="1"/>
  <c r="AZ18"/>
  <c r="BA18" s="1"/>
  <c r="BF18"/>
  <c r="BG18" s="1"/>
  <c r="BL18"/>
  <c r="BM18" s="1"/>
  <c r="J19"/>
  <c r="K19" s="1"/>
  <c r="P19"/>
  <c r="Q19" s="1"/>
  <c r="V19"/>
  <c r="W19" s="1"/>
  <c r="AB19"/>
  <c r="AC19" s="1"/>
  <c r="AH19"/>
  <c r="AI19" s="1"/>
  <c r="AN19"/>
  <c r="AO19" s="1"/>
  <c r="AT19"/>
  <c r="AU19" s="1"/>
  <c r="AZ19"/>
  <c r="BA19" s="1"/>
  <c r="BF19"/>
  <c r="BG19" s="1"/>
  <c r="BL19"/>
  <c r="BM19" s="1"/>
  <c r="J20"/>
  <c r="K20" s="1"/>
  <c r="P20"/>
  <c r="Q20" s="1"/>
  <c r="V20"/>
  <c r="W20" s="1"/>
  <c r="AB20"/>
  <c r="AC20" s="1"/>
  <c r="AH20"/>
  <c r="AI20" s="1"/>
  <c r="AN20"/>
  <c r="AO20" s="1"/>
  <c r="AT20"/>
  <c r="AU20" s="1"/>
  <c r="AZ20"/>
  <c r="BA20" s="1"/>
  <c r="BF20"/>
  <c r="BG20" s="1"/>
  <c r="BL20"/>
  <c r="BM20" s="1"/>
  <c r="J21"/>
  <c r="K21" s="1"/>
  <c r="P21"/>
  <c r="Q21" s="1"/>
  <c r="V21"/>
  <c r="W21" s="1"/>
  <c r="AB21"/>
  <c r="AC21" s="1"/>
  <c r="AH21"/>
  <c r="AI21" s="1"/>
  <c r="AN21"/>
  <c r="AO21" s="1"/>
  <c r="AT21"/>
  <c r="AU21" s="1"/>
  <c r="AZ21"/>
  <c r="BA21" s="1"/>
  <c r="BF21"/>
  <c r="BG21" s="1"/>
  <c r="BL21"/>
  <c r="BM21" s="1"/>
  <c r="J22"/>
  <c r="K22" s="1"/>
  <c r="P22"/>
  <c r="Q22" s="1"/>
  <c r="V22"/>
  <c r="W22" s="1"/>
  <c r="AB22"/>
  <c r="AC22" s="1"/>
  <c r="AH22"/>
  <c r="AI22" s="1"/>
  <c r="AN22"/>
  <c r="AO22" s="1"/>
  <c r="AT22"/>
  <c r="AU22" s="1"/>
  <c r="AZ22"/>
  <c r="BA22" s="1"/>
  <c r="BF22"/>
  <c r="BG22" s="1"/>
  <c r="BL22"/>
  <c r="BM22" s="1"/>
  <c r="J23"/>
  <c r="K23" s="1"/>
  <c r="P23"/>
  <c r="Q23" s="1"/>
  <c r="V23"/>
  <c r="W23" s="1"/>
  <c r="AB23"/>
  <c r="AC23" s="1"/>
  <c r="AH23"/>
  <c r="AI23" s="1"/>
  <c r="AN23"/>
  <c r="AO23" s="1"/>
  <c r="AT23"/>
  <c r="AU23" s="1"/>
  <c r="AZ23"/>
  <c r="BA23" s="1"/>
  <c r="BF23"/>
  <c r="BG23" s="1"/>
  <c r="BL23"/>
  <c r="BM23" s="1"/>
  <c r="J24"/>
  <c r="K24" s="1"/>
  <c r="P24"/>
  <c r="Q24" s="1"/>
  <c r="V24"/>
  <c r="W24" s="1"/>
  <c r="AB24"/>
  <c r="AC24" s="1"/>
  <c r="AH24"/>
  <c r="AI24" s="1"/>
  <c r="AN24"/>
  <c r="AO24" s="1"/>
  <c r="AT24"/>
  <c r="AU24" s="1"/>
  <c r="AZ24"/>
  <c r="BA24" s="1"/>
  <c r="BF24"/>
  <c r="BG24" s="1"/>
  <c r="BL24"/>
  <c r="BM24" s="1"/>
  <c r="J25"/>
  <c r="K25" s="1"/>
  <c r="P25"/>
  <c r="Q25" s="1"/>
  <c r="V25"/>
  <c r="W25" s="1"/>
  <c r="AB25"/>
  <c r="AC25" s="1"/>
  <c r="AH25"/>
  <c r="AI25" s="1"/>
  <c r="AN25"/>
  <c r="AO25" s="1"/>
  <c r="AT25"/>
  <c r="AU25" s="1"/>
  <c r="AZ25"/>
  <c r="BA25" s="1"/>
  <c r="BF25"/>
  <c r="BG25" s="1"/>
  <c r="BL25"/>
  <c r="BM25" s="1"/>
  <c r="J26"/>
  <c r="K26" s="1"/>
  <c r="P26"/>
  <c r="Q26" s="1"/>
  <c r="V26"/>
  <c r="W26" s="1"/>
  <c r="AB26"/>
  <c r="AC26" s="1"/>
  <c r="AH26"/>
  <c r="AI26" s="1"/>
  <c r="AN26"/>
  <c r="AO26" s="1"/>
  <c r="AT26"/>
  <c r="AU26" s="1"/>
  <c r="AZ26"/>
  <c r="BA26" s="1"/>
  <c r="BF26"/>
  <c r="BG26" s="1"/>
  <c r="BL26"/>
  <c r="BM26" s="1"/>
  <c r="J27"/>
  <c r="K27" s="1"/>
  <c r="P27"/>
  <c r="Q27" s="1"/>
  <c r="V27"/>
  <c r="W27" s="1"/>
  <c r="AB27"/>
  <c r="AC27" s="1"/>
  <c r="AH27"/>
  <c r="AI27" s="1"/>
  <c r="AN27"/>
  <c r="AO27" s="1"/>
  <c r="AT27"/>
  <c r="AU27" s="1"/>
  <c r="AZ27"/>
  <c r="BA27" s="1"/>
  <c r="BF27"/>
  <c r="BG27" s="1"/>
  <c r="BL27"/>
  <c r="BM27" s="1"/>
  <c r="J28"/>
  <c r="K28" s="1"/>
  <c r="P28"/>
  <c r="Q28" s="1"/>
  <c r="V28"/>
  <c r="W28" s="1"/>
  <c r="AB28"/>
  <c r="AC28" s="1"/>
  <c r="AH28"/>
  <c r="AI28" s="1"/>
  <c r="AN28"/>
  <c r="AO28" s="1"/>
  <c r="AT28"/>
  <c r="AU28" s="1"/>
  <c r="AZ28"/>
  <c r="BA28" s="1"/>
  <c r="BF28"/>
  <c r="BG28" s="1"/>
  <c r="BL28"/>
  <c r="BM28" s="1"/>
  <c r="J29"/>
  <c r="K29" s="1"/>
  <c r="P29"/>
  <c r="Q29" s="1"/>
  <c r="V29"/>
  <c r="W29" s="1"/>
  <c r="AB29"/>
  <c r="AC29" s="1"/>
  <c r="AH29"/>
  <c r="AI29" s="1"/>
  <c r="AN29"/>
  <c r="AO29" s="1"/>
  <c r="AT29"/>
  <c r="AU29" s="1"/>
  <c r="AZ29"/>
  <c r="BA29" s="1"/>
  <c r="BF29"/>
  <c r="BG29" s="1"/>
  <c r="BL29"/>
  <c r="BM29" s="1"/>
  <c r="J30"/>
  <c r="K30" s="1"/>
  <c r="P30"/>
  <c r="Q30" s="1"/>
  <c r="V30"/>
  <c r="W30" s="1"/>
  <c r="AB30"/>
  <c r="AC30" s="1"/>
  <c r="AH30"/>
  <c r="AI30" s="1"/>
  <c r="AN30"/>
  <c r="AO30" s="1"/>
  <c r="AT30"/>
  <c r="AU30" s="1"/>
  <c r="AZ30"/>
  <c r="BA30" s="1"/>
  <c r="BF30"/>
  <c r="BG30" s="1"/>
  <c r="BL30"/>
  <c r="BM30" s="1"/>
  <c r="J31"/>
  <c r="K31" s="1"/>
  <c r="P31"/>
  <c r="Q31" s="1"/>
  <c r="V31"/>
  <c r="W31" s="1"/>
  <c r="AB31"/>
  <c r="AC31" s="1"/>
  <c r="AH31"/>
  <c r="AI31" s="1"/>
  <c r="AN31"/>
  <c r="AO31" s="1"/>
  <c r="AT31"/>
  <c r="AU31" s="1"/>
  <c r="AZ31"/>
  <c r="BA31" s="1"/>
  <c r="BF31"/>
  <c r="BG31" s="1"/>
  <c r="BL31"/>
  <c r="BM31" s="1"/>
  <c r="J32"/>
  <c r="K32" s="1"/>
  <c r="P32"/>
  <c r="Q32" s="1"/>
  <c r="V32"/>
  <c r="W32" s="1"/>
  <c r="AB32"/>
  <c r="AC32" s="1"/>
  <c r="AH32"/>
  <c r="AI32" s="1"/>
  <c r="AN32"/>
  <c r="AO32" s="1"/>
  <c r="AT32"/>
  <c r="AU32" s="1"/>
  <c r="AZ32"/>
  <c r="BA32" s="1"/>
  <c r="BF32"/>
  <c r="BG32" s="1"/>
  <c r="BL32"/>
  <c r="BM32" s="1"/>
  <c r="J33"/>
  <c r="K33" s="1"/>
  <c r="P33"/>
  <c r="Q33" s="1"/>
  <c r="V33"/>
  <c r="W33" s="1"/>
  <c r="AB33"/>
  <c r="AC33" s="1"/>
  <c r="AH33"/>
  <c r="AI33" s="1"/>
  <c r="AN33"/>
  <c r="AO33" s="1"/>
  <c r="AT33"/>
  <c r="AU33" s="1"/>
  <c r="AZ33"/>
  <c r="BA33" s="1"/>
  <c r="BF33"/>
  <c r="BG33" s="1"/>
  <c r="BL33"/>
  <c r="BM33" s="1"/>
  <c r="J34"/>
  <c r="K34" s="1"/>
  <c r="P34"/>
  <c r="Q34" s="1"/>
  <c r="V34"/>
  <c r="W34" s="1"/>
  <c r="AB34"/>
  <c r="AC34" s="1"/>
  <c r="AH34"/>
  <c r="AI34" s="1"/>
  <c r="AN34"/>
  <c r="AO34" s="1"/>
  <c r="AT34"/>
  <c r="AU34" s="1"/>
  <c r="AZ34"/>
  <c r="BA34" s="1"/>
  <c r="BF34"/>
  <c r="BG34" s="1"/>
  <c r="BL34"/>
  <c r="BM34" s="1"/>
  <c r="J35"/>
  <c r="K35" s="1"/>
  <c r="P35"/>
  <c r="Q35" s="1"/>
  <c r="V35"/>
  <c r="W35" s="1"/>
  <c r="AB35"/>
  <c r="AC35" s="1"/>
  <c r="AH35"/>
  <c r="AI35" s="1"/>
  <c r="AN35"/>
  <c r="AO35" s="1"/>
  <c r="AT35"/>
  <c r="AU35" s="1"/>
  <c r="AZ35"/>
  <c r="BA35" s="1"/>
  <c r="BF35"/>
  <c r="BG35" s="1"/>
  <c r="BL35"/>
  <c r="BM35" s="1"/>
  <c r="J36"/>
  <c r="K36" s="1"/>
  <c r="P36"/>
  <c r="Q36" s="1"/>
  <c r="V36"/>
  <c r="W36" s="1"/>
  <c r="AB36"/>
  <c r="AC36" s="1"/>
  <c r="AH36"/>
  <c r="AI36" s="1"/>
  <c r="AN36"/>
  <c r="AO36" s="1"/>
  <c r="AT36"/>
  <c r="AU36" s="1"/>
  <c r="AZ36"/>
  <c r="BA36" s="1"/>
  <c r="BF36"/>
  <c r="BG36" s="1"/>
  <c r="BL36"/>
  <c r="BM36" s="1"/>
  <c r="J37"/>
  <c r="K37" s="1"/>
  <c r="P37"/>
  <c r="Q37" s="1"/>
  <c r="V37"/>
  <c r="W37" s="1"/>
  <c r="AB37"/>
  <c r="AC37" s="1"/>
  <c r="AH37"/>
  <c r="AI37" s="1"/>
  <c r="AN37"/>
  <c r="AO37" s="1"/>
  <c r="AT37"/>
  <c r="AU37" s="1"/>
  <c r="AZ37"/>
  <c r="BA37" s="1"/>
  <c r="BF37"/>
  <c r="BG37" s="1"/>
  <c r="BL37"/>
  <c r="BM37" s="1"/>
  <c r="J38"/>
  <c r="K38" s="1"/>
  <c r="P38"/>
  <c r="Q38" s="1"/>
  <c r="V38"/>
  <c r="W38" s="1"/>
  <c r="AB38"/>
  <c r="AC38" s="1"/>
  <c r="AH38"/>
  <c r="AI38" s="1"/>
  <c r="AN38"/>
  <c r="AO38" s="1"/>
  <c r="AT38"/>
  <c r="AU38" s="1"/>
  <c r="AZ38"/>
  <c r="BA38" s="1"/>
  <c r="BF38"/>
  <c r="BG38" s="1"/>
  <c r="BL38"/>
  <c r="BM38" s="1"/>
  <c r="J39"/>
  <c r="K39" s="1"/>
  <c r="P39"/>
  <c r="Q39" s="1"/>
  <c r="V39"/>
  <c r="W39" s="1"/>
  <c r="AB39"/>
  <c r="AC39" s="1"/>
  <c r="AH39"/>
  <c r="AI39" s="1"/>
  <c r="AN39"/>
  <c r="AO39" s="1"/>
  <c r="AT39"/>
  <c r="AU39" s="1"/>
  <c r="AZ39"/>
  <c r="BA39" s="1"/>
  <c r="BF39"/>
  <c r="BG39" s="1"/>
  <c r="BL39"/>
  <c r="BM39" s="1"/>
  <c r="J40"/>
  <c r="K40" s="1"/>
  <c r="P40"/>
  <c r="Q40" s="1"/>
  <c r="V40"/>
  <c r="W40" s="1"/>
  <c r="AB40"/>
  <c r="AC40" s="1"/>
  <c r="AH40"/>
  <c r="AI40" s="1"/>
  <c r="AN40"/>
  <c r="AO40" s="1"/>
  <c r="AT40"/>
  <c r="AU40" s="1"/>
  <c r="AZ40"/>
  <c r="BA40" s="1"/>
  <c r="BF40"/>
  <c r="BG40" s="1"/>
  <c r="BL40"/>
  <c r="BM40" s="1"/>
  <c r="J41"/>
  <c r="K41" s="1"/>
  <c r="P41"/>
  <c r="Q41" s="1"/>
  <c r="V41"/>
  <c r="W41" s="1"/>
  <c r="AB41"/>
  <c r="AC41" s="1"/>
  <c r="AH41"/>
  <c r="AI41" s="1"/>
  <c r="AN41"/>
  <c r="AO41" s="1"/>
  <c r="AT41"/>
  <c r="AU41" s="1"/>
  <c r="AZ41"/>
  <c r="BA41" s="1"/>
  <c r="BF41"/>
  <c r="BG41" s="1"/>
  <c r="BL41"/>
  <c r="BM41" s="1"/>
  <c r="J42"/>
  <c r="K42" s="1"/>
  <c r="P42"/>
  <c r="Q42" s="1"/>
  <c r="V42"/>
  <c r="W42" s="1"/>
  <c r="AB42"/>
  <c r="AC42" s="1"/>
  <c r="AH42"/>
  <c r="AI42" s="1"/>
  <c r="AN42"/>
  <c r="AO42" s="1"/>
  <c r="AT42"/>
  <c r="AU42" s="1"/>
  <c r="AZ42"/>
  <c r="BA42" s="1"/>
  <c r="BF42"/>
  <c r="BG42" s="1"/>
  <c r="BL42"/>
  <c r="BM42" s="1"/>
  <c r="J43"/>
  <c r="K43" s="1"/>
  <c r="P43"/>
  <c r="Q43" s="1"/>
  <c r="V43"/>
  <c r="W43" s="1"/>
  <c r="AB43"/>
  <c r="AC43" s="1"/>
  <c r="AH43"/>
  <c r="AI43" s="1"/>
  <c r="AN43"/>
  <c r="AO43" s="1"/>
  <c r="AT43"/>
  <c r="AU43" s="1"/>
  <c r="AZ43"/>
  <c r="BA43" s="1"/>
  <c r="BF43"/>
  <c r="BG43" s="1"/>
  <c r="BL43"/>
  <c r="BM43" s="1"/>
  <c r="J44"/>
  <c r="K44" s="1"/>
  <c r="P44"/>
  <c r="Q44" s="1"/>
  <c r="V44"/>
  <c r="W44" s="1"/>
  <c r="AB44"/>
  <c r="AC44" s="1"/>
  <c r="AH44"/>
  <c r="AI44" s="1"/>
  <c r="AN44"/>
  <c r="AO44" s="1"/>
  <c r="AT44"/>
  <c r="AU44" s="1"/>
  <c r="AZ44"/>
  <c r="BA44" s="1"/>
  <c r="BF44"/>
  <c r="BG44" s="1"/>
  <c r="BL44"/>
  <c r="BM44" s="1"/>
  <c r="P5"/>
  <c r="Q5" s="1"/>
  <c r="B4" i="45" s="1"/>
  <c r="C4" s="1"/>
  <c r="V5" i="16"/>
  <c r="W5" s="1"/>
  <c r="AB5"/>
  <c r="AC5" s="1"/>
  <c r="AH5"/>
  <c r="AI5" s="1"/>
  <c r="AN5"/>
  <c r="AO5" s="1"/>
  <c r="AT5"/>
  <c r="AU5" s="1"/>
  <c r="AZ5"/>
  <c r="BA5" s="1"/>
  <c r="BF5"/>
  <c r="BG5" s="1"/>
  <c r="BL5"/>
  <c r="BM5" s="1"/>
  <c r="J5"/>
  <c r="K5" s="1"/>
  <c r="CX19" i="6" l="1"/>
  <c r="CX18"/>
  <c r="CX12"/>
  <c r="CX11"/>
  <c r="CX10"/>
  <c r="CX28"/>
  <c r="CX23"/>
  <c r="CX15"/>
  <c r="CX36"/>
  <c r="CX41"/>
  <c r="CX42"/>
  <c r="CX34"/>
  <c r="CX31"/>
  <c r="CV6"/>
  <c r="F15" i="31" s="1"/>
  <c r="F53"/>
  <c r="CX25" i="6"/>
  <c r="CQ36"/>
  <c r="D45" i="31" s="1"/>
  <c r="F51"/>
  <c r="CQ31" i="6"/>
  <c r="CR31" s="1"/>
  <c r="E40" i="31" s="1"/>
  <c r="CX37" i="6"/>
  <c r="CX39"/>
  <c r="F52" i="31"/>
  <c r="CX38" i="6"/>
  <c r="CX44"/>
  <c r="CX35"/>
  <c r="CX22"/>
  <c r="CX20"/>
  <c r="CX14"/>
  <c r="CX43"/>
  <c r="CX17"/>
  <c r="CQ23"/>
  <c r="D32" i="31" s="1"/>
  <c r="CX26" i="6"/>
  <c r="CX21"/>
  <c r="CX6"/>
  <c r="CR6"/>
  <c r="E15" i="31" s="1"/>
  <c r="CX33" i="6"/>
  <c r="CX29"/>
  <c r="CQ25"/>
  <c r="CQ29"/>
  <c r="D38" i="31" s="1"/>
  <c r="CX32" i="6"/>
  <c r="CX24"/>
  <c r="CQ33"/>
  <c r="CQ15"/>
  <c r="CS15" s="1"/>
  <c r="CV15" s="1"/>
  <c r="F24" i="31" s="1"/>
  <c r="CQ22" i="6"/>
  <c r="D31" i="31" s="1"/>
  <c r="CQ12" i="6"/>
  <c r="CX27"/>
  <c r="CX13"/>
  <c r="CX30"/>
  <c r="CX9"/>
  <c r="CX16"/>
  <c r="CX8"/>
  <c r="D15" i="31"/>
  <c r="CQ17" i="6"/>
  <c r="CQ7"/>
  <c r="CQ14"/>
  <c r="CQ40"/>
  <c r="CQ27"/>
  <c r="CQ19"/>
  <c r="CQ11"/>
  <c r="CQ39"/>
  <c r="CQ37"/>
  <c r="CQ26"/>
  <c r="CQ18"/>
  <c r="CQ10"/>
  <c r="CQ38"/>
  <c r="CQ44"/>
  <c r="CQ30"/>
  <c r="CQ21"/>
  <c r="CQ13"/>
  <c r="CQ43"/>
  <c r="CQ41"/>
  <c r="CQ28"/>
  <c r="CQ20"/>
  <c r="CQ42"/>
  <c r="CQ9"/>
  <c r="CQ35"/>
  <c r="CQ34"/>
  <c r="CQ24"/>
  <c r="CQ16"/>
  <c r="CQ8"/>
  <c r="CQ32"/>
  <c r="BZ24" i="44"/>
  <c r="BZ22"/>
  <c r="BZ20"/>
  <c r="BZ18"/>
  <c r="BZ16"/>
  <c r="BZ25"/>
  <c r="BZ21"/>
  <c r="BZ17"/>
  <c r="BZ23"/>
  <c r="BZ19"/>
  <c r="CB15"/>
  <c r="F50" i="31"/>
  <c r="F49"/>
  <c r="BX24" i="45"/>
  <c r="BX22"/>
  <c r="BX20"/>
  <c r="BX18"/>
  <c r="BX16"/>
  <c r="BX25"/>
  <c r="BX23"/>
  <c r="BX21"/>
  <c r="BX19"/>
  <c r="BX17"/>
  <c r="BZ15"/>
  <c r="CX7" i="6"/>
  <c r="CB10" i="45"/>
  <c r="CC10" s="1"/>
  <c r="BZ10"/>
  <c r="CA10" s="1"/>
  <c r="BZ8"/>
  <c r="CA8" s="1"/>
  <c r="BZ4"/>
  <c r="CA4" s="1"/>
  <c r="BX10"/>
  <c r="BY10" s="1"/>
  <c r="BX4"/>
  <c r="BY4" s="1"/>
  <c r="BV12"/>
  <c r="BW12" s="1"/>
  <c r="BV8"/>
  <c r="BW8" s="1"/>
  <c r="BT8"/>
  <c r="BU8" s="1"/>
  <c r="BT4"/>
  <c r="BU4" s="1"/>
  <c r="BR10"/>
  <c r="BS10" s="1"/>
  <c r="BP10"/>
  <c r="BQ10" s="1"/>
  <c r="BP4"/>
  <c r="BQ4" s="1"/>
  <c r="BN12"/>
  <c r="BO12" s="1"/>
  <c r="BN8"/>
  <c r="BO8" s="1"/>
  <c r="BN4"/>
  <c r="BO4" s="1"/>
  <c r="BL8"/>
  <c r="BM8" s="1"/>
  <c r="BL6"/>
  <c r="BM6" s="1"/>
  <c r="BJ12"/>
  <c r="BK12" s="1"/>
  <c r="BJ8"/>
  <c r="BK8" s="1"/>
  <c r="BH12"/>
  <c r="BI12" s="1"/>
  <c r="BH10"/>
  <c r="BI10" s="1"/>
  <c r="BH6"/>
  <c r="BI6" s="1"/>
  <c r="BF6"/>
  <c r="BG6" s="1"/>
  <c r="BF4"/>
  <c r="BG4" s="1"/>
  <c r="BD10"/>
  <c r="BE10" s="1"/>
  <c r="BD6"/>
  <c r="BE6" s="1"/>
  <c r="BB10"/>
  <c r="BC10" s="1"/>
  <c r="BB8"/>
  <c r="BC8" s="1"/>
  <c r="AZ6"/>
  <c r="BA6" s="1"/>
  <c r="AZ4"/>
  <c r="BA4" s="1"/>
  <c r="AX12"/>
  <c r="AY12" s="1"/>
  <c r="AV12"/>
  <c r="AW12" s="1"/>
  <c r="AV10"/>
  <c r="AW10" s="1"/>
  <c r="AV6"/>
  <c r="AW6" s="1"/>
  <c r="AT12"/>
  <c r="AU12" s="1"/>
  <c r="AT4"/>
  <c r="AU4" s="1"/>
  <c r="AR10"/>
  <c r="AS10" s="1"/>
  <c r="AP10"/>
  <c r="AQ10" s="1"/>
  <c r="AP4"/>
  <c r="AQ4" s="1"/>
  <c r="AN10"/>
  <c r="AO10" s="1"/>
  <c r="AN4"/>
  <c r="AO4" s="1"/>
  <c r="AL12"/>
  <c r="AM12" s="1"/>
  <c r="AL8"/>
  <c r="AM8" s="1"/>
  <c r="AL4"/>
  <c r="AM4" s="1"/>
  <c r="AJ8"/>
  <c r="AK8" s="1"/>
  <c r="AJ6"/>
  <c r="AK6" s="1"/>
  <c r="AH12"/>
  <c r="AI12" s="1"/>
  <c r="AH8"/>
  <c r="AI8" s="1"/>
  <c r="AF12"/>
  <c r="AG12" s="1"/>
  <c r="AF8"/>
  <c r="AG8" s="1"/>
  <c r="AF4"/>
  <c r="AG4" s="1"/>
  <c r="AD8"/>
  <c r="AE8" s="1"/>
  <c r="AD6"/>
  <c r="AE6" s="1"/>
  <c r="AB12"/>
  <c r="AC12" s="1"/>
  <c r="AB4"/>
  <c r="AC4" s="1"/>
  <c r="Z12"/>
  <c r="AA12" s="1"/>
  <c r="Z10"/>
  <c r="AA10" s="1"/>
  <c r="Z6"/>
  <c r="AA6" s="1"/>
  <c r="X8"/>
  <c r="Y8" s="1"/>
  <c r="X6"/>
  <c r="Y6" s="1"/>
  <c r="V10"/>
  <c r="W10" s="1"/>
  <c r="V4"/>
  <c r="W4" s="1"/>
  <c r="T12"/>
  <c r="U12" s="1"/>
  <c r="T8"/>
  <c r="U8" s="1"/>
  <c r="T4"/>
  <c r="U4" s="1"/>
  <c r="R8"/>
  <c r="S8" s="1"/>
  <c r="P10"/>
  <c r="Q10" s="1"/>
  <c r="P6"/>
  <c r="Q6" s="1"/>
  <c r="N12"/>
  <c r="O12" s="1"/>
  <c r="L12"/>
  <c r="M12" s="1"/>
  <c r="CB11"/>
  <c r="CC11" s="1"/>
  <c r="CB9"/>
  <c r="CC9" s="1"/>
  <c r="CB7"/>
  <c r="CC7" s="1"/>
  <c r="BZ9"/>
  <c r="CA9" s="1"/>
  <c r="BZ7"/>
  <c r="CA7" s="1"/>
  <c r="BX11"/>
  <c r="BY11" s="1"/>
  <c r="BX9"/>
  <c r="BY9" s="1"/>
  <c r="BX7"/>
  <c r="BY7" s="1"/>
  <c r="BV9"/>
  <c r="BW9" s="1"/>
  <c r="BV7"/>
  <c r="BW7" s="1"/>
  <c r="BT11"/>
  <c r="BU11" s="1"/>
  <c r="BT9"/>
  <c r="BU9" s="1"/>
  <c r="BT7"/>
  <c r="BU7" s="1"/>
  <c r="BR9"/>
  <c r="BS9" s="1"/>
  <c r="BR7"/>
  <c r="BS7" s="1"/>
  <c r="BP11"/>
  <c r="BQ11" s="1"/>
  <c r="BP9"/>
  <c r="BQ9" s="1"/>
  <c r="BP7"/>
  <c r="BQ7" s="1"/>
  <c r="BN9"/>
  <c r="BO9" s="1"/>
  <c r="BN7"/>
  <c r="BO7" s="1"/>
  <c r="BL11"/>
  <c r="BM11" s="1"/>
  <c r="BL9"/>
  <c r="BM9" s="1"/>
  <c r="BL7"/>
  <c r="BM7" s="1"/>
  <c r="BJ9"/>
  <c r="BK9" s="1"/>
  <c r="BJ7"/>
  <c r="BK7" s="1"/>
  <c r="BH11"/>
  <c r="BI11" s="1"/>
  <c r="BH9"/>
  <c r="BI9" s="1"/>
  <c r="BH7"/>
  <c r="BI7" s="1"/>
  <c r="BF9"/>
  <c r="BG9" s="1"/>
  <c r="BF7"/>
  <c r="BG7" s="1"/>
  <c r="BD11"/>
  <c r="BE11" s="1"/>
  <c r="BD9"/>
  <c r="BE9" s="1"/>
  <c r="BD7"/>
  <c r="BE7" s="1"/>
  <c r="BB9"/>
  <c r="BC9" s="1"/>
  <c r="BB7"/>
  <c r="BC7" s="1"/>
  <c r="AZ11"/>
  <c r="BA11" s="1"/>
  <c r="AZ9"/>
  <c r="BA9" s="1"/>
  <c r="AZ7"/>
  <c r="BA7" s="1"/>
  <c r="AX9"/>
  <c r="AY9" s="1"/>
  <c r="AX7"/>
  <c r="AY7" s="1"/>
  <c r="AV11"/>
  <c r="AW11" s="1"/>
  <c r="AV9"/>
  <c r="AW9" s="1"/>
  <c r="AV7"/>
  <c r="AW7" s="1"/>
  <c r="AT9"/>
  <c r="AU9" s="1"/>
  <c r="AT7"/>
  <c r="AU7" s="1"/>
  <c r="AR9"/>
  <c r="AS9" s="1"/>
  <c r="AR7"/>
  <c r="AS7" s="1"/>
  <c r="AP9"/>
  <c r="AQ9" s="1"/>
  <c r="AP7"/>
  <c r="AQ7" s="1"/>
  <c r="AN11"/>
  <c r="AO11" s="1"/>
  <c r="AN7"/>
  <c r="AO7" s="1"/>
  <c r="AN5"/>
  <c r="AO5" s="1"/>
  <c r="AL9"/>
  <c r="AM9" s="1"/>
  <c r="AL7"/>
  <c r="AM7" s="1"/>
  <c r="AL5"/>
  <c r="AM5" s="1"/>
  <c r="AJ9"/>
  <c r="AK9" s="1"/>
  <c r="AJ7"/>
  <c r="AK7" s="1"/>
  <c r="AJ5"/>
  <c r="AK5" s="1"/>
  <c r="AH9"/>
  <c r="AI9" s="1"/>
  <c r="AH7"/>
  <c r="AI7" s="1"/>
  <c r="AH5"/>
  <c r="AI5" s="1"/>
  <c r="AF11"/>
  <c r="AG11" s="1"/>
  <c r="AF9"/>
  <c r="AG9" s="1"/>
  <c r="AF7"/>
  <c r="AG7" s="1"/>
  <c r="AF5"/>
  <c r="AG5" s="1"/>
  <c r="AD9"/>
  <c r="AE9" s="1"/>
  <c r="AD7"/>
  <c r="AE7" s="1"/>
  <c r="AD5"/>
  <c r="AE5" s="1"/>
  <c r="AB9"/>
  <c r="AC9" s="1"/>
  <c r="AB7"/>
  <c r="AC7" s="1"/>
  <c r="AB5"/>
  <c r="AC5" s="1"/>
  <c r="Z9"/>
  <c r="AA9" s="1"/>
  <c r="Z7"/>
  <c r="AA7" s="1"/>
  <c r="Z5"/>
  <c r="AA5" s="1"/>
  <c r="X11"/>
  <c r="Y11" s="1"/>
  <c r="X9"/>
  <c r="Y9" s="1"/>
  <c r="X7"/>
  <c r="Y7" s="1"/>
  <c r="X5"/>
  <c r="Y5" s="1"/>
  <c r="V7"/>
  <c r="W7" s="1"/>
  <c r="V5"/>
  <c r="W5" s="1"/>
  <c r="T9"/>
  <c r="U9" s="1"/>
  <c r="T7"/>
  <c r="U7" s="1"/>
  <c r="T5"/>
  <c r="U5" s="1"/>
  <c r="R11"/>
  <c r="S11" s="1"/>
  <c r="R9"/>
  <c r="S9" s="1"/>
  <c r="R7"/>
  <c r="S7" s="1"/>
  <c r="R5"/>
  <c r="S5" s="1"/>
  <c r="P11"/>
  <c r="Q11" s="1"/>
  <c r="P9"/>
  <c r="Q9" s="1"/>
  <c r="P7"/>
  <c r="Q7" s="1"/>
  <c r="P5"/>
  <c r="Q5" s="1"/>
  <c r="N11"/>
  <c r="O11" s="1"/>
  <c r="N9"/>
  <c r="O9" s="1"/>
  <c r="N7"/>
  <c r="O7" s="1"/>
  <c r="N5"/>
  <c r="O5" s="1"/>
  <c r="L9"/>
  <c r="M9" s="1"/>
  <c r="L7"/>
  <c r="M7" s="1"/>
  <c r="L5"/>
  <c r="M5" s="1"/>
  <c r="J9"/>
  <c r="K9" s="1"/>
  <c r="J7"/>
  <c r="K7" s="1"/>
  <c r="J5"/>
  <c r="K5" s="1"/>
  <c r="H11"/>
  <c r="I11" s="1"/>
  <c r="H9"/>
  <c r="I9" s="1"/>
  <c r="H7"/>
  <c r="I7" s="1"/>
  <c r="H5"/>
  <c r="I5" s="1"/>
  <c r="F11"/>
  <c r="G11" s="1"/>
  <c r="F9"/>
  <c r="G9" s="1"/>
  <c r="F7"/>
  <c r="G7" s="1"/>
  <c r="F5"/>
  <c r="G5" s="1"/>
  <c r="D9"/>
  <c r="E9" s="1"/>
  <c r="D7"/>
  <c r="E7" s="1"/>
  <c r="D5"/>
  <c r="E5" s="1"/>
  <c r="CB12"/>
  <c r="CC12" s="1"/>
  <c r="CB8"/>
  <c r="CC8" s="1"/>
  <c r="CB4"/>
  <c r="CC4" s="1"/>
  <c r="BZ12"/>
  <c r="CA12" s="1"/>
  <c r="BX8"/>
  <c r="BY8" s="1"/>
  <c r="BX6"/>
  <c r="BY6" s="1"/>
  <c r="BV10"/>
  <c r="BW10" s="1"/>
  <c r="BT12"/>
  <c r="BU12" s="1"/>
  <c r="BT10"/>
  <c r="BU10" s="1"/>
  <c r="BT6"/>
  <c r="BU6" s="1"/>
  <c r="BR12"/>
  <c r="BS12" s="1"/>
  <c r="BR8"/>
  <c r="BS8" s="1"/>
  <c r="BR6"/>
  <c r="BS6" s="1"/>
  <c r="BN10"/>
  <c r="BO10" s="1"/>
  <c r="BL12"/>
  <c r="BM12" s="1"/>
  <c r="BL10"/>
  <c r="BM10" s="1"/>
  <c r="BL4"/>
  <c r="BM4" s="1"/>
  <c r="BJ10"/>
  <c r="BK10" s="1"/>
  <c r="BJ6"/>
  <c r="BK6" s="1"/>
  <c r="BJ4"/>
  <c r="BK4" s="1"/>
  <c r="BH4"/>
  <c r="BI4" s="1"/>
  <c r="BF10"/>
  <c r="BG10" s="1"/>
  <c r="BF8"/>
  <c r="BG8" s="1"/>
  <c r="BD12"/>
  <c r="BE12" s="1"/>
  <c r="BD8"/>
  <c r="BE8" s="1"/>
  <c r="BB12"/>
  <c r="BC12" s="1"/>
  <c r="BB6"/>
  <c r="BC6" s="1"/>
  <c r="AZ12"/>
  <c r="BA12" s="1"/>
  <c r="AZ10"/>
  <c r="BA10" s="1"/>
  <c r="AZ8"/>
  <c r="BA8" s="1"/>
  <c r="AX10"/>
  <c r="AY10" s="1"/>
  <c r="AX6"/>
  <c r="AY6" s="1"/>
  <c r="AV8"/>
  <c r="AW8" s="1"/>
  <c r="AV4"/>
  <c r="AW4" s="1"/>
  <c r="AT10"/>
  <c r="AU10" s="1"/>
  <c r="AT8"/>
  <c r="AU8" s="1"/>
  <c r="AR12"/>
  <c r="AS12" s="1"/>
  <c r="AR8"/>
  <c r="AS8" s="1"/>
  <c r="AP12"/>
  <c r="AQ12" s="1"/>
  <c r="AP6"/>
  <c r="AQ6" s="1"/>
  <c r="AN12"/>
  <c r="AO12" s="1"/>
  <c r="AN8"/>
  <c r="AO8" s="1"/>
  <c r="AN6"/>
  <c r="AO6" s="1"/>
  <c r="AL10"/>
  <c r="AM10" s="1"/>
  <c r="AL6"/>
  <c r="AM6" s="1"/>
  <c r="AJ12"/>
  <c r="AK12" s="1"/>
  <c r="AJ10"/>
  <c r="AK10" s="1"/>
  <c r="AJ4"/>
  <c r="AK4" s="1"/>
  <c r="AH10"/>
  <c r="AI10" s="1"/>
  <c r="AH4"/>
  <c r="AI4" s="1"/>
  <c r="AF10"/>
  <c r="AG10" s="1"/>
  <c r="AF6"/>
  <c r="AG6" s="1"/>
  <c r="AD12"/>
  <c r="AE12" s="1"/>
  <c r="AD10"/>
  <c r="AE10" s="1"/>
  <c r="AB10"/>
  <c r="AC10" s="1"/>
  <c r="AB8"/>
  <c r="AC8" s="1"/>
  <c r="AB6"/>
  <c r="AC6" s="1"/>
  <c r="Z8"/>
  <c r="AA8" s="1"/>
  <c r="Z4"/>
  <c r="AA4" s="1"/>
  <c r="X12"/>
  <c r="Y12" s="1"/>
  <c r="X10"/>
  <c r="Y10" s="1"/>
  <c r="V12"/>
  <c r="W12" s="1"/>
  <c r="V6"/>
  <c r="W6" s="1"/>
  <c r="T10"/>
  <c r="U10" s="1"/>
  <c r="T6"/>
  <c r="U6" s="1"/>
  <c r="R12"/>
  <c r="S12" s="1"/>
  <c r="R10"/>
  <c r="S10" s="1"/>
  <c r="R6"/>
  <c r="S6" s="1"/>
  <c r="P12"/>
  <c r="Q12" s="1"/>
  <c r="P8"/>
  <c r="Q8" s="1"/>
  <c r="P4"/>
  <c r="Q4" s="1"/>
  <c r="N10"/>
  <c r="O10" s="1"/>
  <c r="N8"/>
  <c r="O8" s="1"/>
  <c r="N6"/>
  <c r="O6" s="1"/>
  <c r="N4"/>
  <c r="O4" s="1"/>
  <c r="L10"/>
  <c r="M10" s="1"/>
  <c r="L8"/>
  <c r="M8" s="1"/>
  <c r="L6"/>
  <c r="M6" s="1"/>
  <c r="J12"/>
  <c r="K12" s="1"/>
  <c r="J10"/>
  <c r="K10" s="1"/>
  <c r="J8"/>
  <c r="K8" s="1"/>
  <c r="J6"/>
  <c r="K6" s="1"/>
  <c r="J4"/>
  <c r="K4" s="1"/>
  <c r="H12"/>
  <c r="I12" s="1"/>
  <c r="H10"/>
  <c r="I10" s="1"/>
  <c r="H8"/>
  <c r="I8" s="1"/>
  <c r="H6"/>
  <c r="I6" s="1"/>
  <c r="F12"/>
  <c r="G12" s="1"/>
  <c r="F10"/>
  <c r="G10" s="1"/>
  <c r="F8"/>
  <c r="G8" s="1"/>
  <c r="F6"/>
  <c r="G6" s="1"/>
  <c r="F4"/>
  <c r="G4" s="1"/>
  <c r="D12"/>
  <c r="E12" s="1"/>
  <c r="D10"/>
  <c r="E10" s="1"/>
  <c r="D8"/>
  <c r="E8" s="1"/>
  <c r="D6"/>
  <c r="E6" s="1"/>
  <c r="D4"/>
  <c r="E4" s="1"/>
  <c r="T46" i="34"/>
  <c r="R44"/>
  <c r="R38"/>
  <c r="N38"/>
  <c r="P35"/>
  <c r="R34"/>
  <c r="P33"/>
  <c r="P32"/>
  <c r="T30"/>
  <c r="T28"/>
  <c r="N27"/>
  <c r="R26"/>
  <c r="R25"/>
  <c r="T20"/>
  <c r="R17"/>
  <c r="R45"/>
  <c r="Q45"/>
  <c r="Q41"/>
  <c r="Q37"/>
  <c r="U22"/>
  <c r="U15"/>
  <c r="F44" i="33"/>
  <c r="F43"/>
  <c r="F42"/>
  <c r="F41"/>
  <c r="AO5"/>
  <c r="AR5" s="1"/>
  <c r="AS5" s="1"/>
  <c r="U5"/>
  <c r="X5" s="1"/>
  <c r="Y5" s="1"/>
  <c r="AY5"/>
  <c r="BB5" s="1"/>
  <c r="BC5" s="1"/>
  <c r="AE5"/>
  <c r="AH5" s="1"/>
  <c r="AI5" s="1"/>
  <c r="K5"/>
  <c r="N5" s="1"/>
  <c r="O5" s="1"/>
  <c r="F5"/>
  <c r="AT5"/>
  <c r="AW5" s="1"/>
  <c r="AX5" s="1"/>
  <c r="AJ5"/>
  <c r="AM5" s="1"/>
  <c r="AN5" s="1"/>
  <c r="Z5"/>
  <c r="AC5" s="1"/>
  <c r="AD5" s="1"/>
  <c r="P5"/>
  <c r="S5" s="1"/>
  <c r="T5" s="1"/>
  <c r="F40"/>
  <c r="F39"/>
  <c r="F38"/>
  <c r="F37"/>
  <c r="F36"/>
  <c r="F35"/>
  <c r="F34"/>
  <c r="F33"/>
  <c r="F32"/>
  <c r="F31"/>
  <c r="F30"/>
  <c r="F29"/>
  <c r="F28"/>
  <c r="F27"/>
  <c r="F26"/>
  <c r="F25"/>
  <c r="F24"/>
  <c r="F23"/>
  <c r="F22"/>
  <c r="F21"/>
  <c r="F20"/>
  <c r="F19"/>
  <c r="F18"/>
  <c r="F17"/>
  <c r="F16"/>
  <c r="F15"/>
  <c r="F14"/>
  <c r="F13"/>
  <c r="F12"/>
  <c r="F11"/>
  <c r="F10"/>
  <c r="F9"/>
  <c r="F8"/>
  <c r="F7"/>
  <c r="F6"/>
  <c r="B3" i="44" l="1"/>
  <c r="C3" s="1"/>
  <c r="CJ5" i="6"/>
  <c r="CU5" s="1"/>
  <c r="C8" i="34"/>
  <c r="CH5" i="6"/>
  <c r="CM5" s="1"/>
  <c r="CP5" s="1"/>
  <c r="CI5"/>
  <c r="CT5" s="1"/>
  <c r="CR23"/>
  <c r="E32" i="31" s="1"/>
  <c r="N21" i="34"/>
  <c r="CS36" i="6"/>
  <c r="CV36" s="1"/>
  <c r="F45" i="31" s="1"/>
  <c r="D40"/>
  <c r="CS31" i="6"/>
  <c r="CV31" s="1"/>
  <c r="F40" i="31" s="1"/>
  <c r="CR36" i="6"/>
  <c r="E45" i="31" s="1"/>
  <c r="CS23" i="6"/>
  <c r="CV23" s="1"/>
  <c r="F32" i="31" s="1"/>
  <c r="CS29" i="6"/>
  <c r="CV29" s="1"/>
  <c r="F38" i="31" s="1"/>
  <c r="CR29" i="6"/>
  <c r="E38" i="31" s="1"/>
  <c r="CS25" i="6"/>
  <c r="CV25" s="1"/>
  <c r="F34" i="31" s="1"/>
  <c r="CR25" i="6"/>
  <c r="E34" i="31" s="1"/>
  <c r="D34"/>
  <c r="CR33" i="6"/>
  <c r="E42" i="31" s="1"/>
  <c r="CS33" i="6"/>
  <c r="CV33" s="1"/>
  <c r="F42" i="31" s="1"/>
  <c r="D42"/>
  <c r="CS14" i="6"/>
  <c r="CV14" s="1"/>
  <c r="F23" i="31" s="1"/>
  <c r="CR14" i="6"/>
  <c r="E23" i="31" s="1"/>
  <c r="CS22" i="6"/>
  <c r="CV22" s="1"/>
  <c r="F31" i="31" s="1"/>
  <c r="CR22" i="6"/>
  <c r="E31" i="31" s="1"/>
  <c r="D16"/>
  <c r="CR7" i="6"/>
  <c r="E16" i="31" s="1"/>
  <c r="D24"/>
  <c r="CR15" i="6"/>
  <c r="E24" i="31" s="1"/>
  <c r="CS7" i="6"/>
  <c r="CV7" s="1"/>
  <c r="F16" i="31" s="1"/>
  <c r="CS17" i="6"/>
  <c r="CV17" s="1"/>
  <c r="F26" i="31" s="1"/>
  <c r="CR17" i="6"/>
  <c r="E26" i="31" s="1"/>
  <c r="D26"/>
  <c r="D23"/>
  <c r="D21"/>
  <c r="CR12" i="6"/>
  <c r="E21" i="31" s="1"/>
  <c r="CS12" i="6"/>
  <c r="CV12" s="1"/>
  <c r="F21" i="31" s="1"/>
  <c r="CS8" i="6"/>
  <c r="CV8" s="1"/>
  <c r="F17" i="31" s="1"/>
  <c r="D17"/>
  <c r="CR8" i="6"/>
  <c r="E17" i="31" s="1"/>
  <c r="D44"/>
  <c r="CR35" i="6"/>
  <c r="E44" i="31" s="1"/>
  <c r="CS35" i="6"/>
  <c r="CV35" s="1"/>
  <c r="F44" i="31" s="1"/>
  <c r="CR20" i="6"/>
  <c r="E29" i="31" s="1"/>
  <c r="CS20" i="6"/>
  <c r="CV20" s="1"/>
  <c r="F29" i="31" s="1"/>
  <c r="D29"/>
  <c r="D22"/>
  <c r="CR13" i="6"/>
  <c r="E22" i="31" s="1"/>
  <c r="CS13" i="6"/>
  <c r="CV13" s="1"/>
  <c r="F22" i="31" s="1"/>
  <c r="D27"/>
  <c r="CS18" i="6"/>
  <c r="CV18" s="1"/>
  <c r="F27" i="31" s="1"/>
  <c r="CR18" i="6"/>
  <c r="E27" i="31" s="1"/>
  <c r="CS11" i="6"/>
  <c r="CV11" s="1"/>
  <c r="F20" i="31" s="1"/>
  <c r="D20"/>
  <c r="CR11" i="6"/>
  <c r="E20" i="31" s="1"/>
  <c r="D25"/>
  <c r="CR16" i="6"/>
  <c r="E25" i="31" s="1"/>
  <c r="CS16" i="6"/>
  <c r="CV16" s="1"/>
  <c r="F25" i="31" s="1"/>
  <c r="CR9" i="6"/>
  <c r="E18" i="31" s="1"/>
  <c r="CS9" i="6"/>
  <c r="CV9" s="1"/>
  <c r="F18" i="31" s="1"/>
  <c r="D18"/>
  <c r="D37"/>
  <c r="CR28" i="6"/>
  <c r="E37" i="31" s="1"/>
  <c r="CS28" i="6"/>
  <c r="CV28" s="1"/>
  <c r="F37" i="31" s="1"/>
  <c r="D30"/>
  <c r="CR21" i="6"/>
  <c r="E30" i="31" s="1"/>
  <c r="CS21" i="6"/>
  <c r="CV21" s="1"/>
  <c r="F30" i="31" s="1"/>
  <c r="D35"/>
  <c r="CS26" i="6"/>
  <c r="CV26" s="1"/>
  <c r="F35" i="31" s="1"/>
  <c r="CR26" i="6"/>
  <c r="E35" i="31" s="1"/>
  <c r="CS19" i="6"/>
  <c r="CV19" s="1"/>
  <c r="F28" i="31" s="1"/>
  <c r="D28"/>
  <c r="CR19" i="6"/>
  <c r="E28" i="31" s="1"/>
  <c r="CS24" i="6"/>
  <c r="CV24" s="1"/>
  <c r="F33" i="31" s="1"/>
  <c r="D33"/>
  <c r="CR24" i="6"/>
  <c r="E33" i="31" s="1"/>
  <c r="CS41" i="6"/>
  <c r="D50" i="31"/>
  <c r="CR41" i="6"/>
  <c r="E50" i="31" s="1"/>
  <c r="CS30" i="6"/>
  <c r="CV30" s="1"/>
  <c r="F39" i="31" s="1"/>
  <c r="D39"/>
  <c r="CR30" i="6"/>
  <c r="E39" i="31" s="1"/>
  <c r="CS38" i="6"/>
  <c r="CV38" s="1"/>
  <c r="F47" i="31" s="1"/>
  <c r="D47"/>
  <c r="CR38" i="6"/>
  <c r="E47" i="31" s="1"/>
  <c r="CR37" i="6"/>
  <c r="E46" i="31" s="1"/>
  <c r="CS37" i="6"/>
  <c r="CV37" s="1"/>
  <c r="F46" i="31" s="1"/>
  <c r="D46"/>
  <c r="CS27" i="6"/>
  <c r="CV27" s="1"/>
  <c r="F36" i="31" s="1"/>
  <c r="D36"/>
  <c r="CR27" i="6"/>
  <c r="E36" i="31" s="1"/>
  <c r="CR32" i="6"/>
  <c r="E41" i="31" s="1"/>
  <c r="CS32" i="6"/>
  <c r="CV32" s="1"/>
  <c r="F41" i="31" s="1"/>
  <c r="D41"/>
  <c r="D43"/>
  <c r="CS34" i="6"/>
  <c r="CV34" s="1"/>
  <c r="F43" i="31" s="1"/>
  <c r="CR34" i="6"/>
  <c r="E43" i="31" s="1"/>
  <c r="D51"/>
  <c r="CS42" i="6"/>
  <c r="CR42"/>
  <c r="E51" i="31" s="1"/>
  <c r="D52"/>
  <c r="CR43" i="6"/>
  <c r="E52" i="31" s="1"/>
  <c r="CS43" i="6"/>
  <c r="CS44"/>
  <c r="D53" i="31"/>
  <c r="CR44" i="6"/>
  <c r="E53" i="31" s="1"/>
  <c r="D19"/>
  <c r="CS10" i="6"/>
  <c r="CV10" s="1"/>
  <c r="F19" i="31" s="1"/>
  <c r="CR10" i="6"/>
  <c r="E19" i="31" s="1"/>
  <c r="D48"/>
  <c r="CR39" i="6"/>
  <c r="E48" i="31" s="1"/>
  <c r="CS39" i="6"/>
  <c r="CV39" s="1"/>
  <c r="F48" i="31" s="1"/>
  <c r="D49"/>
  <c r="CR40" i="6"/>
  <c r="E49" i="31" s="1"/>
  <c r="CS40" i="6"/>
  <c r="Q38" i="34"/>
  <c r="T47"/>
  <c r="Q31"/>
  <c r="Q39"/>
  <c r="Q43"/>
  <c r="Q47"/>
  <c r="V14"/>
  <c r="R19"/>
  <c r="V24"/>
  <c r="N28"/>
  <c r="V32"/>
  <c r="N36"/>
  <c r="T39"/>
  <c r="Q24"/>
  <c r="Q42"/>
  <c r="Q46"/>
  <c r="N18"/>
  <c r="N23"/>
  <c r="N46"/>
  <c r="Q20"/>
  <c r="Q35"/>
  <c r="Q40"/>
  <c r="Q44"/>
  <c r="T42"/>
  <c r="R16"/>
  <c r="R36"/>
  <c r="V40"/>
  <c r="N47"/>
  <c r="CB24" i="44"/>
  <c r="CB22"/>
  <c r="CB20"/>
  <c r="CB18"/>
  <c r="CB16"/>
  <c r="CD15"/>
  <c r="CB23"/>
  <c r="CB19"/>
  <c r="CB25"/>
  <c r="CB21"/>
  <c r="CB17"/>
  <c r="T36" i="34"/>
  <c r="R40"/>
  <c r="T29"/>
  <c r="T37"/>
  <c r="T41"/>
  <c r="Q14"/>
  <c r="Q18"/>
  <c r="Q29"/>
  <c r="Q33"/>
  <c r="P18"/>
  <c r="P22"/>
  <c r="P31"/>
  <c r="P39"/>
  <c r="O27"/>
  <c r="P14"/>
  <c r="R15"/>
  <c r="V16"/>
  <c r="T17"/>
  <c r="N26"/>
  <c r="V11"/>
  <c r="R18"/>
  <c r="V8" i="45"/>
  <c r="W8" s="1"/>
  <c r="N32" i="34"/>
  <c r="AX4" i="45"/>
  <c r="AY4" s="1"/>
  <c r="N35" i="34"/>
  <c r="BD4" i="45"/>
  <c r="BE4" s="1"/>
  <c r="R37" i="34"/>
  <c r="BH8" i="45"/>
  <c r="BI8" s="1"/>
  <c r="BP8"/>
  <c r="BQ8" s="1"/>
  <c r="P44" i="34"/>
  <c r="BV6" i="45"/>
  <c r="BW6" s="1"/>
  <c r="BX12"/>
  <c r="BY12" s="1"/>
  <c r="V9"/>
  <c r="W9" s="1"/>
  <c r="S27" i="34"/>
  <c r="AN9" i="45"/>
  <c r="AO9" s="1"/>
  <c r="O28" i="34"/>
  <c r="AP5" i="45"/>
  <c r="AQ5" s="1"/>
  <c r="O29" i="34"/>
  <c r="AR5" i="45"/>
  <c r="AS5" s="1"/>
  <c r="O30" i="34"/>
  <c r="AT5" i="45"/>
  <c r="AU5" s="1"/>
  <c r="O31" i="34"/>
  <c r="AV5" i="45"/>
  <c r="AW5" s="1"/>
  <c r="O32" i="34"/>
  <c r="AX5" i="45"/>
  <c r="AY5" s="1"/>
  <c r="O33" i="34"/>
  <c r="AZ5" i="45"/>
  <c r="BA5" s="1"/>
  <c r="O34" i="34"/>
  <c r="BB5" i="45"/>
  <c r="BC5" s="1"/>
  <c r="O35" i="34"/>
  <c r="BD5" i="45"/>
  <c r="BE5" s="1"/>
  <c r="O36" i="34"/>
  <c r="BF5" i="45"/>
  <c r="BG5" s="1"/>
  <c r="O37" i="34"/>
  <c r="BH5" i="45"/>
  <c r="BI5" s="1"/>
  <c r="O38" i="34"/>
  <c r="BJ5" i="45"/>
  <c r="BK5" s="1"/>
  <c r="O39" i="34"/>
  <c r="BL5" i="45"/>
  <c r="BM5" s="1"/>
  <c r="O40" i="34"/>
  <c r="BN5" i="45"/>
  <c r="BO5" s="1"/>
  <c r="O41" i="34"/>
  <c r="BP5" i="45"/>
  <c r="BQ5" s="1"/>
  <c r="O42" i="34"/>
  <c r="BR5" i="45"/>
  <c r="BS5" s="1"/>
  <c r="O43" i="34"/>
  <c r="BT5" i="45"/>
  <c r="BU5" s="1"/>
  <c r="O44" i="34"/>
  <c r="BV5" i="45"/>
  <c r="BW5" s="1"/>
  <c r="O45" i="34"/>
  <c r="BX5" i="45"/>
  <c r="BY5" s="1"/>
  <c r="O46" i="34"/>
  <c r="BZ5" i="45"/>
  <c r="CA5" s="1"/>
  <c r="O47" i="34"/>
  <c r="CB5" i="45"/>
  <c r="CC5" s="1"/>
  <c r="N16" i="34"/>
  <c r="R4" i="45"/>
  <c r="S4" s="1"/>
  <c r="AP8"/>
  <c r="AQ8" s="1"/>
  <c r="P29" i="34"/>
  <c r="AR6" i="45"/>
  <c r="AS6" s="1"/>
  <c r="R32" i="34"/>
  <c r="AX8" i="45"/>
  <c r="AY8" s="1"/>
  <c r="N34" i="34"/>
  <c r="BB4" i="45"/>
  <c r="BC4" s="1"/>
  <c r="N42" i="34"/>
  <c r="BR4" i="45"/>
  <c r="BS4" s="1"/>
  <c r="N44" i="34"/>
  <c r="BV4" i="45"/>
  <c r="BW4" s="1"/>
  <c r="P47" i="34"/>
  <c r="CB6" i="45"/>
  <c r="CC6" s="1"/>
  <c r="N11" i="34"/>
  <c r="H4" i="45"/>
  <c r="I4" s="1"/>
  <c r="N13" i="34"/>
  <c r="L4" i="45"/>
  <c r="M4" s="1"/>
  <c r="N22" i="34"/>
  <c r="AD4" i="45"/>
  <c r="AE4" s="1"/>
  <c r="P24" i="34"/>
  <c r="AH6" i="45"/>
  <c r="AI6" s="1"/>
  <c r="N29" i="34"/>
  <c r="AR4" i="45"/>
  <c r="AS4" s="1"/>
  <c r="P40" i="34"/>
  <c r="BN6" i="45"/>
  <c r="BO6" s="1"/>
  <c r="P41" i="34"/>
  <c r="BP6" i="45"/>
  <c r="BQ6" s="1"/>
  <c r="BP12"/>
  <c r="BQ12" s="1"/>
  <c r="P46" i="34"/>
  <c r="BZ6" i="45"/>
  <c r="CA6" s="1"/>
  <c r="D11"/>
  <c r="E11" s="1"/>
  <c r="J11"/>
  <c r="K11" s="1"/>
  <c r="L11"/>
  <c r="M11" s="1"/>
  <c r="T11"/>
  <c r="U11" s="1"/>
  <c r="V11"/>
  <c r="W11" s="1"/>
  <c r="Z11"/>
  <c r="AA11" s="1"/>
  <c r="AB11"/>
  <c r="AC11" s="1"/>
  <c r="AD11"/>
  <c r="AE11" s="1"/>
  <c r="AH11"/>
  <c r="AI11" s="1"/>
  <c r="AJ11"/>
  <c r="AK11" s="1"/>
  <c r="AL11"/>
  <c r="AM11" s="1"/>
  <c r="AP11"/>
  <c r="AQ11" s="1"/>
  <c r="AR11"/>
  <c r="AS11" s="1"/>
  <c r="AT11"/>
  <c r="AU11" s="1"/>
  <c r="AX11"/>
  <c r="AY11" s="1"/>
  <c r="BB11"/>
  <c r="BC11" s="1"/>
  <c r="BF11"/>
  <c r="BG11" s="1"/>
  <c r="BJ11"/>
  <c r="BK11" s="1"/>
  <c r="BN11"/>
  <c r="BO11" s="1"/>
  <c r="BR11"/>
  <c r="BS11" s="1"/>
  <c r="BV11"/>
  <c r="BW11" s="1"/>
  <c r="BZ11"/>
  <c r="CA11" s="1"/>
  <c r="X4"/>
  <c r="Y4" s="1"/>
  <c r="AT6"/>
  <c r="AU6" s="1"/>
  <c r="BF12"/>
  <c r="BG12" s="1"/>
  <c r="N3"/>
  <c r="O3" s="1"/>
  <c r="BD11" i="8"/>
  <c r="R3" i="45"/>
  <c r="S3" s="1"/>
  <c r="BD13" i="8"/>
  <c r="V3" i="45"/>
  <c r="W3" s="1"/>
  <c r="BD15" i="8"/>
  <c r="Z3" i="45"/>
  <c r="AA3" s="1"/>
  <c r="BD17" i="8"/>
  <c r="AD3" i="45"/>
  <c r="AE3" s="1"/>
  <c r="BD19" i="8"/>
  <c r="AH3" i="45"/>
  <c r="AI3" s="1"/>
  <c r="BD21" i="8"/>
  <c r="AL3" i="45"/>
  <c r="AM3" s="1"/>
  <c r="BD23" i="8"/>
  <c r="AP3" i="45"/>
  <c r="AQ3" s="1"/>
  <c r="BD25" i="8"/>
  <c r="AT3" i="45"/>
  <c r="AU3" s="1"/>
  <c r="BD27" i="8"/>
  <c r="AX3" i="45"/>
  <c r="AY3" s="1"/>
  <c r="BD29" i="8"/>
  <c r="BB3" i="45"/>
  <c r="BC3" s="1"/>
  <c r="BD31" i="8"/>
  <c r="BF3" i="45"/>
  <c r="BG3" s="1"/>
  <c r="BD33" i="8"/>
  <c r="BJ3" i="45"/>
  <c r="BK3" s="1"/>
  <c r="BD35" i="8"/>
  <c r="BN3" i="45"/>
  <c r="BO3" s="1"/>
  <c r="BD37" i="8"/>
  <c r="BP3" i="45"/>
  <c r="BQ3" s="1"/>
  <c r="BD38" i="8"/>
  <c r="BR3" i="45"/>
  <c r="BS3" s="1"/>
  <c r="BD39" i="8"/>
  <c r="BV3" i="45"/>
  <c r="BW3" s="1"/>
  <c r="BD41" i="8"/>
  <c r="BJ41" s="1"/>
  <c r="BX3" i="45"/>
  <c r="BY3" s="1"/>
  <c r="BD42" i="8"/>
  <c r="BJ42" s="1"/>
  <c r="BZ3" i="45"/>
  <c r="CA3" s="1"/>
  <c r="BD43" i="8"/>
  <c r="BJ43" s="1"/>
  <c r="BD9"/>
  <c r="J3" i="45"/>
  <c r="K3" s="1"/>
  <c r="L3"/>
  <c r="M3" s="1"/>
  <c r="BD10" i="8"/>
  <c r="P3" i="45"/>
  <c r="Q3" s="1"/>
  <c r="BD12" i="8"/>
  <c r="T3" i="45"/>
  <c r="U3" s="1"/>
  <c r="BD14" i="8"/>
  <c r="X3" i="45"/>
  <c r="Y3" s="1"/>
  <c r="BD16" i="8"/>
  <c r="AB3" i="45"/>
  <c r="AC3" s="1"/>
  <c r="BD18" i="8"/>
  <c r="AF3" i="45"/>
  <c r="AG3" s="1"/>
  <c r="BD20" i="8"/>
  <c r="AJ3" i="45"/>
  <c r="AK3" s="1"/>
  <c r="BD22" i="8"/>
  <c r="AN3" i="45"/>
  <c r="AO3" s="1"/>
  <c r="BD24" i="8"/>
  <c r="AR3" i="45"/>
  <c r="AS3" s="1"/>
  <c r="BD26" i="8"/>
  <c r="AV3" i="45"/>
  <c r="AW3" s="1"/>
  <c r="BD28" i="8"/>
  <c r="AZ3" i="45"/>
  <c r="BA3" s="1"/>
  <c r="BD30" i="8"/>
  <c r="BD3" i="45"/>
  <c r="BE3" s="1"/>
  <c r="BD32" i="8"/>
  <c r="BH3" i="45"/>
  <c r="BI3" s="1"/>
  <c r="BD34" i="8"/>
  <c r="BL3" i="45"/>
  <c r="BM3" s="1"/>
  <c r="BD36" i="8"/>
  <c r="BT3" i="45"/>
  <c r="BU3" s="1"/>
  <c r="BD40" i="8"/>
  <c r="BJ40" s="1"/>
  <c r="CB3" i="45"/>
  <c r="CC3" s="1"/>
  <c r="BD44" i="8"/>
  <c r="BJ44" s="1"/>
  <c r="BD8"/>
  <c r="H3" i="45"/>
  <c r="I3" s="1"/>
  <c r="F3"/>
  <c r="G3" s="1"/>
  <c r="BD7" i="8"/>
  <c r="D3" i="45"/>
  <c r="E3" s="1"/>
  <c r="BD6" i="8"/>
  <c r="B3" i="45"/>
  <c r="C3" s="1"/>
  <c r="V9" i="34"/>
  <c r="T21"/>
  <c r="V38"/>
  <c r="T45"/>
  <c r="Q12"/>
  <c r="U14"/>
  <c r="Q16"/>
  <c r="U19"/>
  <c r="Q22"/>
  <c r="U23"/>
  <c r="Q26"/>
  <c r="Q27"/>
  <c r="Q28"/>
  <c r="Q30"/>
  <c r="Q32"/>
  <c r="Q34"/>
  <c r="Q36"/>
  <c r="V43"/>
  <c r="T44"/>
  <c r="R20"/>
  <c r="V22"/>
  <c r="S18"/>
  <c r="S26"/>
  <c r="P19"/>
  <c r="R22"/>
  <c r="R24"/>
  <c r="T27"/>
  <c r="R28"/>
  <c r="V30"/>
  <c r="T33"/>
  <c r="T35"/>
  <c r="P37"/>
  <c r="V45"/>
  <c r="T9"/>
  <c r="P10"/>
  <c r="R11"/>
  <c r="T12"/>
  <c r="R13"/>
  <c r="V15"/>
  <c r="P17"/>
  <c r="P27"/>
  <c r="R30"/>
  <c r="P38"/>
  <c r="N10"/>
  <c r="BZ25" i="45"/>
  <c r="BZ23"/>
  <c r="BZ21"/>
  <c r="BZ19"/>
  <c r="BZ17"/>
  <c r="BZ24"/>
  <c r="BZ22"/>
  <c r="BZ20"/>
  <c r="BZ18"/>
  <c r="BZ16"/>
  <c r="CB15"/>
  <c r="C9" i="44"/>
  <c r="V18" i="34"/>
  <c r="T23"/>
  <c r="P34"/>
  <c r="V42"/>
  <c r="R47"/>
  <c r="S19"/>
  <c r="S28"/>
  <c r="S29"/>
  <c r="S30"/>
  <c r="S31"/>
  <c r="S32"/>
  <c r="S33"/>
  <c r="S34"/>
  <c r="S35"/>
  <c r="S36"/>
  <c r="S37"/>
  <c r="S38"/>
  <c r="S39"/>
  <c r="S40"/>
  <c r="S41"/>
  <c r="S42"/>
  <c r="S43"/>
  <c r="S44"/>
  <c r="S45"/>
  <c r="S46"/>
  <c r="S47"/>
  <c r="P15"/>
  <c r="P20"/>
  <c r="R23"/>
  <c r="P25"/>
  <c r="V26"/>
  <c r="N30"/>
  <c r="T31"/>
  <c r="N33"/>
  <c r="T34"/>
  <c r="P36"/>
  <c r="V37"/>
  <c r="R39"/>
  <c r="N41"/>
  <c r="N43"/>
  <c r="V44"/>
  <c r="R46"/>
  <c r="V29"/>
  <c r="N31"/>
  <c r="S10"/>
  <c r="N9"/>
  <c r="R10"/>
  <c r="U12"/>
  <c r="U18"/>
  <c r="U20"/>
  <c r="U26"/>
  <c r="U27"/>
  <c r="U28"/>
  <c r="U29"/>
  <c r="U30"/>
  <c r="U31"/>
  <c r="U32"/>
  <c r="U33"/>
  <c r="U34"/>
  <c r="U35"/>
  <c r="U36"/>
  <c r="U37"/>
  <c r="U38"/>
  <c r="U39"/>
  <c r="U40"/>
  <c r="U41"/>
  <c r="U42"/>
  <c r="U43"/>
  <c r="U44"/>
  <c r="U45"/>
  <c r="U46"/>
  <c r="U47"/>
  <c r="R43"/>
  <c r="N45"/>
  <c r="P9"/>
  <c r="T19"/>
  <c r="V31"/>
  <c r="V34"/>
  <c r="V36"/>
  <c r="T38"/>
  <c r="U16"/>
  <c r="U24"/>
  <c r="P12"/>
  <c r="T15"/>
  <c r="N19"/>
  <c r="V23"/>
  <c r="P30"/>
  <c r="N40"/>
  <c r="V47"/>
  <c r="S11"/>
  <c r="S14"/>
  <c r="S15"/>
  <c r="S22"/>
  <c r="S23"/>
  <c r="P42"/>
  <c r="V46"/>
  <c r="P13"/>
  <c r="V13"/>
  <c r="N17"/>
  <c r="V17"/>
  <c r="T18"/>
  <c r="N20"/>
  <c r="V20"/>
  <c r="P21"/>
  <c r="V21"/>
  <c r="P23"/>
  <c r="N24"/>
  <c r="T25"/>
  <c r="R27"/>
  <c r="V27"/>
  <c r="V28"/>
  <c r="R33"/>
  <c r="R41"/>
  <c r="T43"/>
  <c r="P45"/>
  <c r="Q10"/>
  <c r="U10"/>
  <c r="U11"/>
  <c r="V41"/>
  <c r="R9"/>
  <c r="V10"/>
  <c r="P11"/>
  <c r="T11"/>
  <c r="N12"/>
  <c r="R12"/>
  <c r="V12"/>
  <c r="T13"/>
  <c r="N14"/>
  <c r="R14"/>
  <c r="N15"/>
  <c r="P16"/>
  <c r="T16"/>
  <c r="V19"/>
  <c r="R21"/>
  <c r="T22"/>
  <c r="T24"/>
  <c r="N25"/>
  <c r="V25"/>
  <c r="P26"/>
  <c r="T26"/>
  <c r="P28"/>
  <c r="R29"/>
  <c r="R31"/>
  <c r="T32"/>
  <c r="V33"/>
  <c r="R35"/>
  <c r="V35"/>
  <c r="N37"/>
  <c r="N39"/>
  <c r="V39"/>
  <c r="T40"/>
  <c r="R42"/>
  <c r="P43"/>
  <c r="U9"/>
  <c r="U13"/>
  <c r="U17"/>
  <c r="U21"/>
  <c r="U25"/>
  <c r="T10"/>
  <c r="T14"/>
  <c r="S9"/>
  <c r="S12"/>
  <c r="S13"/>
  <c r="S16"/>
  <c r="S17"/>
  <c r="S20"/>
  <c r="S21"/>
  <c r="S24"/>
  <c r="S25"/>
  <c r="Q9"/>
  <c r="Q11"/>
  <c r="Q13"/>
  <c r="Q15"/>
  <c r="Q17"/>
  <c r="Q19"/>
  <c r="Q21"/>
  <c r="Q23"/>
  <c r="Q25"/>
  <c r="O9"/>
  <c r="O10"/>
  <c r="O11"/>
  <c r="O12"/>
  <c r="O13"/>
  <c r="O14"/>
  <c r="O15"/>
  <c r="O16"/>
  <c r="O17"/>
  <c r="O18"/>
  <c r="O19"/>
  <c r="O20"/>
  <c r="O21"/>
  <c r="O22"/>
  <c r="O23"/>
  <c r="O24"/>
  <c r="O25"/>
  <c r="O26"/>
  <c r="B8" i="45"/>
  <c r="C8" s="1"/>
  <c r="B12"/>
  <c r="C12" s="1"/>
  <c r="O8" i="34"/>
  <c r="B7" i="45"/>
  <c r="C7" s="1"/>
  <c r="B9"/>
  <c r="C9" s="1"/>
  <c r="B11"/>
  <c r="C11" s="1"/>
  <c r="B6"/>
  <c r="C6" s="1"/>
  <c r="B10"/>
  <c r="C10" s="1"/>
  <c r="M12" i="34"/>
  <c r="BE9" i="8"/>
  <c r="BF9" s="1"/>
  <c r="BH9" s="1"/>
  <c r="M41" i="34"/>
  <c r="BE38" i="8"/>
  <c r="BF38" s="1"/>
  <c r="BH38" s="1"/>
  <c r="M9" i="34"/>
  <c r="BE6" i="8"/>
  <c r="BF6" s="1"/>
  <c r="BH6" s="1"/>
  <c r="M10" i="34"/>
  <c r="BE7" i="8"/>
  <c r="BF7" s="1"/>
  <c r="BH7" s="1"/>
  <c r="M13" i="34"/>
  <c r="BE10" i="8"/>
  <c r="BF10" s="1"/>
  <c r="BH10" s="1"/>
  <c r="M14" i="34"/>
  <c r="BE11" i="8"/>
  <c r="BF11" s="1"/>
  <c r="BH11" s="1"/>
  <c r="M15" i="34"/>
  <c r="BE12" i="8"/>
  <c r="BF12" s="1"/>
  <c r="BH12" s="1"/>
  <c r="M16" i="34"/>
  <c r="BE13" i="8"/>
  <c r="BF13" s="1"/>
  <c r="BH13" s="1"/>
  <c r="M17" i="34"/>
  <c r="BE14" i="8"/>
  <c r="BF14" s="1"/>
  <c r="BH14" s="1"/>
  <c r="M18" i="34"/>
  <c r="BE15" i="8"/>
  <c r="BF15" s="1"/>
  <c r="BH15" s="1"/>
  <c r="M19" i="34"/>
  <c r="BE16" i="8"/>
  <c r="BF16" s="1"/>
  <c r="BH16" s="1"/>
  <c r="M20" i="34"/>
  <c r="BE17" i="8"/>
  <c r="BF17" s="1"/>
  <c r="BH17" s="1"/>
  <c r="M21" i="34"/>
  <c r="BE18" i="8"/>
  <c r="BF18" s="1"/>
  <c r="BH18" s="1"/>
  <c r="M22" i="34"/>
  <c r="BE19" i="8"/>
  <c r="BF19" s="1"/>
  <c r="BH19" s="1"/>
  <c r="M23" i="34"/>
  <c r="BE20" i="8"/>
  <c r="BF20" s="1"/>
  <c r="BH20" s="1"/>
  <c r="M24" i="34"/>
  <c r="BE21" i="8"/>
  <c r="BF21" s="1"/>
  <c r="BH21" s="1"/>
  <c r="M25" i="34"/>
  <c r="BE22" i="8"/>
  <c r="BF22" s="1"/>
  <c r="BH22" s="1"/>
  <c r="M26" i="34"/>
  <c r="BE23" i="8"/>
  <c r="BF23" s="1"/>
  <c r="BH23" s="1"/>
  <c r="M27" i="34"/>
  <c r="BE24" i="8"/>
  <c r="BF24" s="1"/>
  <c r="BH24" s="1"/>
  <c r="M28" i="34"/>
  <c r="BE25" i="8"/>
  <c r="BF25" s="1"/>
  <c r="BH25" s="1"/>
  <c r="M29" i="34"/>
  <c r="BE26" i="8"/>
  <c r="BF26" s="1"/>
  <c r="BH26" s="1"/>
  <c r="M30" i="34"/>
  <c r="BE27" i="8"/>
  <c r="BF27" s="1"/>
  <c r="BH27" s="1"/>
  <c r="M31" i="34"/>
  <c r="BE28" i="8"/>
  <c r="BF28" s="1"/>
  <c r="BH28" s="1"/>
  <c r="M32" i="34"/>
  <c r="BE29" i="8"/>
  <c r="BF29" s="1"/>
  <c r="BH29" s="1"/>
  <c r="M33" i="34"/>
  <c r="BE30" i="8"/>
  <c r="BF30" s="1"/>
  <c r="BH30" s="1"/>
  <c r="M34" i="34"/>
  <c r="BE31" i="8"/>
  <c r="BF31" s="1"/>
  <c r="BH31" s="1"/>
  <c r="M35" i="34"/>
  <c r="BE32" i="8"/>
  <c r="BF32" s="1"/>
  <c r="BH32" s="1"/>
  <c r="M36" i="34"/>
  <c r="BE33" i="8"/>
  <c r="BF33" s="1"/>
  <c r="BH33" s="1"/>
  <c r="M37" i="34"/>
  <c r="BE34" i="8"/>
  <c r="BF34" s="1"/>
  <c r="BH34" s="1"/>
  <c r="M38" i="34"/>
  <c r="BE35" i="8"/>
  <c r="BF35" s="1"/>
  <c r="BH35" s="1"/>
  <c r="M39" i="34"/>
  <c r="BE36" i="8"/>
  <c r="BF36" s="1"/>
  <c r="BH36" s="1"/>
  <c r="M40" i="34"/>
  <c r="BE37" i="8"/>
  <c r="BF37" s="1"/>
  <c r="BH37" s="1"/>
  <c r="M42" i="34"/>
  <c r="BE39" i="8"/>
  <c r="BF39" s="1"/>
  <c r="BH39" s="1"/>
  <c r="M43" i="34"/>
  <c r="BE40" i="8"/>
  <c r="BF40" s="1"/>
  <c r="BH40" s="1"/>
  <c r="M8" i="34"/>
  <c r="M44"/>
  <c r="BE41" i="8"/>
  <c r="BF41" s="1"/>
  <c r="BH41" s="1"/>
  <c r="M46" i="34"/>
  <c r="BE43" i="8"/>
  <c r="BF43" s="1"/>
  <c r="BH43" s="1"/>
  <c r="M47" i="34"/>
  <c r="BE44" i="8"/>
  <c r="BF44" s="1"/>
  <c r="BH44" s="1"/>
  <c r="M11" i="34"/>
  <c r="BE8" i="8"/>
  <c r="BF8" s="1"/>
  <c r="BH8" s="1"/>
  <c r="M45" i="34"/>
  <c r="BE42" i="8"/>
  <c r="BF42" s="1"/>
  <c r="BH42" s="1"/>
  <c r="N8" i="34"/>
  <c r="J12" i="42"/>
  <c r="BJ38" i="8" l="1"/>
  <c r="C8" i="44"/>
  <c r="BJ36" i="8"/>
  <c r="BJ39"/>
  <c r="BJ37"/>
  <c r="C7" i="44"/>
  <c r="CX5" i="6"/>
  <c r="C10" i="44"/>
  <c r="C12"/>
  <c r="C11"/>
  <c r="CW5" i="6"/>
  <c r="BJ35" i="8"/>
  <c r="BJ31"/>
  <c r="BJ34"/>
  <c r="BJ30"/>
  <c r="BJ32"/>
  <c r="BJ33"/>
  <c r="BJ29"/>
  <c r="CQ5" i="6"/>
  <c r="G51" i="31"/>
  <c r="G17"/>
  <c r="G53"/>
  <c r="G52"/>
  <c r="G50"/>
  <c r="CD24" i="44"/>
  <c r="CD22"/>
  <c r="CD20"/>
  <c r="CD18"/>
  <c r="CD16"/>
  <c r="CD25"/>
  <c r="CD21"/>
  <c r="CD17"/>
  <c r="CF15"/>
  <c r="CD23"/>
  <c r="CD19"/>
  <c r="G49" i="31"/>
  <c r="G48"/>
  <c r="G46"/>
  <c r="G45"/>
  <c r="G44"/>
  <c r="G43"/>
  <c r="G42"/>
  <c r="G41"/>
  <c r="G40"/>
  <c r="G39"/>
  <c r="G38"/>
  <c r="G37"/>
  <c r="G36"/>
  <c r="G35"/>
  <c r="G34"/>
  <c r="G33"/>
  <c r="G32"/>
  <c r="G31"/>
  <c r="G30"/>
  <c r="G29"/>
  <c r="G28"/>
  <c r="G27"/>
  <c r="G26"/>
  <c r="G25"/>
  <c r="G24"/>
  <c r="G23"/>
  <c r="G22"/>
  <c r="G21"/>
  <c r="G20"/>
  <c r="G19"/>
  <c r="G16"/>
  <c r="G15"/>
  <c r="G47"/>
  <c r="G18"/>
  <c r="S8" i="34"/>
  <c r="R8"/>
  <c r="P8"/>
  <c r="B5" i="45"/>
  <c r="C5" s="1"/>
  <c r="T8" i="34"/>
  <c r="U8"/>
  <c r="Q8"/>
  <c r="BD5" i="8"/>
  <c r="BJ5" s="1"/>
  <c r="BE5"/>
  <c r="BF5" s="1"/>
  <c r="BH5" s="1"/>
  <c r="BJ6"/>
  <c r="BJ28"/>
  <c r="BJ26"/>
  <c r="BJ24"/>
  <c r="BJ22"/>
  <c r="BJ20"/>
  <c r="BJ18"/>
  <c r="BJ16"/>
  <c r="BJ14"/>
  <c r="BJ12"/>
  <c r="BJ10"/>
  <c r="BJ27"/>
  <c r="BJ25"/>
  <c r="BJ23"/>
  <c r="BJ21"/>
  <c r="BJ19"/>
  <c r="BJ17"/>
  <c r="BJ15"/>
  <c r="BJ13"/>
  <c r="BJ11"/>
  <c r="BG40"/>
  <c r="H49" i="31" s="1"/>
  <c r="BI40" i="8"/>
  <c r="BK40" s="1"/>
  <c r="I49" i="31" s="1"/>
  <c r="BG36" i="8"/>
  <c r="H45" i="31" s="1"/>
  <c r="BI36" i="8"/>
  <c r="BI35"/>
  <c r="BG35"/>
  <c r="H44" i="31" s="1"/>
  <c r="BG26" i="8"/>
  <c r="H35" i="31" s="1"/>
  <c r="BI26" i="8"/>
  <c r="BG24"/>
  <c r="H33" i="31" s="1"/>
  <c r="BI24" i="8"/>
  <c r="BG22"/>
  <c r="H31" i="31" s="1"/>
  <c r="BI22" i="8"/>
  <c r="BK42"/>
  <c r="I51" i="31" s="1"/>
  <c r="BG42" i="8"/>
  <c r="H51" i="31" s="1"/>
  <c r="BI42" i="8"/>
  <c r="BK44"/>
  <c r="I53" i="31" s="1"/>
  <c r="BG44" i="8"/>
  <c r="H53" i="31" s="1"/>
  <c r="BI44" i="8"/>
  <c r="BK43"/>
  <c r="I52" i="31" s="1"/>
  <c r="BI43" i="8"/>
  <c r="BG43"/>
  <c r="H52" i="31" s="1"/>
  <c r="BK41" i="8"/>
  <c r="I50" i="31" s="1"/>
  <c r="BI41" i="8"/>
  <c r="BG41"/>
  <c r="H50" i="31" s="1"/>
  <c r="BG34" i="8"/>
  <c r="H43" i="31" s="1"/>
  <c r="BI34" i="8"/>
  <c r="BI33"/>
  <c r="BG33"/>
  <c r="H42" i="31" s="1"/>
  <c r="BG32" i="8"/>
  <c r="H41" i="31" s="1"/>
  <c r="BI32" i="8"/>
  <c r="BI31"/>
  <c r="BG31"/>
  <c r="H40" i="31" s="1"/>
  <c r="BG30" i="8"/>
  <c r="H39" i="31" s="1"/>
  <c r="BI30" i="8"/>
  <c r="BI29"/>
  <c r="BG29"/>
  <c r="H38" i="31" s="1"/>
  <c r="BG28" i="8"/>
  <c r="H37" i="31" s="1"/>
  <c r="BI28" i="8"/>
  <c r="BI27"/>
  <c r="BG27"/>
  <c r="H36" i="31" s="1"/>
  <c r="BG18" i="8"/>
  <c r="H27" i="31" s="1"/>
  <c r="BI18" i="8"/>
  <c r="BI17"/>
  <c r="BG17"/>
  <c r="H26" i="31" s="1"/>
  <c r="BG16" i="8"/>
  <c r="H25" i="31" s="1"/>
  <c r="BI16" i="8"/>
  <c r="BJ9"/>
  <c r="BI39"/>
  <c r="BG39"/>
  <c r="H48" i="31" s="1"/>
  <c r="BI37" i="8"/>
  <c r="BG37"/>
  <c r="H46" i="31" s="1"/>
  <c r="BI25" i="8"/>
  <c r="BG25"/>
  <c r="H34" i="31" s="1"/>
  <c r="BI23" i="8"/>
  <c r="BG23"/>
  <c r="H32" i="31" s="1"/>
  <c r="BI21" i="8"/>
  <c r="BG21"/>
  <c r="H30" i="31" s="1"/>
  <c r="BG20" i="8"/>
  <c r="H29" i="31" s="1"/>
  <c r="BI20" i="8"/>
  <c r="BI19"/>
  <c r="BG19"/>
  <c r="H28" i="31" s="1"/>
  <c r="BI15" i="8"/>
  <c r="BG15"/>
  <c r="H24" i="31" s="1"/>
  <c r="BG14" i="8"/>
  <c r="H23" i="31" s="1"/>
  <c r="BI14" i="8"/>
  <c r="BI13"/>
  <c r="BG13"/>
  <c r="H22" i="31" s="1"/>
  <c r="BG12" i="8"/>
  <c r="H21" i="31" s="1"/>
  <c r="BI12" i="8"/>
  <c r="BI11"/>
  <c r="BG11"/>
  <c r="H20" i="31" s="1"/>
  <c r="BG10" i="8"/>
  <c r="H19" i="31" s="1"/>
  <c r="BI10" i="8"/>
  <c r="BG38"/>
  <c r="H47" i="31" s="1"/>
  <c r="BI38" i="8"/>
  <c r="BK38" s="1"/>
  <c r="I47" i="31" s="1"/>
  <c r="BI9" i="8"/>
  <c r="BG9"/>
  <c r="H18" i="31" s="1"/>
  <c r="BJ8" i="8"/>
  <c r="BI8"/>
  <c r="BG8"/>
  <c r="H17" i="31" s="1"/>
  <c r="BG7" i="8"/>
  <c r="H16" i="31" s="1"/>
  <c r="BI7" i="8"/>
  <c r="BJ7"/>
  <c r="BG6"/>
  <c r="H15" i="31" s="1"/>
  <c r="BI6" i="8"/>
  <c r="V8" i="34"/>
  <c r="CB24" i="45"/>
  <c r="CB22"/>
  <c r="CB20"/>
  <c r="CB18"/>
  <c r="CB16"/>
  <c r="CB25"/>
  <c r="CB23"/>
  <c r="CB21"/>
  <c r="CB19"/>
  <c r="CB17"/>
  <c r="CD15"/>
  <c r="K12" i="42"/>
  <c r="M12"/>
  <c r="BK36" i="8" l="1"/>
  <c r="I45" i="31" s="1"/>
  <c r="BK17" i="8"/>
  <c r="I26" i="31" s="1"/>
  <c r="BK34" i="8"/>
  <c r="I43" i="31" s="1"/>
  <c r="BK10" i="8"/>
  <c r="I19" i="31" s="1"/>
  <c r="BK39" i="8"/>
  <c r="I48" i="31" s="1"/>
  <c r="BK21" i="8"/>
  <c r="I30" i="31" s="1"/>
  <c r="BK37" i="8"/>
  <c r="I46" i="31" s="1"/>
  <c r="BK18" i="8"/>
  <c r="I27" i="31" s="1"/>
  <c r="BK32" i="8"/>
  <c r="I41" i="31" s="1"/>
  <c r="BK29" i="8"/>
  <c r="I38" i="31" s="1"/>
  <c r="BK31" i="8"/>
  <c r="I40" i="31" s="1"/>
  <c r="BK33" i="8"/>
  <c r="I42" i="31" s="1"/>
  <c r="BK14" i="8"/>
  <c r="I23" i="31" s="1"/>
  <c r="BK35" i="8"/>
  <c r="I44" i="31" s="1"/>
  <c r="BK25" i="8"/>
  <c r="I34" i="31" s="1"/>
  <c r="BK22" i="8"/>
  <c r="I31" i="31" s="1"/>
  <c r="BK30" i="8"/>
  <c r="I39" i="31" s="1"/>
  <c r="BG5" i="8"/>
  <c r="H14" i="31" s="1"/>
  <c r="C14" i="42" s="1"/>
  <c r="BK6" i="8"/>
  <c r="I15" i="31" s="1"/>
  <c r="BK26" i="8"/>
  <c r="I35" i="31" s="1"/>
  <c r="BK19" i="8"/>
  <c r="I28" i="31" s="1"/>
  <c r="BK13" i="8"/>
  <c r="I22" i="31" s="1"/>
  <c r="CS5" i="6"/>
  <c r="CR5"/>
  <c r="E14" i="31" s="1"/>
  <c r="C13" i="42" s="1"/>
  <c r="D14" i="31"/>
  <c r="B13" i="42" s="1"/>
  <c r="CF24" i="44"/>
  <c r="CF22"/>
  <c r="CF20"/>
  <c r="CF18"/>
  <c r="CF16"/>
  <c r="CH15"/>
  <c r="CF23"/>
  <c r="CF25"/>
  <c r="CF19"/>
  <c r="CF21"/>
  <c r="CF17"/>
  <c r="BI5" i="8"/>
  <c r="BK5" s="1"/>
  <c r="BK23"/>
  <c r="I32" i="31" s="1"/>
  <c r="BK27" i="8"/>
  <c r="I36" i="31" s="1"/>
  <c r="BK12" i="8"/>
  <c r="I21" i="31" s="1"/>
  <c r="BK28" i="8"/>
  <c r="I37" i="31" s="1"/>
  <c r="BK11" i="8"/>
  <c r="I20" i="31" s="1"/>
  <c r="BK15" i="8"/>
  <c r="I24" i="31" s="1"/>
  <c r="BK20" i="8"/>
  <c r="I29" i="31" s="1"/>
  <c r="BK16" i="8"/>
  <c r="I25" i="31" s="1"/>
  <c r="BK24" i="8"/>
  <c r="I33" i="31" s="1"/>
  <c r="BK8" i="8"/>
  <c r="I17" i="31" s="1"/>
  <c r="BK9" i="8"/>
  <c r="I18" i="31" s="1"/>
  <c r="BK7" i="8"/>
  <c r="I16" i="31" s="1"/>
  <c r="CD25" i="45"/>
  <c r="CD23"/>
  <c r="CD21"/>
  <c r="CD19"/>
  <c r="CD17"/>
  <c r="CD24"/>
  <c r="CD22"/>
  <c r="CD20"/>
  <c r="CD18"/>
  <c r="CD16"/>
  <c r="CF15"/>
  <c r="G14" i="31"/>
  <c r="B14" i="42" s="1"/>
  <c r="P62" i="31"/>
  <c r="CV5" i="6" l="1"/>
  <c r="F14" i="31" s="1"/>
  <c r="D13" i="42" s="1"/>
  <c r="CH24" i="44"/>
  <c r="CH22"/>
  <c r="CH20"/>
  <c r="CH18"/>
  <c r="CH16"/>
  <c r="CH25"/>
  <c r="CH21"/>
  <c r="CH17"/>
  <c r="CH23"/>
  <c r="CH19"/>
  <c r="CJ15"/>
  <c r="CF24" i="45"/>
  <c r="CF22"/>
  <c r="CF20"/>
  <c r="CF18"/>
  <c r="CF16"/>
  <c r="CF25"/>
  <c r="CF23"/>
  <c r="CF21"/>
  <c r="CF19"/>
  <c r="CF17"/>
  <c r="CH15"/>
  <c r="G62" i="31"/>
  <c r="CJ24" i="44" l="1"/>
  <c r="CJ22"/>
  <c r="CJ20"/>
  <c r="CJ18"/>
  <c r="CJ16"/>
  <c r="CL15"/>
  <c r="CJ21"/>
  <c r="CJ25"/>
  <c r="CJ23"/>
  <c r="CJ19"/>
  <c r="CJ17"/>
  <c r="CH25" i="45"/>
  <c r="CH23"/>
  <c r="CH21"/>
  <c r="CH19"/>
  <c r="CH17"/>
  <c r="CH24"/>
  <c r="CH22"/>
  <c r="CH20"/>
  <c r="CH18"/>
  <c r="CH16"/>
  <c r="CJ15"/>
  <c r="I14" i="31"/>
  <c r="D14" i="42" s="1"/>
  <c r="CL24" i="44" l="1"/>
  <c r="CL22"/>
  <c r="CL20"/>
  <c r="CL18"/>
  <c r="CL16"/>
  <c r="CL25"/>
  <c r="CL23"/>
  <c r="CL21"/>
  <c r="CL19"/>
  <c r="CL17"/>
  <c r="CN15"/>
  <c r="CJ24" i="45"/>
  <c r="CJ22"/>
  <c r="CJ20"/>
  <c r="CJ18"/>
  <c r="CJ16"/>
  <c r="CJ25"/>
  <c r="CJ23"/>
  <c r="CJ21"/>
  <c r="CJ19"/>
  <c r="CJ17"/>
  <c r="CL15"/>
  <c r="CN24" i="44" l="1"/>
  <c r="CN22"/>
  <c r="CN20"/>
  <c r="CN18"/>
  <c r="CN16"/>
  <c r="CP15"/>
  <c r="CN23"/>
  <c r="CN19"/>
  <c r="CN25"/>
  <c r="CN21"/>
  <c r="CN17"/>
  <c r="CL25" i="45"/>
  <c r="CL23"/>
  <c r="CL21"/>
  <c r="CL19"/>
  <c r="CL17"/>
  <c r="CL24"/>
  <c r="CL22"/>
  <c r="CL20"/>
  <c r="CL18"/>
  <c r="CL16"/>
  <c r="CN15"/>
  <c r="CP24" i="44" l="1"/>
  <c r="CP22"/>
  <c r="CP20"/>
  <c r="CP18"/>
  <c r="CP16"/>
  <c r="CP25"/>
  <c r="CP21"/>
  <c r="CP17"/>
  <c r="CP23"/>
  <c r="CP19"/>
  <c r="CR15"/>
  <c r="CN24" i="45"/>
  <c r="CN22"/>
  <c r="CN20"/>
  <c r="CN18"/>
  <c r="CN16"/>
  <c r="CN25"/>
  <c r="CN23"/>
  <c r="CN21"/>
  <c r="CN19"/>
  <c r="CN17"/>
  <c r="CP15"/>
  <c r="CR24" i="44" l="1"/>
  <c r="CR22"/>
  <c r="CR20"/>
  <c r="CR18"/>
  <c r="CR16"/>
  <c r="CR19"/>
  <c r="CR25"/>
  <c r="CR23"/>
  <c r="CR21"/>
  <c r="CR17"/>
  <c r="CP25" i="45"/>
  <c r="CP23"/>
  <c r="CP21"/>
  <c r="CP19"/>
  <c r="CP17"/>
  <c r="CP24"/>
  <c r="CP22"/>
  <c r="CP20"/>
  <c r="CP18"/>
  <c r="CP16"/>
  <c r="CR15"/>
  <c r="CR24" l="1"/>
  <c r="CR22"/>
  <c r="CR20"/>
  <c r="CR18"/>
  <c r="CR16"/>
  <c r="CR25"/>
  <c r="CR23"/>
  <c r="CR21"/>
  <c r="CR19"/>
  <c r="CR17"/>
</calcChain>
</file>

<file path=xl/comments1.xml><?xml version="1.0" encoding="utf-8"?>
<comments xmlns="http://schemas.openxmlformats.org/spreadsheetml/2006/main">
  <authors>
    <author>vans</author>
  </authors>
  <commentList>
    <comment ref="F5" authorId="0">
      <text>
        <r>
          <rPr>
            <b/>
            <sz val="8"/>
            <color indexed="81"/>
            <rFont val="Tahoma"/>
            <family val="2"/>
          </rPr>
          <t>shoeliyat:
Isikan Kode KD… contoh 3.1 cukup diketik 31</t>
        </r>
        <r>
          <rPr>
            <sz val="8"/>
            <color indexed="81"/>
            <rFont val="Tahoma"/>
            <family val="2"/>
          </rPr>
          <t xml:space="preserve">
</t>
        </r>
      </text>
    </comment>
    <comment ref="N5" authorId="0">
      <text>
        <r>
          <rPr>
            <b/>
            <sz val="8"/>
            <color indexed="81"/>
            <rFont val="Tahoma"/>
            <family val="2"/>
          </rPr>
          <t>shoeliyat:
Isikan Kode KD… contoh 3.1 cukup diketik 31</t>
        </r>
        <r>
          <rPr>
            <sz val="8"/>
            <color indexed="81"/>
            <rFont val="Tahoma"/>
            <family val="2"/>
          </rPr>
          <t xml:space="preserve">
</t>
        </r>
      </text>
    </comment>
  </commentList>
</comments>
</file>

<file path=xl/comments2.xml><?xml version="1.0" encoding="utf-8"?>
<comments xmlns="http://schemas.openxmlformats.org/spreadsheetml/2006/main">
  <authors>
    <author>vans</author>
  </authors>
  <commentList>
    <comment ref="F2" authorId="0">
      <text>
        <r>
          <rPr>
            <b/>
            <sz val="8"/>
            <color indexed="81"/>
            <rFont val="Tahoma"/>
            <family val="2"/>
          </rPr>
          <t>shoeliyat:
Isikan Kode KD… contoh 3.1 cukup diketik 31</t>
        </r>
        <r>
          <rPr>
            <sz val="8"/>
            <color indexed="81"/>
            <rFont val="Tahoma"/>
            <family val="2"/>
          </rPr>
          <t xml:space="preserve">
</t>
        </r>
      </text>
    </comment>
    <comment ref="N2" authorId="0">
      <text>
        <r>
          <rPr>
            <b/>
            <sz val="8"/>
            <color indexed="81"/>
            <rFont val="Tahoma"/>
            <family val="2"/>
          </rPr>
          <t>shoeliyat:
Isikan Kode KD… contoh 3.1 cukup diketik 31</t>
        </r>
        <r>
          <rPr>
            <sz val="8"/>
            <color indexed="81"/>
            <rFont val="Tahoma"/>
            <family val="2"/>
          </rPr>
          <t xml:space="preserve">
</t>
        </r>
      </text>
    </comment>
    <comment ref="V2" authorId="0">
      <text>
        <r>
          <rPr>
            <b/>
            <sz val="8"/>
            <color indexed="81"/>
            <rFont val="Tahoma"/>
            <family val="2"/>
          </rPr>
          <t>shoeliyat:
Isikan Kode KD… contoh 3.1 cukup diketik 31</t>
        </r>
        <r>
          <rPr>
            <sz val="8"/>
            <color indexed="81"/>
            <rFont val="Tahoma"/>
            <family val="2"/>
          </rPr>
          <t xml:space="preserve">
</t>
        </r>
      </text>
    </comment>
    <comment ref="AD2" authorId="0">
      <text>
        <r>
          <rPr>
            <b/>
            <sz val="8"/>
            <color indexed="81"/>
            <rFont val="Tahoma"/>
            <family val="2"/>
          </rPr>
          <t>shoeliyat:
Isikan Kode KD… contoh 3.1 cukup diketik 31</t>
        </r>
        <r>
          <rPr>
            <sz val="8"/>
            <color indexed="81"/>
            <rFont val="Tahoma"/>
            <family val="2"/>
          </rPr>
          <t xml:space="preserve">
</t>
        </r>
      </text>
    </comment>
    <comment ref="AL2" authorId="0">
      <text>
        <r>
          <rPr>
            <b/>
            <sz val="8"/>
            <color indexed="81"/>
            <rFont val="Tahoma"/>
            <family val="2"/>
          </rPr>
          <t>shoeliyat:
Isikan Kode KD… contoh 3.1 cukup diketik 31</t>
        </r>
        <r>
          <rPr>
            <sz val="8"/>
            <color indexed="81"/>
            <rFont val="Tahoma"/>
            <family val="2"/>
          </rPr>
          <t xml:space="preserve">
</t>
        </r>
      </text>
    </comment>
    <comment ref="AT2" authorId="0">
      <text>
        <r>
          <rPr>
            <b/>
            <sz val="8"/>
            <color indexed="81"/>
            <rFont val="Tahoma"/>
            <family val="2"/>
          </rPr>
          <t>shoeliyat:
Isikan Kode KD… contoh 3.1 cukup diketik 31</t>
        </r>
        <r>
          <rPr>
            <sz val="8"/>
            <color indexed="81"/>
            <rFont val="Tahoma"/>
            <family val="2"/>
          </rPr>
          <t xml:space="preserve">
</t>
        </r>
      </text>
    </comment>
    <comment ref="BB2" authorId="0">
      <text>
        <r>
          <rPr>
            <b/>
            <sz val="8"/>
            <color indexed="81"/>
            <rFont val="Tahoma"/>
            <family val="2"/>
          </rPr>
          <t>shoeliyat:
Isikan Kode KD… contoh 3.1 cukup diketik 31</t>
        </r>
        <r>
          <rPr>
            <sz val="8"/>
            <color indexed="81"/>
            <rFont val="Tahoma"/>
            <family val="2"/>
          </rPr>
          <t xml:space="preserve">
</t>
        </r>
      </text>
    </comment>
    <comment ref="BJ2" authorId="0">
      <text>
        <r>
          <rPr>
            <b/>
            <sz val="8"/>
            <color indexed="81"/>
            <rFont val="Tahoma"/>
            <family val="2"/>
          </rPr>
          <t>shoeliyat:
Isikan Kode KD… contoh 3.1 cukup diketik 31</t>
        </r>
        <r>
          <rPr>
            <sz val="8"/>
            <color indexed="81"/>
            <rFont val="Tahoma"/>
            <family val="2"/>
          </rPr>
          <t xml:space="preserve">
</t>
        </r>
      </text>
    </comment>
    <comment ref="BR2" authorId="0">
      <text>
        <r>
          <rPr>
            <b/>
            <sz val="8"/>
            <color indexed="81"/>
            <rFont val="Tahoma"/>
            <family val="2"/>
          </rPr>
          <t>shoeliyat:
Isikan Kode KD… contoh 3.1 cukup diketik 31</t>
        </r>
        <r>
          <rPr>
            <sz val="8"/>
            <color indexed="81"/>
            <rFont val="Tahoma"/>
            <family val="2"/>
          </rPr>
          <t xml:space="preserve">
</t>
        </r>
      </text>
    </comment>
    <comment ref="BZ2" authorId="0">
      <text>
        <r>
          <rPr>
            <b/>
            <sz val="8"/>
            <color indexed="81"/>
            <rFont val="Tahoma"/>
            <family val="2"/>
          </rPr>
          <t>shoeliyat:
Isikan Kode KD… contoh 3.1 cukup diketik 31</t>
        </r>
        <r>
          <rPr>
            <sz val="8"/>
            <color indexed="81"/>
            <rFont val="Tahoma"/>
            <family val="2"/>
          </rPr>
          <t xml:space="preserve">
</t>
        </r>
      </text>
    </comment>
  </commentList>
</comments>
</file>

<file path=xl/comments3.xml><?xml version="1.0" encoding="utf-8"?>
<comments xmlns="http://schemas.openxmlformats.org/spreadsheetml/2006/main">
  <authors>
    <author>SHOELIYHAT</author>
  </authors>
  <commentList>
    <comment ref="F2" authorId="0">
      <text>
        <r>
          <rPr>
            <b/>
            <sz val="9"/>
            <color indexed="81"/>
            <rFont val="Tahoma"/>
            <family val="2"/>
          </rPr>
          <t>SHOELIYHAT:
Isikan no KD mis 3.1 hanya diketik 31 saja... Ngiiihhh....</t>
        </r>
        <r>
          <rPr>
            <sz val="9"/>
            <color indexed="81"/>
            <rFont val="Tahoma"/>
            <family val="2"/>
          </rPr>
          <t xml:space="preserve">
</t>
        </r>
      </text>
    </comment>
    <comment ref="K2" authorId="0">
      <text>
        <r>
          <rPr>
            <b/>
            <sz val="9"/>
            <color indexed="81"/>
            <rFont val="Tahoma"/>
            <family val="2"/>
          </rPr>
          <t>SHOELIYHAT:
Isikan no KD mis 3.1 hanya diketik 31 saja... Ngiiihhh....</t>
        </r>
        <r>
          <rPr>
            <sz val="9"/>
            <color indexed="81"/>
            <rFont val="Tahoma"/>
            <family val="2"/>
          </rPr>
          <t xml:space="preserve">
</t>
        </r>
      </text>
    </comment>
    <comment ref="P2" authorId="0">
      <text>
        <r>
          <rPr>
            <b/>
            <sz val="9"/>
            <color indexed="81"/>
            <rFont val="Tahoma"/>
            <family val="2"/>
          </rPr>
          <t>SHOELIYHAT:
Isikan no KD mis 3.1 hanya diketik 31 saja... Ngiiihhh....</t>
        </r>
        <r>
          <rPr>
            <sz val="9"/>
            <color indexed="81"/>
            <rFont val="Tahoma"/>
            <family val="2"/>
          </rPr>
          <t xml:space="preserve">
</t>
        </r>
      </text>
    </comment>
    <comment ref="U2" authorId="0">
      <text>
        <r>
          <rPr>
            <b/>
            <sz val="9"/>
            <color indexed="81"/>
            <rFont val="Tahoma"/>
            <family val="2"/>
          </rPr>
          <t>SHOELIYHAT:
Isikan no KD mis 3.1 hanya diketik 31 saja... Ngiiihhh....</t>
        </r>
        <r>
          <rPr>
            <sz val="9"/>
            <color indexed="81"/>
            <rFont val="Tahoma"/>
            <family val="2"/>
          </rPr>
          <t xml:space="preserve">
</t>
        </r>
      </text>
    </comment>
    <comment ref="Z2" authorId="0">
      <text>
        <r>
          <rPr>
            <b/>
            <sz val="9"/>
            <color indexed="81"/>
            <rFont val="Tahoma"/>
            <family val="2"/>
          </rPr>
          <t>SHOELIYHAT:
Isikan no KD mis 3.1 hanya diketik 31 saja... Ngiiihhh....</t>
        </r>
        <r>
          <rPr>
            <sz val="9"/>
            <color indexed="81"/>
            <rFont val="Tahoma"/>
            <family val="2"/>
          </rPr>
          <t xml:space="preserve">
</t>
        </r>
      </text>
    </comment>
    <comment ref="AE2" authorId="0">
      <text>
        <r>
          <rPr>
            <b/>
            <sz val="9"/>
            <color indexed="81"/>
            <rFont val="Tahoma"/>
            <family val="2"/>
          </rPr>
          <t>SHOELIYHAT:
Isikan no KD mis 3.1 hanya diketik 31 saja... Ngiiihhh....</t>
        </r>
        <r>
          <rPr>
            <sz val="9"/>
            <color indexed="81"/>
            <rFont val="Tahoma"/>
            <family val="2"/>
          </rPr>
          <t xml:space="preserve">
</t>
        </r>
      </text>
    </comment>
    <comment ref="AJ2" authorId="0">
      <text>
        <r>
          <rPr>
            <b/>
            <sz val="9"/>
            <color indexed="81"/>
            <rFont val="Tahoma"/>
            <family val="2"/>
          </rPr>
          <t>SHOELIYHAT:
Isikan no KD mis 3.1 hanya diketik 31 saja... Ngiiihhh....</t>
        </r>
        <r>
          <rPr>
            <sz val="9"/>
            <color indexed="81"/>
            <rFont val="Tahoma"/>
            <family val="2"/>
          </rPr>
          <t xml:space="preserve">
</t>
        </r>
      </text>
    </comment>
    <comment ref="AO2" authorId="0">
      <text>
        <r>
          <rPr>
            <b/>
            <sz val="9"/>
            <color indexed="81"/>
            <rFont val="Tahoma"/>
            <family val="2"/>
          </rPr>
          <t>SHOELIYHAT:
Isikan no KD mis 3.1 hanya diketik 31 saja... Ngiiihhh....</t>
        </r>
        <r>
          <rPr>
            <sz val="9"/>
            <color indexed="81"/>
            <rFont val="Tahoma"/>
            <family val="2"/>
          </rPr>
          <t xml:space="preserve">
</t>
        </r>
      </text>
    </comment>
    <comment ref="AT2" authorId="0">
      <text>
        <r>
          <rPr>
            <b/>
            <sz val="9"/>
            <color indexed="81"/>
            <rFont val="Tahoma"/>
            <family val="2"/>
          </rPr>
          <t>SHOELIYHAT:
Isikan no KD mis 3.1 hanya diketik 31 saja... Ngiiihhh....</t>
        </r>
        <r>
          <rPr>
            <sz val="9"/>
            <color indexed="81"/>
            <rFont val="Tahoma"/>
            <family val="2"/>
          </rPr>
          <t xml:space="preserve">
</t>
        </r>
      </text>
    </comment>
    <comment ref="AY2" authorId="0">
      <text>
        <r>
          <rPr>
            <b/>
            <sz val="9"/>
            <color indexed="81"/>
            <rFont val="Tahoma"/>
            <family val="2"/>
          </rPr>
          <t>SHOELIYHAT:
Isikan no KD mis 3.1 hanya diketik 31 saja... Ngiiihhh....</t>
        </r>
        <r>
          <rPr>
            <sz val="9"/>
            <color indexed="81"/>
            <rFont val="Tahoma"/>
            <family val="2"/>
          </rPr>
          <t xml:space="preserve">
</t>
        </r>
      </text>
    </comment>
  </commentList>
</comments>
</file>

<file path=xl/comments4.xml><?xml version="1.0" encoding="utf-8"?>
<comments xmlns="http://schemas.openxmlformats.org/spreadsheetml/2006/main">
  <authors>
    <author>CURRICULLUM</author>
  </authors>
  <commentList>
    <comment ref="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G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H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K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M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P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Q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R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U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V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W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Z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A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B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E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G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J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K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O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P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Q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T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U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V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Y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Z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A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List>
</comments>
</file>

<file path=xl/comments5.xml><?xml version="1.0" encoding="utf-8"?>
<comments xmlns="http://schemas.openxmlformats.org/spreadsheetml/2006/main">
  <authors>
    <author>CURRICULLUM</author>
  </authors>
  <commentList>
    <comment ref="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G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H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I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M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N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O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R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S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T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U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X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Y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Z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A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D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E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G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J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K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M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P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Q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R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S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V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W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X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Y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BB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C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D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E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BH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I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J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K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List>
</comments>
</file>

<file path=xl/comments6.xml><?xml version="1.0" encoding="utf-8"?>
<comments xmlns="http://schemas.openxmlformats.org/spreadsheetml/2006/main">
  <authors>
    <author>vans</author>
  </authors>
  <commentList>
    <comment ref="F5" authorId="0">
      <text>
        <r>
          <rPr>
            <b/>
            <sz val="8"/>
            <color indexed="81"/>
            <rFont val="Tahoma"/>
            <family val="2"/>
          </rPr>
          <t>SULIYAT: 
ISIKAN KEJADIAN/ PERILAKU SISWA</t>
        </r>
        <r>
          <rPr>
            <sz val="8"/>
            <color indexed="81"/>
            <rFont val="Tahoma"/>
            <family val="2"/>
          </rPr>
          <t xml:space="preserve">
</t>
        </r>
      </text>
    </comment>
    <comment ref="G5" authorId="0">
      <text>
        <r>
          <rPr>
            <b/>
            <sz val="8"/>
            <color indexed="81"/>
            <rFont val="Tahoma"/>
            <family val="2"/>
          </rPr>
          <t>SULIYAT: 
ISIKAN KEJADIAN/ PERILAKU SISWA</t>
        </r>
        <r>
          <rPr>
            <sz val="8"/>
            <color indexed="81"/>
            <rFont val="Tahoma"/>
            <family val="2"/>
          </rPr>
          <t xml:space="preserve">
</t>
        </r>
      </text>
    </comment>
    <comment ref="F6" authorId="0">
      <text>
        <r>
          <rPr>
            <b/>
            <sz val="8"/>
            <color indexed="81"/>
            <rFont val="Tahoma"/>
            <family val="2"/>
          </rPr>
          <t>SULIYAT: 
ISIKAN KEJADIAN/ PERILAKU SISWA</t>
        </r>
        <r>
          <rPr>
            <sz val="8"/>
            <color indexed="81"/>
            <rFont val="Tahoma"/>
            <family val="2"/>
          </rPr>
          <t xml:space="preserve">
</t>
        </r>
      </text>
    </comment>
    <comment ref="G6" authorId="0">
      <text>
        <r>
          <rPr>
            <b/>
            <sz val="8"/>
            <color indexed="81"/>
            <rFont val="Tahoma"/>
            <family val="2"/>
          </rPr>
          <t>SULIYAT: 
ISIKAN KEJADIAN/ PERILAKU SISWA</t>
        </r>
        <r>
          <rPr>
            <sz val="8"/>
            <color indexed="81"/>
            <rFont val="Tahoma"/>
            <family val="2"/>
          </rPr>
          <t xml:space="preserve">
</t>
        </r>
      </text>
    </comment>
    <comment ref="F7" authorId="0">
      <text>
        <r>
          <rPr>
            <b/>
            <sz val="8"/>
            <color indexed="81"/>
            <rFont val="Tahoma"/>
            <family val="2"/>
          </rPr>
          <t>SULIYAT: 
ISIKAN KEJADIAN/ PERILAKU SISWA</t>
        </r>
        <r>
          <rPr>
            <sz val="8"/>
            <color indexed="81"/>
            <rFont val="Tahoma"/>
            <family val="2"/>
          </rPr>
          <t xml:space="preserve">
</t>
        </r>
      </text>
    </comment>
    <comment ref="G7" authorId="0">
      <text>
        <r>
          <rPr>
            <b/>
            <sz val="8"/>
            <color indexed="81"/>
            <rFont val="Tahoma"/>
            <family val="2"/>
          </rPr>
          <t>SULIYAT: 
ISIKAN KEJADIAN/ PERILAKU SISWA</t>
        </r>
        <r>
          <rPr>
            <sz val="8"/>
            <color indexed="81"/>
            <rFont val="Tahoma"/>
            <family val="2"/>
          </rPr>
          <t xml:space="preserve">
</t>
        </r>
      </text>
    </comment>
    <comment ref="F8" authorId="0">
      <text>
        <r>
          <rPr>
            <b/>
            <sz val="8"/>
            <color indexed="81"/>
            <rFont val="Tahoma"/>
            <family val="2"/>
          </rPr>
          <t>SULIYAT: 
ISIKAN KEJADIAN/ PERILAKU SISWA</t>
        </r>
        <r>
          <rPr>
            <sz val="8"/>
            <color indexed="81"/>
            <rFont val="Tahoma"/>
            <family val="2"/>
          </rPr>
          <t xml:space="preserve">
</t>
        </r>
      </text>
    </comment>
    <comment ref="G8" authorId="0">
      <text>
        <r>
          <rPr>
            <b/>
            <sz val="8"/>
            <color indexed="81"/>
            <rFont val="Tahoma"/>
            <family val="2"/>
          </rPr>
          <t>SULIYAT: 
ISIKAN KEJADIAN/ PERILAKU SISWA</t>
        </r>
        <r>
          <rPr>
            <sz val="8"/>
            <color indexed="81"/>
            <rFont val="Tahoma"/>
            <family val="2"/>
          </rPr>
          <t xml:space="preserve">
</t>
        </r>
      </text>
    </comment>
    <comment ref="F9" authorId="0">
      <text>
        <r>
          <rPr>
            <b/>
            <sz val="8"/>
            <color indexed="81"/>
            <rFont val="Tahoma"/>
            <family val="2"/>
          </rPr>
          <t>SULIYAT: 
ISIKAN KEJADIAN/ PERILAKU SISWA</t>
        </r>
        <r>
          <rPr>
            <sz val="8"/>
            <color indexed="81"/>
            <rFont val="Tahoma"/>
            <family val="2"/>
          </rPr>
          <t xml:space="preserve">
</t>
        </r>
      </text>
    </comment>
    <comment ref="G9" authorId="0">
      <text>
        <r>
          <rPr>
            <b/>
            <sz val="8"/>
            <color indexed="81"/>
            <rFont val="Tahoma"/>
            <family val="2"/>
          </rPr>
          <t>SULIYAT: 
ISIKAN KEJADIAN/ PERILAKU SISWA</t>
        </r>
        <r>
          <rPr>
            <sz val="8"/>
            <color indexed="81"/>
            <rFont val="Tahoma"/>
            <family val="2"/>
          </rPr>
          <t xml:space="preserve">
</t>
        </r>
      </text>
    </comment>
    <comment ref="F10" authorId="0">
      <text>
        <r>
          <rPr>
            <b/>
            <sz val="8"/>
            <color indexed="81"/>
            <rFont val="Tahoma"/>
            <family val="2"/>
          </rPr>
          <t>SULIYAT: 
ISIKAN KEJADIAN/ PERILAKU SISWA</t>
        </r>
        <r>
          <rPr>
            <sz val="8"/>
            <color indexed="81"/>
            <rFont val="Tahoma"/>
            <family val="2"/>
          </rPr>
          <t xml:space="preserve">
</t>
        </r>
      </text>
    </comment>
    <comment ref="G10" authorId="0">
      <text>
        <r>
          <rPr>
            <b/>
            <sz val="8"/>
            <color indexed="81"/>
            <rFont val="Tahoma"/>
            <family val="2"/>
          </rPr>
          <t>SULIYAT: 
ISIKAN KEJADIAN/ PERILAKU SISWA</t>
        </r>
        <r>
          <rPr>
            <sz val="8"/>
            <color indexed="81"/>
            <rFont val="Tahoma"/>
            <family val="2"/>
          </rPr>
          <t xml:space="preserve">
</t>
        </r>
      </text>
    </comment>
    <comment ref="F11" authorId="0">
      <text>
        <r>
          <rPr>
            <b/>
            <sz val="8"/>
            <color indexed="81"/>
            <rFont val="Tahoma"/>
            <family val="2"/>
          </rPr>
          <t>SULIYAT: 
ISIKAN KEJADIAN/ PERILAKU SISWA</t>
        </r>
        <r>
          <rPr>
            <sz val="8"/>
            <color indexed="81"/>
            <rFont val="Tahoma"/>
            <family val="2"/>
          </rPr>
          <t xml:space="preserve">
</t>
        </r>
      </text>
    </comment>
    <comment ref="G11" authorId="0">
      <text>
        <r>
          <rPr>
            <b/>
            <sz val="8"/>
            <color indexed="81"/>
            <rFont val="Tahoma"/>
            <family val="2"/>
          </rPr>
          <t>SULIYAT: 
ISIKAN KEJADIAN/ PERILAKU SISWA</t>
        </r>
        <r>
          <rPr>
            <sz val="8"/>
            <color indexed="81"/>
            <rFont val="Tahoma"/>
            <family val="2"/>
          </rPr>
          <t xml:space="preserve">
</t>
        </r>
      </text>
    </comment>
    <comment ref="F12" authorId="0">
      <text>
        <r>
          <rPr>
            <b/>
            <sz val="8"/>
            <color indexed="81"/>
            <rFont val="Tahoma"/>
            <family val="2"/>
          </rPr>
          <t>SULIYAT: 
ISIKAN KEJADIAN/ PERILAKU SISWA</t>
        </r>
        <r>
          <rPr>
            <sz val="8"/>
            <color indexed="81"/>
            <rFont val="Tahoma"/>
            <family val="2"/>
          </rPr>
          <t xml:space="preserve">
</t>
        </r>
      </text>
    </comment>
    <comment ref="G12" authorId="0">
      <text>
        <r>
          <rPr>
            <b/>
            <sz val="8"/>
            <color indexed="81"/>
            <rFont val="Tahoma"/>
            <family val="2"/>
          </rPr>
          <t>SULIYAT: 
ISIKAN KEJADIAN/ PERILAKU SISWA</t>
        </r>
        <r>
          <rPr>
            <sz val="8"/>
            <color indexed="81"/>
            <rFont val="Tahoma"/>
            <family val="2"/>
          </rPr>
          <t xml:space="preserve">
</t>
        </r>
      </text>
    </comment>
    <comment ref="F13" authorId="0">
      <text>
        <r>
          <rPr>
            <b/>
            <sz val="8"/>
            <color indexed="81"/>
            <rFont val="Tahoma"/>
            <family val="2"/>
          </rPr>
          <t>SULIYAT: 
ISIKAN KEJADIAN/ PERILAKU SISWA</t>
        </r>
        <r>
          <rPr>
            <sz val="8"/>
            <color indexed="81"/>
            <rFont val="Tahoma"/>
            <family val="2"/>
          </rPr>
          <t xml:space="preserve">
</t>
        </r>
      </text>
    </comment>
    <comment ref="G13" authorId="0">
      <text>
        <r>
          <rPr>
            <b/>
            <sz val="8"/>
            <color indexed="81"/>
            <rFont val="Tahoma"/>
            <family val="2"/>
          </rPr>
          <t>SULIYAT: 
ISIKAN KEJADIAN/ PERILAKU SISWA</t>
        </r>
        <r>
          <rPr>
            <sz val="8"/>
            <color indexed="81"/>
            <rFont val="Tahoma"/>
            <family val="2"/>
          </rPr>
          <t xml:space="preserve">
</t>
        </r>
      </text>
    </comment>
    <comment ref="F14" authorId="0">
      <text>
        <r>
          <rPr>
            <b/>
            <sz val="8"/>
            <color indexed="81"/>
            <rFont val="Tahoma"/>
            <family val="2"/>
          </rPr>
          <t>SULIYAT: 
ISIKAN KEJADIAN/ PERILAKU SISWA</t>
        </r>
        <r>
          <rPr>
            <sz val="8"/>
            <color indexed="81"/>
            <rFont val="Tahoma"/>
            <family val="2"/>
          </rPr>
          <t xml:space="preserve">
</t>
        </r>
      </text>
    </comment>
    <comment ref="G14" authorId="0">
      <text>
        <r>
          <rPr>
            <b/>
            <sz val="8"/>
            <color indexed="81"/>
            <rFont val="Tahoma"/>
            <family val="2"/>
          </rPr>
          <t>SULIYAT: 
ISIKAN KEJADIAN/ PERILAKU SISWA</t>
        </r>
        <r>
          <rPr>
            <sz val="8"/>
            <color indexed="81"/>
            <rFont val="Tahoma"/>
            <family val="2"/>
          </rPr>
          <t xml:space="preserve">
</t>
        </r>
      </text>
    </comment>
    <comment ref="F15" authorId="0">
      <text>
        <r>
          <rPr>
            <b/>
            <sz val="8"/>
            <color indexed="81"/>
            <rFont val="Tahoma"/>
            <family val="2"/>
          </rPr>
          <t>SULIYAT: 
ISIKAN KEJADIAN/ PERILAKU SISWA</t>
        </r>
        <r>
          <rPr>
            <sz val="8"/>
            <color indexed="81"/>
            <rFont val="Tahoma"/>
            <family val="2"/>
          </rPr>
          <t xml:space="preserve">
</t>
        </r>
      </text>
    </comment>
    <comment ref="G15" authorId="0">
      <text>
        <r>
          <rPr>
            <b/>
            <sz val="8"/>
            <color indexed="81"/>
            <rFont val="Tahoma"/>
            <family val="2"/>
          </rPr>
          <t>SULIYAT: 
ISIKAN KEJADIAN/ PERILAKU SISWA</t>
        </r>
        <r>
          <rPr>
            <sz val="8"/>
            <color indexed="81"/>
            <rFont val="Tahoma"/>
            <family val="2"/>
          </rPr>
          <t xml:space="preserve">
</t>
        </r>
      </text>
    </comment>
    <comment ref="F16" authorId="0">
      <text>
        <r>
          <rPr>
            <b/>
            <sz val="8"/>
            <color indexed="81"/>
            <rFont val="Tahoma"/>
            <family val="2"/>
          </rPr>
          <t>SULIYAT: 
ISIKAN KEJADIAN/ PERILAKU SISWA</t>
        </r>
        <r>
          <rPr>
            <sz val="8"/>
            <color indexed="81"/>
            <rFont val="Tahoma"/>
            <family val="2"/>
          </rPr>
          <t xml:space="preserve">
</t>
        </r>
      </text>
    </comment>
    <comment ref="G16" authorId="0">
      <text>
        <r>
          <rPr>
            <b/>
            <sz val="8"/>
            <color indexed="81"/>
            <rFont val="Tahoma"/>
            <family val="2"/>
          </rPr>
          <t>SULIYAT: 
ISIKAN KEJADIAN/ PERILAKU SISWA</t>
        </r>
        <r>
          <rPr>
            <sz val="8"/>
            <color indexed="81"/>
            <rFont val="Tahoma"/>
            <family val="2"/>
          </rPr>
          <t xml:space="preserve">
</t>
        </r>
      </text>
    </comment>
    <comment ref="F17" authorId="0">
      <text>
        <r>
          <rPr>
            <b/>
            <sz val="8"/>
            <color indexed="81"/>
            <rFont val="Tahoma"/>
            <family val="2"/>
          </rPr>
          <t>SULIYAT: 
ISIKAN KEJADIAN/ PERILAKU SISWA</t>
        </r>
        <r>
          <rPr>
            <sz val="8"/>
            <color indexed="81"/>
            <rFont val="Tahoma"/>
            <family val="2"/>
          </rPr>
          <t xml:space="preserve">
</t>
        </r>
      </text>
    </comment>
    <comment ref="G17" authorId="0">
      <text>
        <r>
          <rPr>
            <b/>
            <sz val="8"/>
            <color indexed="81"/>
            <rFont val="Tahoma"/>
            <family val="2"/>
          </rPr>
          <t>SULIYAT: 
ISIKAN KEJADIAN/ PERILAKU SISWA</t>
        </r>
        <r>
          <rPr>
            <sz val="8"/>
            <color indexed="81"/>
            <rFont val="Tahoma"/>
            <family val="2"/>
          </rPr>
          <t xml:space="preserve">
</t>
        </r>
      </text>
    </comment>
    <comment ref="F18" authorId="0">
      <text>
        <r>
          <rPr>
            <b/>
            <sz val="8"/>
            <color indexed="81"/>
            <rFont val="Tahoma"/>
            <family val="2"/>
          </rPr>
          <t>SULIYAT: 
ISIKAN KEJADIAN/ PERILAKU SISWA</t>
        </r>
        <r>
          <rPr>
            <sz val="8"/>
            <color indexed="81"/>
            <rFont val="Tahoma"/>
            <family val="2"/>
          </rPr>
          <t xml:space="preserve">
</t>
        </r>
      </text>
    </comment>
    <comment ref="G18" authorId="0">
      <text>
        <r>
          <rPr>
            <b/>
            <sz val="8"/>
            <color indexed="81"/>
            <rFont val="Tahoma"/>
            <family val="2"/>
          </rPr>
          <t>SULIYAT: 
ISIKAN KEJADIAN/ PERILAKU SISWA</t>
        </r>
        <r>
          <rPr>
            <sz val="8"/>
            <color indexed="81"/>
            <rFont val="Tahoma"/>
            <family val="2"/>
          </rPr>
          <t xml:space="preserve">
</t>
        </r>
      </text>
    </comment>
    <comment ref="F19" authorId="0">
      <text>
        <r>
          <rPr>
            <b/>
            <sz val="8"/>
            <color indexed="81"/>
            <rFont val="Tahoma"/>
            <family val="2"/>
          </rPr>
          <t>SULIYAT: 
ISIKAN KEJADIAN/ PERILAKU SISWA</t>
        </r>
        <r>
          <rPr>
            <sz val="8"/>
            <color indexed="81"/>
            <rFont val="Tahoma"/>
            <family val="2"/>
          </rPr>
          <t xml:space="preserve">
</t>
        </r>
      </text>
    </comment>
    <comment ref="G19" authorId="0">
      <text>
        <r>
          <rPr>
            <b/>
            <sz val="8"/>
            <color indexed="81"/>
            <rFont val="Tahoma"/>
            <family val="2"/>
          </rPr>
          <t>SULIYAT: 
ISIKAN KEJADIAN/ PERILAKU SISWA</t>
        </r>
        <r>
          <rPr>
            <sz val="8"/>
            <color indexed="81"/>
            <rFont val="Tahoma"/>
            <family val="2"/>
          </rPr>
          <t xml:space="preserve">
</t>
        </r>
      </text>
    </comment>
    <comment ref="F20" authorId="0">
      <text>
        <r>
          <rPr>
            <b/>
            <sz val="8"/>
            <color indexed="81"/>
            <rFont val="Tahoma"/>
            <family val="2"/>
          </rPr>
          <t>SULIYAT: 
ISIKAN KEJADIAN/ PERILAKU SISWA</t>
        </r>
        <r>
          <rPr>
            <sz val="8"/>
            <color indexed="81"/>
            <rFont val="Tahoma"/>
            <family val="2"/>
          </rPr>
          <t xml:space="preserve">
</t>
        </r>
      </text>
    </comment>
    <comment ref="G20" authorId="0">
      <text>
        <r>
          <rPr>
            <b/>
            <sz val="8"/>
            <color indexed="81"/>
            <rFont val="Tahoma"/>
            <family val="2"/>
          </rPr>
          <t>SULIYAT: 
ISIKAN KEJADIAN/ PERILAKU SISWA</t>
        </r>
        <r>
          <rPr>
            <sz val="8"/>
            <color indexed="81"/>
            <rFont val="Tahoma"/>
            <family val="2"/>
          </rPr>
          <t xml:space="preserve">
</t>
        </r>
      </text>
    </comment>
    <comment ref="F21" authorId="0">
      <text>
        <r>
          <rPr>
            <b/>
            <sz val="8"/>
            <color indexed="81"/>
            <rFont val="Tahoma"/>
            <family val="2"/>
          </rPr>
          <t>SULIYAT: 
ISIKAN KEJADIAN/ PERILAKU SISWA</t>
        </r>
        <r>
          <rPr>
            <sz val="8"/>
            <color indexed="81"/>
            <rFont val="Tahoma"/>
            <family val="2"/>
          </rPr>
          <t xml:space="preserve">
</t>
        </r>
      </text>
    </comment>
    <comment ref="G21" authorId="0">
      <text>
        <r>
          <rPr>
            <b/>
            <sz val="8"/>
            <color indexed="81"/>
            <rFont val="Tahoma"/>
            <family val="2"/>
          </rPr>
          <t>SULIYAT: 
ISIKAN KEJADIAN/ PERILAKU SISWA</t>
        </r>
        <r>
          <rPr>
            <sz val="8"/>
            <color indexed="81"/>
            <rFont val="Tahoma"/>
            <family val="2"/>
          </rPr>
          <t xml:space="preserve">
</t>
        </r>
      </text>
    </comment>
    <comment ref="F22" authorId="0">
      <text>
        <r>
          <rPr>
            <b/>
            <sz val="8"/>
            <color indexed="81"/>
            <rFont val="Tahoma"/>
            <family val="2"/>
          </rPr>
          <t>SULIYAT: 
ISIKAN KEJADIAN/ PERILAKU SISWA</t>
        </r>
        <r>
          <rPr>
            <sz val="8"/>
            <color indexed="81"/>
            <rFont val="Tahoma"/>
            <family val="2"/>
          </rPr>
          <t xml:space="preserve">
</t>
        </r>
      </text>
    </comment>
    <comment ref="G22" authorId="0">
      <text>
        <r>
          <rPr>
            <b/>
            <sz val="8"/>
            <color indexed="81"/>
            <rFont val="Tahoma"/>
            <family val="2"/>
          </rPr>
          <t>SULIYAT: 
ISIKAN KEJADIAN/ PERILAKU SISWA</t>
        </r>
        <r>
          <rPr>
            <sz val="8"/>
            <color indexed="81"/>
            <rFont val="Tahoma"/>
            <family val="2"/>
          </rPr>
          <t xml:space="preserve">
</t>
        </r>
      </text>
    </comment>
    <comment ref="F23" authorId="0">
      <text>
        <r>
          <rPr>
            <b/>
            <sz val="8"/>
            <color indexed="81"/>
            <rFont val="Tahoma"/>
            <family val="2"/>
          </rPr>
          <t>SULIYAT: 
ISIKAN KEJADIAN/ PERILAKU SISWA</t>
        </r>
        <r>
          <rPr>
            <sz val="8"/>
            <color indexed="81"/>
            <rFont val="Tahoma"/>
            <family val="2"/>
          </rPr>
          <t xml:space="preserve">
</t>
        </r>
      </text>
    </comment>
    <comment ref="G23" authorId="0">
      <text>
        <r>
          <rPr>
            <b/>
            <sz val="8"/>
            <color indexed="81"/>
            <rFont val="Tahoma"/>
            <family val="2"/>
          </rPr>
          <t>SULIYAT: 
ISIKAN KEJADIAN/ PERILAKU SISWA</t>
        </r>
        <r>
          <rPr>
            <sz val="8"/>
            <color indexed="81"/>
            <rFont val="Tahoma"/>
            <family val="2"/>
          </rPr>
          <t xml:space="preserve">
</t>
        </r>
      </text>
    </comment>
    <comment ref="F24" authorId="0">
      <text>
        <r>
          <rPr>
            <b/>
            <sz val="8"/>
            <color indexed="81"/>
            <rFont val="Tahoma"/>
            <family val="2"/>
          </rPr>
          <t>SULIYAT: 
ISIKAN KEJADIAN/ PERILAKU SISWA</t>
        </r>
        <r>
          <rPr>
            <sz val="8"/>
            <color indexed="81"/>
            <rFont val="Tahoma"/>
            <family val="2"/>
          </rPr>
          <t xml:space="preserve">
</t>
        </r>
      </text>
    </comment>
    <comment ref="G24" authorId="0">
      <text>
        <r>
          <rPr>
            <b/>
            <sz val="8"/>
            <color indexed="81"/>
            <rFont val="Tahoma"/>
            <family val="2"/>
          </rPr>
          <t>SULIYAT: 
ISIKAN KEJADIAN/ PERILAKU SISWA</t>
        </r>
        <r>
          <rPr>
            <sz val="8"/>
            <color indexed="81"/>
            <rFont val="Tahoma"/>
            <family val="2"/>
          </rPr>
          <t xml:space="preserve">
</t>
        </r>
      </text>
    </comment>
    <comment ref="F25" authorId="0">
      <text>
        <r>
          <rPr>
            <b/>
            <sz val="8"/>
            <color indexed="81"/>
            <rFont val="Tahoma"/>
            <family val="2"/>
          </rPr>
          <t>SULIYAT: 
ISIKAN KEJADIAN/ PERILAKU SISWA</t>
        </r>
        <r>
          <rPr>
            <sz val="8"/>
            <color indexed="81"/>
            <rFont val="Tahoma"/>
            <family val="2"/>
          </rPr>
          <t xml:space="preserve">
</t>
        </r>
      </text>
    </comment>
    <comment ref="G25" authorId="0">
      <text>
        <r>
          <rPr>
            <b/>
            <sz val="8"/>
            <color indexed="81"/>
            <rFont val="Tahoma"/>
            <family val="2"/>
          </rPr>
          <t>SULIYAT: 
ISIKAN KEJADIAN/ PERILAKU SISWA</t>
        </r>
        <r>
          <rPr>
            <sz val="8"/>
            <color indexed="81"/>
            <rFont val="Tahoma"/>
            <family val="2"/>
          </rPr>
          <t xml:space="preserve">
</t>
        </r>
      </text>
    </comment>
    <comment ref="F26" authorId="0">
      <text>
        <r>
          <rPr>
            <b/>
            <sz val="8"/>
            <color indexed="81"/>
            <rFont val="Tahoma"/>
            <family val="2"/>
          </rPr>
          <t>SULIYAT: 
ISIKAN KEJADIAN/ PERILAKU SISWA</t>
        </r>
        <r>
          <rPr>
            <sz val="8"/>
            <color indexed="81"/>
            <rFont val="Tahoma"/>
            <family val="2"/>
          </rPr>
          <t xml:space="preserve">
</t>
        </r>
      </text>
    </comment>
    <comment ref="G26" authorId="0">
      <text>
        <r>
          <rPr>
            <b/>
            <sz val="8"/>
            <color indexed="81"/>
            <rFont val="Tahoma"/>
            <family val="2"/>
          </rPr>
          <t>SULIYAT: 
ISIKAN KEJADIAN/ PERILAKU SISWA</t>
        </r>
        <r>
          <rPr>
            <sz val="8"/>
            <color indexed="81"/>
            <rFont val="Tahoma"/>
            <family val="2"/>
          </rPr>
          <t xml:space="preserve">
</t>
        </r>
      </text>
    </comment>
    <comment ref="F27" authorId="0">
      <text>
        <r>
          <rPr>
            <b/>
            <sz val="8"/>
            <color indexed="81"/>
            <rFont val="Tahoma"/>
            <family val="2"/>
          </rPr>
          <t>SULIYAT: 
ISIKAN KEJADIAN/ PERILAKU SISWA</t>
        </r>
        <r>
          <rPr>
            <sz val="8"/>
            <color indexed="81"/>
            <rFont val="Tahoma"/>
            <family val="2"/>
          </rPr>
          <t xml:space="preserve">
</t>
        </r>
      </text>
    </comment>
    <comment ref="G27" authorId="0">
      <text>
        <r>
          <rPr>
            <b/>
            <sz val="8"/>
            <color indexed="81"/>
            <rFont val="Tahoma"/>
            <family val="2"/>
          </rPr>
          <t>SULIYAT: 
ISIKAN KEJADIAN/ PERILAKU SISWA</t>
        </r>
        <r>
          <rPr>
            <sz val="8"/>
            <color indexed="81"/>
            <rFont val="Tahoma"/>
            <family val="2"/>
          </rPr>
          <t xml:space="preserve">
</t>
        </r>
      </text>
    </comment>
    <comment ref="F28" authorId="0">
      <text>
        <r>
          <rPr>
            <b/>
            <sz val="8"/>
            <color indexed="81"/>
            <rFont val="Tahoma"/>
            <family val="2"/>
          </rPr>
          <t>SULIYAT: 
ISIKAN KEJADIAN/ PERILAKU SISWA</t>
        </r>
        <r>
          <rPr>
            <sz val="8"/>
            <color indexed="81"/>
            <rFont val="Tahoma"/>
            <family val="2"/>
          </rPr>
          <t xml:space="preserve">
</t>
        </r>
      </text>
    </comment>
    <comment ref="G28" authorId="0">
      <text>
        <r>
          <rPr>
            <b/>
            <sz val="8"/>
            <color indexed="81"/>
            <rFont val="Tahoma"/>
            <family val="2"/>
          </rPr>
          <t>SULIYAT: 
ISIKAN KEJADIAN/ PERILAKU SISWA</t>
        </r>
        <r>
          <rPr>
            <sz val="8"/>
            <color indexed="81"/>
            <rFont val="Tahoma"/>
            <family val="2"/>
          </rPr>
          <t xml:space="preserve">
</t>
        </r>
      </text>
    </comment>
    <comment ref="F29" authorId="0">
      <text>
        <r>
          <rPr>
            <b/>
            <sz val="8"/>
            <color indexed="81"/>
            <rFont val="Tahoma"/>
            <family val="2"/>
          </rPr>
          <t>SULIYAT: 
ISIKAN KEJADIAN/ PERILAKU SISWA</t>
        </r>
        <r>
          <rPr>
            <sz val="8"/>
            <color indexed="81"/>
            <rFont val="Tahoma"/>
            <family val="2"/>
          </rPr>
          <t xml:space="preserve">
</t>
        </r>
      </text>
    </comment>
    <comment ref="G29" authorId="0">
      <text>
        <r>
          <rPr>
            <b/>
            <sz val="8"/>
            <color indexed="81"/>
            <rFont val="Tahoma"/>
            <family val="2"/>
          </rPr>
          <t>SULIYAT: 
ISIKAN KEJADIAN/ PERILAKU SISWA</t>
        </r>
        <r>
          <rPr>
            <sz val="8"/>
            <color indexed="81"/>
            <rFont val="Tahoma"/>
            <family val="2"/>
          </rPr>
          <t xml:space="preserve">
</t>
        </r>
      </text>
    </comment>
    <comment ref="F30" authorId="0">
      <text>
        <r>
          <rPr>
            <b/>
            <sz val="8"/>
            <color indexed="81"/>
            <rFont val="Tahoma"/>
            <family val="2"/>
          </rPr>
          <t>SULIYAT: 
ISIKAN KEJADIAN/ PERILAKU SISWA</t>
        </r>
        <r>
          <rPr>
            <sz val="8"/>
            <color indexed="81"/>
            <rFont val="Tahoma"/>
            <family val="2"/>
          </rPr>
          <t xml:space="preserve">
</t>
        </r>
      </text>
    </comment>
    <comment ref="G30" authorId="0">
      <text>
        <r>
          <rPr>
            <b/>
            <sz val="8"/>
            <color indexed="81"/>
            <rFont val="Tahoma"/>
            <family val="2"/>
          </rPr>
          <t>SULIYAT: 
ISIKAN KEJADIAN/ PERILAKU SISWA</t>
        </r>
        <r>
          <rPr>
            <sz val="8"/>
            <color indexed="81"/>
            <rFont val="Tahoma"/>
            <family val="2"/>
          </rPr>
          <t xml:space="preserve">
</t>
        </r>
      </text>
    </comment>
    <comment ref="F31" authorId="0">
      <text>
        <r>
          <rPr>
            <b/>
            <sz val="8"/>
            <color indexed="81"/>
            <rFont val="Tahoma"/>
            <family val="2"/>
          </rPr>
          <t>SULIYAT: 
ISIKAN KEJADIAN/ PERILAKU SISWA</t>
        </r>
        <r>
          <rPr>
            <sz val="8"/>
            <color indexed="81"/>
            <rFont val="Tahoma"/>
            <family val="2"/>
          </rPr>
          <t xml:space="preserve">
</t>
        </r>
      </text>
    </comment>
    <comment ref="G31" authorId="0">
      <text>
        <r>
          <rPr>
            <b/>
            <sz val="8"/>
            <color indexed="81"/>
            <rFont val="Tahoma"/>
            <family val="2"/>
          </rPr>
          <t>SULIYAT: 
ISIKAN KEJADIAN/ PERILAKU SISWA</t>
        </r>
        <r>
          <rPr>
            <sz val="8"/>
            <color indexed="81"/>
            <rFont val="Tahoma"/>
            <family val="2"/>
          </rPr>
          <t xml:space="preserve">
</t>
        </r>
      </text>
    </comment>
    <comment ref="F32" authorId="0">
      <text>
        <r>
          <rPr>
            <b/>
            <sz val="8"/>
            <color indexed="81"/>
            <rFont val="Tahoma"/>
            <family val="2"/>
          </rPr>
          <t>SULIYAT: 
ISIKAN KEJADIAN/ PERILAKU SISWA</t>
        </r>
        <r>
          <rPr>
            <sz val="8"/>
            <color indexed="81"/>
            <rFont val="Tahoma"/>
            <family val="2"/>
          </rPr>
          <t xml:space="preserve">
</t>
        </r>
      </text>
    </comment>
    <comment ref="G32" authorId="0">
      <text>
        <r>
          <rPr>
            <b/>
            <sz val="8"/>
            <color indexed="81"/>
            <rFont val="Tahoma"/>
            <family val="2"/>
          </rPr>
          <t>SULIYAT: 
ISIKAN KEJADIAN/ PERILAKU SISWA</t>
        </r>
        <r>
          <rPr>
            <sz val="8"/>
            <color indexed="81"/>
            <rFont val="Tahoma"/>
            <family val="2"/>
          </rPr>
          <t xml:space="preserve">
</t>
        </r>
      </text>
    </comment>
    <comment ref="F33" authorId="0">
      <text>
        <r>
          <rPr>
            <b/>
            <sz val="8"/>
            <color indexed="81"/>
            <rFont val="Tahoma"/>
            <family val="2"/>
          </rPr>
          <t>SULIYAT: 
ISIKAN KEJADIAN/ PERILAKU SISWA</t>
        </r>
        <r>
          <rPr>
            <sz val="8"/>
            <color indexed="81"/>
            <rFont val="Tahoma"/>
            <family val="2"/>
          </rPr>
          <t xml:space="preserve">
</t>
        </r>
      </text>
    </comment>
    <comment ref="G33" authorId="0">
      <text>
        <r>
          <rPr>
            <b/>
            <sz val="8"/>
            <color indexed="81"/>
            <rFont val="Tahoma"/>
            <family val="2"/>
          </rPr>
          <t>SULIYAT: 
ISIKAN KEJADIAN/ PERILAKU SISWA</t>
        </r>
        <r>
          <rPr>
            <sz val="8"/>
            <color indexed="81"/>
            <rFont val="Tahoma"/>
            <family val="2"/>
          </rPr>
          <t xml:space="preserve">
</t>
        </r>
      </text>
    </comment>
    <comment ref="F34" authorId="0">
      <text>
        <r>
          <rPr>
            <b/>
            <sz val="8"/>
            <color indexed="81"/>
            <rFont val="Tahoma"/>
            <family val="2"/>
          </rPr>
          <t>SULIYAT: 
ISIKAN KEJADIAN/ PERILAKU SISWA</t>
        </r>
        <r>
          <rPr>
            <sz val="8"/>
            <color indexed="81"/>
            <rFont val="Tahoma"/>
            <family val="2"/>
          </rPr>
          <t xml:space="preserve">
</t>
        </r>
      </text>
    </comment>
    <comment ref="G34" authorId="0">
      <text>
        <r>
          <rPr>
            <b/>
            <sz val="8"/>
            <color indexed="81"/>
            <rFont val="Tahoma"/>
            <family val="2"/>
          </rPr>
          <t>SULIYAT: 
ISIKAN KEJADIAN/ PERILAKU SISWA</t>
        </r>
        <r>
          <rPr>
            <sz val="8"/>
            <color indexed="81"/>
            <rFont val="Tahoma"/>
            <family val="2"/>
          </rPr>
          <t xml:space="preserve">
</t>
        </r>
      </text>
    </comment>
    <comment ref="F35" authorId="0">
      <text>
        <r>
          <rPr>
            <b/>
            <sz val="8"/>
            <color indexed="81"/>
            <rFont val="Tahoma"/>
            <family val="2"/>
          </rPr>
          <t>SULIYAT: 
ISIKAN KEJADIAN/ PERILAKU SISWA</t>
        </r>
        <r>
          <rPr>
            <sz val="8"/>
            <color indexed="81"/>
            <rFont val="Tahoma"/>
            <family val="2"/>
          </rPr>
          <t xml:space="preserve">
</t>
        </r>
      </text>
    </comment>
    <comment ref="G35" authorId="0">
      <text>
        <r>
          <rPr>
            <b/>
            <sz val="8"/>
            <color indexed="81"/>
            <rFont val="Tahoma"/>
            <family val="2"/>
          </rPr>
          <t>SULIYAT: 
ISIKAN KEJADIAN/ PERILAKU SISWA</t>
        </r>
        <r>
          <rPr>
            <sz val="8"/>
            <color indexed="81"/>
            <rFont val="Tahoma"/>
            <family val="2"/>
          </rPr>
          <t xml:space="preserve">
</t>
        </r>
      </text>
    </comment>
    <comment ref="F36" authorId="0">
      <text>
        <r>
          <rPr>
            <b/>
            <sz val="8"/>
            <color indexed="81"/>
            <rFont val="Tahoma"/>
            <family val="2"/>
          </rPr>
          <t>SULIYAT: 
ISIKAN KEJADIAN/ PERILAKU SISWA</t>
        </r>
        <r>
          <rPr>
            <sz val="8"/>
            <color indexed="81"/>
            <rFont val="Tahoma"/>
            <family val="2"/>
          </rPr>
          <t xml:space="preserve">
</t>
        </r>
      </text>
    </comment>
    <comment ref="G36" authorId="0">
      <text>
        <r>
          <rPr>
            <b/>
            <sz val="8"/>
            <color indexed="81"/>
            <rFont val="Tahoma"/>
            <family val="2"/>
          </rPr>
          <t>SULIYAT: 
ISIKAN KEJADIAN/ PERILAKU SISWA</t>
        </r>
        <r>
          <rPr>
            <sz val="8"/>
            <color indexed="81"/>
            <rFont val="Tahoma"/>
            <family val="2"/>
          </rPr>
          <t xml:space="preserve">
</t>
        </r>
      </text>
    </comment>
    <comment ref="F37" authorId="0">
      <text>
        <r>
          <rPr>
            <b/>
            <sz val="8"/>
            <color indexed="81"/>
            <rFont val="Tahoma"/>
            <family val="2"/>
          </rPr>
          <t>SULIYAT: 
ISIKAN KEJADIAN/ PERILAKU SISWA</t>
        </r>
        <r>
          <rPr>
            <sz val="8"/>
            <color indexed="81"/>
            <rFont val="Tahoma"/>
            <family val="2"/>
          </rPr>
          <t xml:space="preserve">
</t>
        </r>
      </text>
    </comment>
    <comment ref="G37" authorId="0">
      <text>
        <r>
          <rPr>
            <b/>
            <sz val="8"/>
            <color indexed="81"/>
            <rFont val="Tahoma"/>
            <family val="2"/>
          </rPr>
          <t>SULIYAT: 
ISIKAN KEJADIAN/ PERILAKU SISWA</t>
        </r>
        <r>
          <rPr>
            <sz val="8"/>
            <color indexed="81"/>
            <rFont val="Tahoma"/>
            <family val="2"/>
          </rPr>
          <t xml:space="preserve">
</t>
        </r>
      </text>
    </comment>
    <comment ref="F38" authorId="0">
      <text>
        <r>
          <rPr>
            <b/>
            <sz val="8"/>
            <color indexed="81"/>
            <rFont val="Tahoma"/>
            <family val="2"/>
          </rPr>
          <t>SULIYAT: 
ISIKAN KEJADIAN/ PERILAKU SISWA</t>
        </r>
        <r>
          <rPr>
            <sz val="8"/>
            <color indexed="81"/>
            <rFont val="Tahoma"/>
            <family val="2"/>
          </rPr>
          <t xml:space="preserve">
</t>
        </r>
      </text>
    </comment>
    <comment ref="G38" authorId="0">
      <text>
        <r>
          <rPr>
            <b/>
            <sz val="8"/>
            <color indexed="81"/>
            <rFont val="Tahoma"/>
            <family val="2"/>
          </rPr>
          <t>SULIYAT: 
ISIKAN KEJADIAN/ PERILAKU SISWA</t>
        </r>
        <r>
          <rPr>
            <sz val="8"/>
            <color indexed="81"/>
            <rFont val="Tahoma"/>
            <family val="2"/>
          </rPr>
          <t xml:space="preserve">
</t>
        </r>
      </text>
    </comment>
    <comment ref="F39" authorId="0">
      <text>
        <r>
          <rPr>
            <b/>
            <sz val="8"/>
            <color indexed="81"/>
            <rFont val="Tahoma"/>
            <family val="2"/>
          </rPr>
          <t>SULIYAT: 
ISIKAN KEJADIAN/ PERILAKU SISWA</t>
        </r>
        <r>
          <rPr>
            <sz val="8"/>
            <color indexed="81"/>
            <rFont val="Tahoma"/>
            <family val="2"/>
          </rPr>
          <t xml:space="preserve">
</t>
        </r>
      </text>
    </comment>
    <comment ref="G39" authorId="0">
      <text>
        <r>
          <rPr>
            <b/>
            <sz val="8"/>
            <color indexed="81"/>
            <rFont val="Tahoma"/>
            <family val="2"/>
          </rPr>
          <t>SULIYAT: 
ISIKAN KEJADIAN/ PERILAKU SISWA</t>
        </r>
        <r>
          <rPr>
            <sz val="8"/>
            <color indexed="81"/>
            <rFont val="Tahoma"/>
            <family val="2"/>
          </rPr>
          <t xml:space="preserve">
</t>
        </r>
      </text>
    </comment>
    <comment ref="F40" authorId="0">
      <text>
        <r>
          <rPr>
            <b/>
            <sz val="8"/>
            <color indexed="81"/>
            <rFont val="Tahoma"/>
            <family val="2"/>
          </rPr>
          <t>SULIYAT: 
ISIKAN KEJADIAN/ PERILAKU SISWA</t>
        </r>
        <r>
          <rPr>
            <sz val="8"/>
            <color indexed="81"/>
            <rFont val="Tahoma"/>
            <family val="2"/>
          </rPr>
          <t xml:space="preserve">
</t>
        </r>
      </text>
    </comment>
    <comment ref="G40" authorId="0">
      <text>
        <r>
          <rPr>
            <b/>
            <sz val="8"/>
            <color indexed="81"/>
            <rFont val="Tahoma"/>
            <family val="2"/>
          </rPr>
          <t>SULIYAT: 
ISIKAN KEJADIAN/ PERILAKU SISWA</t>
        </r>
        <r>
          <rPr>
            <sz val="8"/>
            <color indexed="81"/>
            <rFont val="Tahoma"/>
            <family val="2"/>
          </rPr>
          <t xml:space="preserve">
</t>
        </r>
      </text>
    </comment>
    <comment ref="F41" authorId="0">
      <text>
        <r>
          <rPr>
            <b/>
            <sz val="8"/>
            <color indexed="81"/>
            <rFont val="Tahoma"/>
            <family val="2"/>
          </rPr>
          <t>SULIYAT: 
ISIKAN KEJADIAN/ PERILAKU SISWA</t>
        </r>
        <r>
          <rPr>
            <sz val="8"/>
            <color indexed="81"/>
            <rFont val="Tahoma"/>
            <family val="2"/>
          </rPr>
          <t xml:space="preserve">
</t>
        </r>
      </text>
    </comment>
    <comment ref="G41" authorId="0">
      <text>
        <r>
          <rPr>
            <b/>
            <sz val="8"/>
            <color indexed="81"/>
            <rFont val="Tahoma"/>
            <family val="2"/>
          </rPr>
          <t>SULIYAT: 
ISIKAN KEJADIAN/ PERILAKU SISWA</t>
        </r>
        <r>
          <rPr>
            <sz val="8"/>
            <color indexed="81"/>
            <rFont val="Tahoma"/>
            <family val="2"/>
          </rPr>
          <t xml:space="preserve">
</t>
        </r>
      </text>
    </comment>
    <comment ref="F42" authorId="0">
      <text>
        <r>
          <rPr>
            <b/>
            <sz val="8"/>
            <color indexed="81"/>
            <rFont val="Tahoma"/>
            <family val="2"/>
          </rPr>
          <t>SULIYAT: 
ISIKAN KEJADIAN/ PERILAKU SISWA</t>
        </r>
        <r>
          <rPr>
            <sz val="8"/>
            <color indexed="81"/>
            <rFont val="Tahoma"/>
            <family val="2"/>
          </rPr>
          <t xml:space="preserve">
</t>
        </r>
      </text>
    </comment>
    <comment ref="G42" authorId="0">
      <text>
        <r>
          <rPr>
            <b/>
            <sz val="8"/>
            <color indexed="81"/>
            <rFont val="Tahoma"/>
            <family val="2"/>
          </rPr>
          <t>SULIYAT: 
ISIKAN KEJADIAN/ PERILAKU SISWA</t>
        </r>
        <r>
          <rPr>
            <sz val="8"/>
            <color indexed="81"/>
            <rFont val="Tahoma"/>
            <family val="2"/>
          </rPr>
          <t xml:space="preserve">
</t>
        </r>
      </text>
    </comment>
    <comment ref="F43" authorId="0">
      <text>
        <r>
          <rPr>
            <b/>
            <sz val="8"/>
            <color indexed="81"/>
            <rFont val="Tahoma"/>
            <family val="2"/>
          </rPr>
          <t>SULIYAT: 
ISIKAN KEJADIAN/ PERILAKU SISWA</t>
        </r>
        <r>
          <rPr>
            <sz val="8"/>
            <color indexed="81"/>
            <rFont val="Tahoma"/>
            <family val="2"/>
          </rPr>
          <t xml:space="preserve">
</t>
        </r>
      </text>
    </comment>
    <comment ref="G43" authorId="0">
      <text>
        <r>
          <rPr>
            <b/>
            <sz val="8"/>
            <color indexed="81"/>
            <rFont val="Tahoma"/>
            <family val="2"/>
          </rPr>
          <t>SULIYAT: 
ISIKAN KEJADIAN/ PERILAKU SISWA</t>
        </r>
        <r>
          <rPr>
            <sz val="8"/>
            <color indexed="81"/>
            <rFont val="Tahoma"/>
            <family val="2"/>
          </rPr>
          <t xml:space="preserve">
</t>
        </r>
      </text>
    </comment>
    <comment ref="F44" authorId="0">
      <text>
        <r>
          <rPr>
            <b/>
            <sz val="8"/>
            <color indexed="81"/>
            <rFont val="Tahoma"/>
            <family val="2"/>
          </rPr>
          <t>SULIYAT: 
ISIKAN KEJADIAN/ PERILAKU SISWA</t>
        </r>
        <r>
          <rPr>
            <sz val="8"/>
            <color indexed="81"/>
            <rFont val="Tahoma"/>
            <family val="2"/>
          </rPr>
          <t xml:space="preserve">
</t>
        </r>
      </text>
    </comment>
    <comment ref="G44" authorId="0">
      <text>
        <r>
          <rPr>
            <b/>
            <sz val="8"/>
            <color indexed="81"/>
            <rFont val="Tahoma"/>
            <family val="2"/>
          </rPr>
          <t>SULIYAT: 
ISIKAN KEJADIAN/ PERILAKU SISWA</t>
        </r>
        <r>
          <rPr>
            <sz val="8"/>
            <color indexed="81"/>
            <rFont val="Tahoma"/>
            <family val="2"/>
          </rPr>
          <t xml:space="preserve">
</t>
        </r>
      </text>
    </comment>
    <comment ref="F45" authorId="0">
      <text>
        <r>
          <rPr>
            <b/>
            <sz val="8"/>
            <color indexed="81"/>
            <rFont val="Tahoma"/>
            <family val="2"/>
          </rPr>
          <t>SULIYAT: 
ISIKAN KEJADIAN/ PERILAKU SISWA</t>
        </r>
        <r>
          <rPr>
            <sz val="8"/>
            <color indexed="81"/>
            <rFont val="Tahoma"/>
            <family val="2"/>
          </rPr>
          <t xml:space="preserve">
</t>
        </r>
      </text>
    </comment>
    <comment ref="G45" authorId="0">
      <text>
        <r>
          <rPr>
            <b/>
            <sz val="8"/>
            <color indexed="81"/>
            <rFont val="Tahoma"/>
            <family val="2"/>
          </rPr>
          <t>SULIYAT: 
ISIKAN KEJADIAN/ PERILAKU SISWA</t>
        </r>
        <r>
          <rPr>
            <sz val="8"/>
            <color indexed="81"/>
            <rFont val="Tahoma"/>
            <family val="2"/>
          </rPr>
          <t xml:space="preserve">
</t>
        </r>
      </text>
    </comment>
    <comment ref="F46" authorId="0">
      <text>
        <r>
          <rPr>
            <b/>
            <sz val="8"/>
            <color indexed="81"/>
            <rFont val="Tahoma"/>
            <family val="2"/>
          </rPr>
          <t>SULIYAT: 
ISIKAN KEJADIAN/ PERILAKU SISWA</t>
        </r>
        <r>
          <rPr>
            <sz val="8"/>
            <color indexed="81"/>
            <rFont val="Tahoma"/>
            <family val="2"/>
          </rPr>
          <t xml:space="preserve">
</t>
        </r>
      </text>
    </comment>
    <comment ref="G46" authorId="0">
      <text>
        <r>
          <rPr>
            <b/>
            <sz val="8"/>
            <color indexed="81"/>
            <rFont val="Tahoma"/>
            <family val="2"/>
          </rPr>
          <t>SULIYAT: 
ISIKAN KEJADIAN/ PERILAKU SISWA</t>
        </r>
        <r>
          <rPr>
            <sz val="8"/>
            <color indexed="81"/>
            <rFont val="Tahoma"/>
            <family val="2"/>
          </rPr>
          <t xml:space="preserve">
</t>
        </r>
      </text>
    </comment>
    <comment ref="F47" authorId="0">
      <text>
        <r>
          <rPr>
            <b/>
            <sz val="8"/>
            <color indexed="81"/>
            <rFont val="Tahoma"/>
            <family val="2"/>
          </rPr>
          <t>SULIYAT: 
ISIKAN KEJADIAN/ PERILAKU SISWA</t>
        </r>
        <r>
          <rPr>
            <sz val="8"/>
            <color indexed="81"/>
            <rFont val="Tahoma"/>
            <family val="2"/>
          </rPr>
          <t xml:space="preserve">
</t>
        </r>
      </text>
    </comment>
    <comment ref="G47" authorId="0">
      <text>
        <r>
          <rPr>
            <b/>
            <sz val="8"/>
            <color indexed="81"/>
            <rFont val="Tahoma"/>
            <family val="2"/>
          </rPr>
          <t>SULIYAT: 
ISIKAN KEJADIAN/ PERILAKU SISWA</t>
        </r>
        <r>
          <rPr>
            <sz val="8"/>
            <color indexed="81"/>
            <rFont val="Tahoma"/>
            <family val="2"/>
          </rPr>
          <t xml:space="preserve">
</t>
        </r>
      </text>
    </comment>
    <comment ref="F48" authorId="0">
      <text>
        <r>
          <rPr>
            <b/>
            <sz val="8"/>
            <color indexed="81"/>
            <rFont val="Tahoma"/>
            <family val="2"/>
          </rPr>
          <t>SULIYAT: 
ISIKAN KEJADIAN/ PERILAKU SISWA</t>
        </r>
        <r>
          <rPr>
            <sz val="8"/>
            <color indexed="81"/>
            <rFont val="Tahoma"/>
            <family val="2"/>
          </rPr>
          <t xml:space="preserve">
</t>
        </r>
      </text>
    </comment>
    <comment ref="G48" authorId="0">
      <text>
        <r>
          <rPr>
            <b/>
            <sz val="8"/>
            <color indexed="81"/>
            <rFont val="Tahoma"/>
            <family val="2"/>
          </rPr>
          <t>SULIYAT: 
ISIKAN KEJADIAN/ PERILAKU SISWA</t>
        </r>
        <r>
          <rPr>
            <sz val="8"/>
            <color indexed="81"/>
            <rFont val="Tahoma"/>
            <family val="2"/>
          </rPr>
          <t xml:space="preserve">
</t>
        </r>
      </text>
    </comment>
    <comment ref="F49" authorId="0">
      <text>
        <r>
          <rPr>
            <b/>
            <sz val="8"/>
            <color indexed="81"/>
            <rFont val="Tahoma"/>
            <family val="2"/>
          </rPr>
          <t>SULIYAT: 
ISIKAN KEJADIAN/ PERILAKU SISWA</t>
        </r>
        <r>
          <rPr>
            <sz val="8"/>
            <color indexed="81"/>
            <rFont val="Tahoma"/>
            <family val="2"/>
          </rPr>
          <t xml:space="preserve">
</t>
        </r>
      </text>
    </comment>
    <comment ref="G49" authorId="0">
      <text>
        <r>
          <rPr>
            <b/>
            <sz val="8"/>
            <color indexed="81"/>
            <rFont val="Tahoma"/>
            <family val="2"/>
          </rPr>
          <t>SULIYAT: 
ISIKAN KEJADIAN/ PERILAKU SISWA</t>
        </r>
        <r>
          <rPr>
            <sz val="8"/>
            <color indexed="81"/>
            <rFont val="Tahoma"/>
            <family val="2"/>
          </rPr>
          <t xml:space="preserve">
</t>
        </r>
      </text>
    </comment>
    <comment ref="F50" authorId="0">
      <text>
        <r>
          <rPr>
            <b/>
            <sz val="8"/>
            <color indexed="81"/>
            <rFont val="Tahoma"/>
            <family val="2"/>
          </rPr>
          <t>SULIYAT: 
ISIKAN KEJADIAN/ PERILAKU SISWA</t>
        </r>
        <r>
          <rPr>
            <sz val="8"/>
            <color indexed="81"/>
            <rFont val="Tahoma"/>
            <family val="2"/>
          </rPr>
          <t xml:space="preserve">
</t>
        </r>
      </text>
    </comment>
    <comment ref="G50" authorId="0">
      <text>
        <r>
          <rPr>
            <b/>
            <sz val="8"/>
            <color indexed="81"/>
            <rFont val="Tahoma"/>
            <family val="2"/>
          </rPr>
          <t>SULIYAT: 
ISIKAN KEJADIAN/ PERILAKU SISWA</t>
        </r>
        <r>
          <rPr>
            <sz val="8"/>
            <color indexed="81"/>
            <rFont val="Tahoma"/>
            <family val="2"/>
          </rPr>
          <t xml:space="preserve">
</t>
        </r>
      </text>
    </comment>
    <comment ref="F51" authorId="0">
      <text>
        <r>
          <rPr>
            <b/>
            <sz val="8"/>
            <color indexed="81"/>
            <rFont val="Tahoma"/>
            <family val="2"/>
          </rPr>
          <t>SULIYAT: 
ISIKAN KEJADIAN/ PERILAKU SISWA</t>
        </r>
        <r>
          <rPr>
            <sz val="8"/>
            <color indexed="81"/>
            <rFont val="Tahoma"/>
            <family val="2"/>
          </rPr>
          <t xml:space="preserve">
</t>
        </r>
      </text>
    </comment>
    <comment ref="G51" authorId="0">
      <text>
        <r>
          <rPr>
            <b/>
            <sz val="8"/>
            <color indexed="81"/>
            <rFont val="Tahoma"/>
            <family val="2"/>
          </rPr>
          <t>SULIYAT: 
ISIKAN KEJADIAN/ PERILAKU SISWA</t>
        </r>
        <r>
          <rPr>
            <sz val="8"/>
            <color indexed="81"/>
            <rFont val="Tahoma"/>
            <family val="2"/>
          </rPr>
          <t xml:space="preserve">
</t>
        </r>
      </text>
    </comment>
    <comment ref="F52" authorId="0">
      <text>
        <r>
          <rPr>
            <b/>
            <sz val="8"/>
            <color indexed="81"/>
            <rFont val="Tahoma"/>
            <family val="2"/>
          </rPr>
          <t>SULIYAT: 
ISIKAN KEJADIAN/ PERILAKU SISWA</t>
        </r>
        <r>
          <rPr>
            <sz val="8"/>
            <color indexed="81"/>
            <rFont val="Tahoma"/>
            <family val="2"/>
          </rPr>
          <t xml:space="preserve">
</t>
        </r>
      </text>
    </comment>
    <comment ref="G52" authorId="0">
      <text>
        <r>
          <rPr>
            <b/>
            <sz val="8"/>
            <color indexed="81"/>
            <rFont val="Tahoma"/>
            <family val="2"/>
          </rPr>
          <t>SULIYAT: 
ISIKAN KEJADIAN/ PERILAKU SISWA</t>
        </r>
        <r>
          <rPr>
            <sz val="8"/>
            <color indexed="81"/>
            <rFont val="Tahoma"/>
            <family val="2"/>
          </rPr>
          <t xml:space="preserve">
</t>
        </r>
      </text>
    </comment>
  </commentList>
</comments>
</file>

<file path=xl/comments7.xml><?xml version="1.0" encoding="utf-8"?>
<comments xmlns="http://schemas.openxmlformats.org/spreadsheetml/2006/main">
  <authors>
    <author>Purnawanto</author>
    <author>CURRICULLUM</author>
  </authors>
  <commentList>
    <comment ref="C6" authorId="0">
      <text>
        <r>
          <rPr>
            <b/>
            <sz val="9"/>
            <color indexed="81"/>
            <rFont val="Tahoma"/>
            <family val="2"/>
          </rPr>
          <t>Suliyat:</t>
        </r>
        <r>
          <rPr>
            <sz val="9"/>
            <color indexed="81"/>
            <rFont val="Tahoma"/>
            <family val="2"/>
          </rPr>
          <t xml:space="preserve">
Isilah dengan Kriteria Penialain Portofolio Mapel Anda.</t>
        </r>
      </text>
    </comment>
    <comment ref="L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O6" authorId="0">
      <text>
        <r>
          <rPr>
            <b/>
            <sz val="9"/>
            <color indexed="81"/>
            <rFont val="Tahoma"/>
            <family val="2"/>
          </rPr>
          <t>Suliyat:</t>
        </r>
        <r>
          <rPr>
            <sz val="9"/>
            <color indexed="81"/>
            <rFont val="Tahoma"/>
            <family val="2"/>
          </rPr>
          <t xml:space="preserve">
Isilah dengan Kriteria Penialain Portofolio Mapel Anda.</t>
        </r>
      </text>
    </comment>
    <comment ref="X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AA6" authorId="0">
      <text>
        <r>
          <rPr>
            <b/>
            <sz val="9"/>
            <color indexed="81"/>
            <rFont val="Tahoma"/>
            <family val="2"/>
          </rPr>
          <t>Suliyat:</t>
        </r>
        <r>
          <rPr>
            <sz val="9"/>
            <color indexed="81"/>
            <rFont val="Tahoma"/>
            <family val="2"/>
          </rPr>
          <t xml:space="preserve">
Isilah dengan Kriteria Penialain Portofolio Mapel Anda.</t>
        </r>
      </text>
    </comment>
    <comment ref="AJ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AM6" authorId="0">
      <text>
        <r>
          <rPr>
            <b/>
            <sz val="9"/>
            <color indexed="81"/>
            <rFont val="Tahoma"/>
            <family val="2"/>
          </rPr>
          <t>Suliyat:</t>
        </r>
        <r>
          <rPr>
            <sz val="9"/>
            <color indexed="81"/>
            <rFont val="Tahoma"/>
            <family val="2"/>
          </rPr>
          <t xml:space="preserve">
Isilah dengan Kriteria Penialain Portofolio Mapel Anda.</t>
        </r>
      </text>
    </comment>
    <comment ref="AV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AY6" authorId="0">
      <text>
        <r>
          <rPr>
            <b/>
            <sz val="9"/>
            <color indexed="81"/>
            <rFont val="Tahoma"/>
            <family val="2"/>
          </rPr>
          <t>Suliyat:</t>
        </r>
        <r>
          <rPr>
            <sz val="9"/>
            <color indexed="81"/>
            <rFont val="Tahoma"/>
            <family val="2"/>
          </rPr>
          <t xml:space="preserve">
Isilah dengan Kriteria Penialain Portofolio Mapel Anda.</t>
        </r>
      </text>
    </comment>
    <comment ref="BH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BK6" authorId="0">
      <text>
        <r>
          <rPr>
            <b/>
            <sz val="9"/>
            <color indexed="81"/>
            <rFont val="Tahoma"/>
            <family val="2"/>
          </rPr>
          <t>Suliyat:</t>
        </r>
        <r>
          <rPr>
            <sz val="9"/>
            <color indexed="81"/>
            <rFont val="Tahoma"/>
            <family val="2"/>
          </rPr>
          <t xml:space="preserve">
Isilah dengan Kriteria Penialain Portofolio Mapel Anda.</t>
        </r>
      </text>
    </comment>
    <comment ref="BT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BW6" authorId="0">
      <text>
        <r>
          <rPr>
            <b/>
            <sz val="9"/>
            <color indexed="81"/>
            <rFont val="Tahoma"/>
            <family val="2"/>
          </rPr>
          <t>Suliyat:</t>
        </r>
        <r>
          <rPr>
            <sz val="9"/>
            <color indexed="81"/>
            <rFont val="Tahoma"/>
            <family val="2"/>
          </rPr>
          <t xml:space="preserve">
Isilah dengan Kriteria Penialain Portofolio Mapel Anda.</t>
        </r>
      </text>
    </comment>
    <comment ref="CF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CI6" authorId="0">
      <text>
        <r>
          <rPr>
            <b/>
            <sz val="9"/>
            <color indexed="81"/>
            <rFont val="Tahoma"/>
            <family val="2"/>
          </rPr>
          <t>Suliyat:</t>
        </r>
        <r>
          <rPr>
            <sz val="9"/>
            <color indexed="81"/>
            <rFont val="Tahoma"/>
            <family val="2"/>
          </rPr>
          <t xml:space="preserve">
Isilah dengan Kriteria Penialain Portofolio Mapel Anda.</t>
        </r>
      </text>
    </comment>
    <comment ref="CR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CU6" authorId="0">
      <text>
        <r>
          <rPr>
            <b/>
            <sz val="9"/>
            <color indexed="81"/>
            <rFont val="Tahoma"/>
            <family val="2"/>
          </rPr>
          <t>Suliyat:</t>
        </r>
        <r>
          <rPr>
            <sz val="9"/>
            <color indexed="81"/>
            <rFont val="Tahoma"/>
            <family val="2"/>
          </rPr>
          <t xml:space="preserve">
Isilah dengan Kriteria Penialain Portofolio Mapel Anda.</t>
        </r>
      </text>
    </comment>
    <comment ref="DD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DG6" authorId="0">
      <text>
        <r>
          <rPr>
            <b/>
            <sz val="9"/>
            <color indexed="81"/>
            <rFont val="Tahoma"/>
            <family val="2"/>
          </rPr>
          <t>Suliyat:</t>
        </r>
        <r>
          <rPr>
            <sz val="9"/>
            <color indexed="81"/>
            <rFont val="Tahoma"/>
            <family val="2"/>
          </rPr>
          <t xml:space="preserve">
Isilah dengan Kriteria Penialain Portofolio Mapel Anda.</t>
        </r>
      </text>
    </comment>
    <comment ref="DP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C17" authorId="1">
      <text>
        <r>
          <rPr>
            <b/>
            <sz val="9"/>
            <color indexed="81"/>
            <rFont val="Tahoma"/>
            <family val="2"/>
          </rPr>
          <t>SULIYAT:
ISIKAN DENGAN SKOR 
MAKSIMUMNYA, JIKA TIDAK ADA SKORNYA, DIKOSONGI SAJA</t>
        </r>
        <r>
          <rPr>
            <sz val="9"/>
            <color indexed="81"/>
            <rFont val="Tahoma"/>
            <family val="2"/>
          </rPr>
          <t xml:space="preserve">
</t>
        </r>
      </text>
    </comment>
    <comment ref="D17" authorId="1">
      <text>
        <r>
          <rPr>
            <b/>
            <sz val="9"/>
            <color indexed="81"/>
            <rFont val="Tahoma"/>
            <family val="2"/>
          </rPr>
          <t>SULIYAT:
ISIKAN DENGAN SKOR 
MAKSIMUMNYA, JIKA TIDAK ADA SKORNYA, DIKOSONGI SAJA</t>
        </r>
        <r>
          <rPr>
            <sz val="9"/>
            <color indexed="81"/>
            <rFont val="Tahoma"/>
            <family val="2"/>
          </rPr>
          <t xml:space="preserve">
</t>
        </r>
      </text>
    </comment>
    <comment ref="E17" authorId="1">
      <text>
        <r>
          <rPr>
            <b/>
            <sz val="9"/>
            <color indexed="81"/>
            <rFont val="Tahoma"/>
            <family val="2"/>
          </rPr>
          <t>SULIYAT:
ISIKAN DENGAN SKOR 
MAKSIMUMNYA, JIKA TIDAK ADA SKORNYA, DIKOSONGI SAJA</t>
        </r>
        <r>
          <rPr>
            <sz val="9"/>
            <color indexed="81"/>
            <rFont val="Tahoma"/>
            <family val="2"/>
          </rPr>
          <t xml:space="preserve">
</t>
        </r>
      </text>
    </comment>
    <comment ref="F17" authorId="1">
      <text>
        <r>
          <rPr>
            <b/>
            <sz val="9"/>
            <color indexed="81"/>
            <rFont val="Tahoma"/>
            <family val="2"/>
          </rPr>
          <t>SULIYAT:
ISIKAN DENGAN SKOR 
MAKSIMUMNYA, JIKA TIDAK ADA SKORNYA, DIKOSONGI SAJA</t>
        </r>
        <r>
          <rPr>
            <sz val="9"/>
            <color indexed="81"/>
            <rFont val="Tahoma"/>
            <family val="2"/>
          </rPr>
          <t xml:space="preserve">
</t>
        </r>
      </text>
    </comment>
    <comment ref="G17" authorId="1">
      <text>
        <r>
          <rPr>
            <b/>
            <sz val="9"/>
            <color indexed="81"/>
            <rFont val="Tahoma"/>
            <family val="2"/>
          </rPr>
          <t>SULIYAT:
ISIKAN DENGAN SKOR 
MAKSIMUMNYA, JIKA TIDAK ADA SKORNYA, DIKOSONGI SAJA</t>
        </r>
        <r>
          <rPr>
            <sz val="9"/>
            <color indexed="81"/>
            <rFont val="Tahoma"/>
            <family val="2"/>
          </rPr>
          <t xml:space="preserve">
</t>
        </r>
      </text>
    </comment>
    <comment ref="H17" authorId="1">
      <text>
        <r>
          <rPr>
            <b/>
            <sz val="9"/>
            <color indexed="81"/>
            <rFont val="Tahoma"/>
            <family val="2"/>
          </rPr>
          <t>SULIYAT:
ISIKAN DENGAN SKOR 
MAKSIMUMNYA, JIKA TIDAK ADA SKORNYA, DIKOSONGI SAJA</t>
        </r>
        <r>
          <rPr>
            <sz val="9"/>
            <color indexed="81"/>
            <rFont val="Tahoma"/>
            <family val="2"/>
          </rPr>
          <t xml:space="preserve">
</t>
        </r>
      </text>
    </comment>
    <comment ref="I17" authorId="1">
      <text>
        <r>
          <rPr>
            <b/>
            <sz val="9"/>
            <color indexed="81"/>
            <rFont val="Tahoma"/>
            <family val="2"/>
          </rPr>
          <t>SULIYAT:
ISIKAN DENGAN SKOR 
MAKSIMUMNYA, JIKA TIDAK ADA SKORNYA, DIKOSONGI SAJA</t>
        </r>
        <r>
          <rPr>
            <sz val="9"/>
            <color indexed="81"/>
            <rFont val="Tahoma"/>
            <family val="2"/>
          </rPr>
          <t xml:space="preserve">
</t>
        </r>
      </text>
    </comment>
    <comment ref="O17" authorId="1">
      <text>
        <r>
          <rPr>
            <b/>
            <sz val="9"/>
            <color indexed="81"/>
            <rFont val="Tahoma"/>
            <family val="2"/>
          </rPr>
          <t>SULIYAT:
ISIKAN DENGAN SKOR 
MAKSIMUMNYA, JIKA TIDAK ADA SKORNYA, DIKOSONGI SAJA</t>
        </r>
        <r>
          <rPr>
            <sz val="9"/>
            <color indexed="81"/>
            <rFont val="Tahoma"/>
            <family val="2"/>
          </rPr>
          <t xml:space="preserve">
</t>
        </r>
      </text>
    </comment>
    <comment ref="P17" authorId="1">
      <text>
        <r>
          <rPr>
            <b/>
            <sz val="9"/>
            <color indexed="81"/>
            <rFont val="Tahoma"/>
            <family val="2"/>
          </rPr>
          <t>SULIYAT:
ISIKAN DENGAN SKOR 
MAKSIMUMNYA, JIKA TIDAK ADA SKORNYA, DIKOSONGI SAJA</t>
        </r>
        <r>
          <rPr>
            <sz val="9"/>
            <color indexed="81"/>
            <rFont val="Tahoma"/>
            <family val="2"/>
          </rPr>
          <t xml:space="preserve">
</t>
        </r>
      </text>
    </comment>
    <comment ref="Q17" authorId="1">
      <text>
        <r>
          <rPr>
            <b/>
            <sz val="9"/>
            <color indexed="81"/>
            <rFont val="Tahoma"/>
            <family val="2"/>
          </rPr>
          <t>SULIYAT:
ISIKAN DENGAN SKOR 
MAKSIMUMNYA, JIKA TIDAK ADA SKORNYA, DIKOSONGI SAJA</t>
        </r>
        <r>
          <rPr>
            <sz val="9"/>
            <color indexed="81"/>
            <rFont val="Tahoma"/>
            <family val="2"/>
          </rPr>
          <t xml:space="preserve">
</t>
        </r>
      </text>
    </comment>
    <comment ref="R17" authorId="1">
      <text>
        <r>
          <rPr>
            <b/>
            <sz val="9"/>
            <color indexed="81"/>
            <rFont val="Tahoma"/>
            <family val="2"/>
          </rPr>
          <t>SULIYAT:
ISIKAN DENGAN SKOR 
MAKSIMUMNYA, JIKA TIDAK ADA SKORNYA, DIKOSONGI SAJA</t>
        </r>
        <r>
          <rPr>
            <sz val="9"/>
            <color indexed="81"/>
            <rFont val="Tahoma"/>
            <family val="2"/>
          </rPr>
          <t xml:space="preserve">
</t>
        </r>
      </text>
    </comment>
    <comment ref="S17" authorId="1">
      <text>
        <r>
          <rPr>
            <b/>
            <sz val="9"/>
            <color indexed="81"/>
            <rFont val="Tahoma"/>
            <family val="2"/>
          </rPr>
          <t>SULIYAT:
ISIKAN DENGAN SKOR 
MAKSIMUMNYA, JIKA TIDAK ADA SKORNYA, DIKOSONGI SAJA</t>
        </r>
        <r>
          <rPr>
            <sz val="9"/>
            <color indexed="81"/>
            <rFont val="Tahoma"/>
            <family val="2"/>
          </rPr>
          <t xml:space="preserve">
</t>
        </r>
      </text>
    </comment>
    <comment ref="T17" authorId="1">
      <text>
        <r>
          <rPr>
            <b/>
            <sz val="9"/>
            <color indexed="81"/>
            <rFont val="Tahoma"/>
            <family val="2"/>
          </rPr>
          <t>SULIYAT:
ISIKAN DENGAN SKOR 
MAKSIMUMNYA, JIKA TIDAK ADA SKORNYA, DIKOSONGI SAJA</t>
        </r>
        <r>
          <rPr>
            <sz val="9"/>
            <color indexed="81"/>
            <rFont val="Tahoma"/>
            <family val="2"/>
          </rPr>
          <t xml:space="preserve">
</t>
        </r>
      </text>
    </comment>
    <comment ref="U17" authorId="1">
      <text>
        <r>
          <rPr>
            <b/>
            <sz val="9"/>
            <color indexed="81"/>
            <rFont val="Tahoma"/>
            <family val="2"/>
          </rPr>
          <t>SULIYAT:
ISIKAN DENGAN SKOR 
MAKSIMUMNYA, JIKA TIDAK ADA SKORNYA, DIKOSONGI SAJA</t>
        </r>
        <r>
          <rPr>
            <sz val="9"/>
            <color indexed="81"/>
            <rFont val="Tahoma"/>
            <family val="2"/>
          </rPr>
          <t xml:space="preserve">
</t>
        </r>
      </text>
    </comment>
    <comment ref="AA17" authorId="1">
      <text>
        <r>
          <rPr>
            <b/>
            <sz val="9"/>
            <color indexed="81"/>
            <rFont val="Tahoma"/>
            <family val="2"/>
          </rPr>
          <t>SULIYAT:
ISIKAN DENGAN SKOR 
MAKSIMUMNYA, JIKA TIDAK ADA SKORNYA, DIKOSONGI SAJA</t>
        </r>
        <r>
          <rPr>
            <sz val="9"/>
            <color indexed="81"/>
            <rFont val="Tahoma"/>
            <family val="2"/>
          </rPr>
          <t xml:space="preserve">
</t>
        </r>
      </text>
    </comment>
    <comment ref="AB17" authorId="1">
      <text>
        <r>
          <rPr>
            <b/>
            <sz val="9"/>
            <color indexed="81"/>
            <rFont val="Tahoma"/>
            <family val="2"/>
          </rPr>
          <t>SULIYAT:
ISIKAN DENGAN SKOR 
MAKSIMUMNYA, JIKA TIDAK ADA SKORNYA, DIKOSONGI SAJA</t>
        </r>
        <r>
          <rPr>
            <sz val="9"/>
            <color indexed="81"/>
            <rFont val="Tahoma"/>
            <family val="2"/>
          </rPr>
          <t xml:space="preserve">
</t>
        </r>
      </text>
    </comment>
    <comment ref="AC17" authorId="1">
      <text>
        <r>
          <rPr>
            <b/>
            <sz val="9"/>
            <color indexed="81"/>
            <rFont val="Tahoma"/>
            <family val="2"/>
          </rPr>
          <t>SULIYAT:
ISIKAN DENGAN SKOR 
MAKSIMUMNYA, JIKA TIDAK ADA SKORNYA, DIKOSONGI SAJA</t>
        </r>
        <r>
          <rPr>
            <sz val="9"/>
            <color indexed="81"/>
            <rFont val="Tahoma"/>
            <family val="2"/>
          </rPr>
          <t xml:space="preserve">
</t>
        </r>
      </text>
    </comment>
    <comment ref="AD17" authorId="1">
      <text>
        <r>
          <rPr>
            <b/>
            <sz val="9"/>
            <color indexed="81"/>
            <rFont val="Tahoma"/>
            <family val="2"/>
          </rPr>
          <t>SULIYAT:
ISIKAN DENGAN SKOR 
MAKSIMUMNYA, JIKA TIDAK ADA SKORNYA, DIKOSONGI SAJA</t>
        </r>
        <r>
          <rPr>
            <sz val="9"/>
            <color indexed="81"/>
            <rFont val="Tahoma"/>
            <family val="2"/>
          </rPr>
          <t xml:space="preserve">
</t>
        </r>
      </text>
    </comment>
    <comment ref="AE17" authorId="1">
      <text>
        <r>
          <rPr>
            <b/>
            <sz val="9"/>
            <color indexed="81"/>
            <rFont val="Tahoma"/>
            <family val="2"/>
          </rPr>
          <t>SULIYAT:
ISIKAN DENGAN SKOR 
MAKSIMUMNYA, JIKA TIDAK ADA SKORNYA, DIKOSONGI SAJA</t>
        </r>
        <r>
          <rPr>
            <sz val="9"/>
            <color indexed="81"/>
            <rFont val="Tahoma"/>
            <family val="2"/>
          </rPr>
          <t xml:space="preserve">
</t>
        </r>
      </text>
    </comment>
    <comment ref="AF17" authorId="1">
      <text>
        <r>
          <rPr>
            <b/>
            <sz val="9"/>
            <color indexed="81"/>
            <rFont val="Tahoma"/>
            <family val="2"/>
          </rPr>
          <t>SULIYAT:
ISIKAN DENGAN SKOR 
MAKSIMUMNYA, JIKA TIDAK ADA SKORNYA, DIKOSONGI SAJA</t>
        </r>
        <r>
          <rPr>
            <sz val="9"/>
            <color indexed="81"/>
            <rFont val="Tahoma"/>
            <family val="2"/>
          </rPr>
          <t xml:space="preserve">
</t>
        </r>
      </text>
    </comment>
    <comment ref="AG17" authorId="1">
      <text>
        <r>
          <rPr>
            <b/>
            <sz val="9"/>
            <color indexed="81"/>
            <rFont val="Tahoma"/>
            <family val="2"/>
          </rPr>
          <t>SULIYAT:
ISIKAN DENGAN SKOR 
MAKSIMUMNYA, JIKA TIDAK ADA SKORNYA, DIKOSONGI SAJA</t>
        </r>
        <r>
          <rPr>
            <sz val="9"/>
            <color indexed="81"/>
            <rFont val="Tahoma"/>
            <family val="2"/>
          </rPr>
          <t xml:space="preserve">
</t>
        </r>
      </text>
    </comment>
    <comment ref="AM17" authorId="1">
      <text>
        <r>
          <rPr>
            <b/>
            <sz val="9"/>
            <color indexed="81"/>
            <rFont val="Tahoma"/>
            <family val="2"/>
          </rPr>
          <t>SULIYAT:
ISIKAN DENGAN SKOR 
MAKSIMUMNYA, JIKA TIDAK ADA SKORNYA, DIKOSONGI SAJA</t>
        </r>
        <r>
          <rPr>
            <sz val="9"/>
            <color indexed="81"/>
            <rFont val="Tahoma"/>
            <family val="2"/>
          </rPr>
          <t xml:space="preserve">
</t>
        </r>
      </text>
    </comment>
    <comment ref="AN17" authorId="1">
      <text>
        <r>
          <rPr>
            <b/>
            <sz val="9"/>
            <color indexed="81"/>
            <rFont val="Tahoma"/>
            <family val="2"/>
          </rPr>
          <t>SULIYAT:
ISIKAN DENGAN SKOR 
MAKSIMUMNYA, JIKA TIDAK ADA SKORNYA, DIKOSONGI SAJA</t>
        </r>
        <r>
          <rPr>
            <sz val="9"/>
            <color indexed="81"/>
            <rFont val="Tahoma"/>
            <family val="2"/>
          </rPr>
          <t xml:space="preserve">
</t>
        </r>
      </text>
    </comment>
    <comment ref="AO17" authorId="1">
      <text>
        <r>
          <rPr>
            <b/>
            <sz val="9"/>
            <color indexed="81"/>
            <rFont val="Tahoma"/>
            <family val="2"/>
          </rPr>
          <t>SULIYAT:
ISIKAN DENGAN SKOR 
MAKSIMUMNYA, JIKA TIDAK ADA SKORNYA, DIKOSONGI SAJA</t>
        </r>
        <r>
          <rPr>
            <sz val="9"/>
            <color indexed="81"/>
            <rFont val="Tahoma"/>
            <family val="2"/>
          </rPr>
          <t xml:space="preserve">
</t>
        </r>
      </text>
    </comment>
    <comment ref="AP17" authorId="1">
      <text>
        <r>
          <rPr>
            <b/>
            <sz val="9"/>
            <color indexed="81"/>
            <rFont val="Tahoma"/>
            <family val="2"/>
          </rPr>
          <t>SULIYAT:
ISIKAN DENGAN SKOR 
MAKSIMUMNYA, JIKA TIDAK ADA SKORNYA, DIKOSONGI SAJA</t>
        </r>
        <r>
          <rPr>
            <sz val="9"/>
            <color indexed="81"/>
            <rFont val="Tahoma"/>
            <family val="2"/>
          </rPr>
          <t xml:space="preserve">
</t>
        </r>
      </text>
    </comment>
    <comment ref="AQ17" authorId="1">
      <text>
        <r>
          <rPr>
            <b/>
            <sz val="9"/>
            <color indexed="81"/>
            <rFont val="Tahoma"/>
            <family val="2"/>
          </rPr>
          <t>SULIYAT:
ISIKAN DENGAN SKOR 
MAKSIMUMNYA, JIKA TIDAK ADA SKORNYA, DIKOSONGI SAJA</t>
        </r>
        <r>
          <rPr>
            <sz val="9"/>
            <color indexed="81"/>
            <rFont val="Tahoma"/>
            <family val="2"/>
          </rPr>
          <t xml:space="preserve">
</t>
        </r>
      </text>
    </comment>
    <comment ref="AR17" authorId="1">
      <text>
        <r>
          <rPr>
            <b/>
            <sz val="9"/>
            <color indexed="81"/>
            <rFont val="Tahoma"/>
            <family val="2"/>
          </rPr>
          <t>SULIYAT:
ISIKAN DENGAN SKOR 
MAKSIMUMNYA, JIKA TIDAK ADA SKORNYA, DIKOSONGI SAJA</t>
        </r>
        <r>
          <rPr>
            <sz val="9"/>
            <color indexed="81"/>
            <rFont val="Tahoma"/>
            <family val="2"/>
          </rPr>
          <t xml:space="preserve">
</t>
        </r>
      </text>
    </comment>
    <comment ref="AS17" authorId="1">
      <text>
        <r>
          <rPr>
            <b/>
            <sz val="9"/>
            <color indexed="81"/>
            <rFont val="Tahoma"/>
            <family val="2"/>
          </rPr>
          <t>SULIYAT:
ISIKAN DENGAN SKOR 
MAKSIMUMNYA, JIKA TIDAK ADA SKORNYA, DIKOSONGI SAJA</t>
        </r>
        <r>
          <rPr>
            <sz val="9"/>
            <color indexed="81"/>
            <rFont val="Tahoma"/>
            <family val="2"/>
          </rPr>
          <t xml:space="preserve">
</t>
        </r>
      </text>
    </comment>
    <comment ref="AY17" authorId="1">
      <text>
        <r>
          <rPr>
            <b/>
            <sz val="9"/>
            <color indexed="81"/>
            <rFont val="Tahoma"/>
            <family val="2"/>
          </rPr>
          <t>SULIYAT:
ISIKAN DENGAN SKOR 
MAKSIMUMNYA, JIKA TIDAK ADA SKORNYA, DIKOSONGI SAJA</t>
        </r>
        <r>
          <rPr>
            <sz val="9"/>
            <color indexed="81"/>
            <rFont val="Tahoma"/>
            <family val="2"/>
          </rPr>
          <t xml:space="preserve">
</t>
        </r>
      </text>
    </comment>
    <comment ref="AZ17" authorId="1">
      <text>
        <r>
          <rPr>
            <b/>
            <sz val="9"/>
            <color indexed="81"/>
            <rFont val="Tahoma"/>
            <family val="2"/>
          </rPr>
          <t>SULIYAT:
ISIKAN DENGAN SKOR 
MAKSIMUMNYA, JIKA TIDAK ADA SKORNYA, DIKOSONGI SAJA</t>
        </r>
        <r>
          <rPr>
            <sz val="9"/>
            <color indexed="81"/>
            <rFont val="Tahoma"/>
            <family val="2"/>
          </rPr>
          <t xml:space="preserve">
</t>
        </r>
      </text>
    </comment>
    <comment ref="BA17" authorId="1">
      <text>
        <r>
          <rPr>
            <b/>
            <sz val="9"/>
            <color indexed="81"/>
            <rFont val="Tahoma"/>
            <family val="2"/>
          </rPr>
          <t>SULIYAT:
ISIKAN DENGAN SKOR 
MAKSIMUMNYA, JIKA TIDAK ADA SKORNYA, DIKOSONGI SAJA</t>
        </r>
        <r>
          <rPr>
            <sz val="9"/>
            <color indexed="81"/>
            <rFont val="Tahoma"/>
            <family val="2"/>
          </rPr>
          <t xml:space="preserve">
</t>
        </r>
      </text>
    </comment>
    <comment ref="BB17" authorId="1">
      <text>
        <r>
          <rPr>
            <b/>
            <sz val="9"/>
            <color indexed="81"/>
            <rFont val="Tahoma"/>
            <family val="2"/>
          </rPr>
          <t>SULIYAT:
ISIKAN DENGAN SKOR 
MAKSIMUMNYA, JIKA TIDAK ADA SKORNYA, DIKOSONGI SAJA</t>
        </r>
        <r>
          <rPr>
            <sz val="9"/>
            <color indexed="81"/>
            <rFont val="Tahoma"/>
            <family val="2"/>
          </rPr>
          <t xml:space="preserve">
</t>
        </r>
      </text>
    </comment>
    <comment ref="BC17" authorId="1">
      <text>
        <r>
          <rPr>
            <b/>
            <sz val="9"/>
            <color indexed="81"/>
            <rFont val="Tahoma"/>
            <family val="2"/>
          </rPr>
          <t>SULIYAT:
ISIKAN DENGAN SKOR 
MAKSIMUMNYA, JIKA TIDAK ADA SKORNYA, DIKOSONGI SAJA</t>
        </r>
        <r>
          <rPr>
            <sz val="9"/>
            <color indexed="81"/>
            <rFont val="Tahoma"/>
            <family val="2"/>
          </rPr>
          <t xml:space="preserve">
</t>
        </r>
      </text>
    </comment>
    <comment ref="BD17" authorId="1">
      <text>
        <r>
          <rPr>
            <b/>
            <sz val="9"/>
            <color indexed="81"/>
            <rFont val="Tahoma"/>
            <family val="2"/>
          </rPr>
          <t>SULIYAT:
ISIKAN DENGAN SKOR 
MAKSIMUMNYA, JIKA TIDAK ADA SKORNYA, DIKOSONGI SAJA</t>
        </r>
        <r>
          <rPr>
            <sz val="9"/>
            <color indexed="81"/>
            <rFont val="Tahoma"/>
            <family val="2"/>
          </rPr>
          <t xml:space="preserve">
</t>
        </r>
      </text>
    </comment>
    <comment ref="BE17" authorId="1">
      <text>
        <r>
          <rPr>
            <b/>
            <sz val="9"/>
            <color indexed="81"/>
            <rFont val="Tahoma"/>
            <family val="2"/>
          </rPr>
          <t>SULIYAT:
ISIKAN DENGAN SKOR 
MAKSIMUMNYA, JIKA TIDAK ADA SKORNYA, DIKOSONGI SAJA</t>
        </r>
        <r>
          <rPr>
            <sz val="9"/>
            <color indexed="81"/>
            <rFont val="Tahoma"/>
            <family val="2"/>
          </rPr>
          <t xml:space="preserve">
</t>
        </r>
      </text>
    </comment>
    <comment ref="BK17" authorId="1">
      <text>
        <r>
          <rPr>
            <b/>
            <sz val="9"/>
            <color indexed="81"/>
            <rFont val="Tahoma"/>
            <family val="2"/>
          </rPr>
          <t>SULIYAT:
ISIKAN DENGAN SKOR 
MAKSIMUMNYA, JIKA TIDAK ADA SKORNYA, DIKOSONGI SAJA</t>
        </r>
        <r>
          <rPr>
            <sz val="9"/>
            <color indexed="81"/>
            <rFont val="Tahoma"/>
            <family val="2"/>
          </rPr>
          <t xml:space="preserve">
</t>
        </r>
      </text>
    </comment>
    <comment ref="BL17" authorId="1">
      <text>
        <r>
          <rPr>
            <b/>
            <sz val="9"/>
            <color indexed="81"/>
            <rFont val="Tahoma"/>
            <family val="2"/>
          </rPr>
          <t>SULIYAT:
ISIKAN DENGAN SKOR 
MAKSIMUMNYA, JIKA TIDAK ADA SKORNYA, DIKOSONGI SAJA</t>
        </r>
        <r>
          <rPr>
            <sz val="9"/>
            <color indexed="81"/>
            <rFont val="Tahoma"/>
            <family val="2"/>
          </rPr>
          <t xml:space="preserve">
</t>
        </r>
      </text>
    </comment>
    <comment ref="BM17" authorId="1">
      <text>
        <r>
          <rPr>
            <b/>
            <sz val="9"/>
            <color indexed="81"/>
            <rFont val="Tahoma"/>
            <family val="2"/>
          </rPr>
          <t>SULIYAT:
ISIKAN DENGAN SKOR 
MAKSIMUMNYA, JIKA TIDAK ADA SKORNYA, DIKOSONGI SAJA</t>
        </r>
        <r>
          <rPr>
            <sz val="9"/>
            <color indexed="81"/>
            <rFont val="Tahoma"/>
            <family val="2"/>
          </rPr>
          <t xml:space="preserve">
</t>
        </r>
      </text>
    </comment>
    <comment ref="BN17" authorId="1">
      <text>
        <r>
          <rPr>
            <b/>
            <sz val="9"/>
            <color indexed="81"/>
            <rFont val="Tahoma"/>
            <family val="2"/>
          </rPr>
          <t>SULIYAT:
ISIKAN DENGAN SKOR 
MAKSIMUMNYA, JIKA TIDAK ADA SKORNYA, DIKOSONGI SAJA</t>
        </r>
        <r>
          <rPr>
            <sz val="9"/>
            <color indexed="81"/>
            <rFont val="Tahoma"/>
            <family val="2"/>
          </rPr>
          <t xml:space="preserve">
</t>
        </r>
      </text>
    </comment>
    <comment ref="BO17" authorId="1">
      <text>
        <r>
          <rPr>
            <b/>
            <sz val="9"/>
            <color indexed="81"/>
            <rFont val="Tahoma"/>
            <family val="2"/>
          </rPr>
          <t>SULIYAT:
ISIKAN DENGAN SKOR 
MAKSIMUMNYA, JIKA TIDAK ADA SKORNYA, DIKOSONGI SAJA</t>
        </r>
        <r>
          <rPr>
            <sz val="9"/>
            <color indexed="81"/>
            <rFont val="Tahoma"/>
            <family val="2"/>
          </rPr>
          <t xml:space="preserve">
</t>
        </r>
      </text>
    </comment>
    <comment ref="BP17" authorId="1">
      <text>
        <r>
          <rPr>
            <b/>
            <sz val="9"/>
            <color indexed="81"/>
            <rFont val="Tahoma"/>
            <family val="2"/>
          </rPr>
          <t>SULIYAT:
ISIKAN DENGAN SKOR 
MAKSIMUMNYA, JIKA TIDAK ADA SKORNYA, DIKOSONGI SAJA</t>
        </r>
        <r>
          <rPr>
            <sz val="9"/>
            <color indexed="81"/>
            <rFont val="Tahoma"/>
            <family val="2"/>
          </rPr>
          <t xml:space="preserve">
</t>
        </r>
      </text>
    </comment>
    <comment ref="BQ17" authorId="1">
      <text>
        <r>
          <rPr>
            <b/>
            <sz val="9"/>
            <color indexed="81"/>
            <rFont val="Tahoma"/>
            <family val="2"/>
          </rPr>
          <t>SULIYAT:
ISIKAN DENGAN SKOR 
MAKSIMUMNYA, JIKA TIDAK ADA SKORNYA, DIKOSONGI SAJA</t>
        </r>
        <r>
          <rPr>
            <sz val="9"/>
            <color indexed="81"/>
            <rFont val="Tahoma"/>
            <family val="2"/>
          </rPr>
          <t xml:space="preserve">
</t>
        </r>
      </text>
    </comment>
    <comment ref="BW17" authorId="1">
      <text>
        <r>
          <rPr>
            <b/>
            <sz val="9"/>
            <color indexed="81"/>
            <rFont val="Tahoma"/>
            <family val="2"/>
          </rPr>
          <t>SULIYAT:
ISIKAN DENGAN SKOR 
MAKSIMUMNYA, JIKA TIDAK ADA SKORNYA, DIKOSONGI SAJA</t>
        </r>
        <r>
          <rPr>
            <sz val="9"/>
            <color indexed="81"/>
            <rFont val="Tahoma"/>
            <family val="2"/>
          </rPr>
          <t xml:space="preserve">
</t>
        </r>
      </text>
    </comment>
    <comment ref="BX17" authorId="1">
      <text>
        <r>
          <rPr>
            <b/>
            <sz val="9"/>
            <color indexed="81"/>
            <rFont val="Tahoma"/>
            <family val="2"/>
          </rPr>
          <t>SULIYAT:
ISIKAN DENGAN SKOR 
MAKSIMUMNYA, JIKA TIDAK ADA SKORNYA, DIKOSONGI SAJA</t>
        </r>
        <r>
          <rPr>
            <sz val="9"/>
            <color indexed="81"/>
            <rFont val="Tahoma"/>
            <family val="2"/>
          </rPr>
          <t xml:space="preserve">
</t>
        </r>
      </text>
    </comment>
    <comment ref="BY17" authorId="1">
      <text>
        <r>
          <rPr>
            <b/>
            <sz val="9"/>
            <color indexed="81"/>
            <rFont val="Tahoma"/>
            <family val="2"/>
          </rPr>
          <t>SULIYAT:
ISIKAN DENGAN SKOR 
MAKSIMUMNYA, JIKA TIDAK ADA SKORNYA, DIKOSONGI SAJA</t>
        </r>
        <r>
          <rPr>
            <sz val="9"/>
            <color indexed="81"/>
            <rFont val="Tahoma"/>
            <family val="2"/>
          </rPr>
          <t xml:space="preserve">
</t>
        </r>
      </text>
    </comment>
    <comment ref="BZ17" authorId="1">
      <text>
        <r>
          <rPr>
            <b/>
            <sz val="9"/>
            <color indexed="81"/>
            <rFont val="Tahoma"/>
            <family val="2"/>
          </rPr>
          <t>SULIYAT:
ISIKAN DENGAN SKOR 
MAKSIMUMNYA, JIKA TIDAK ADA SKORNYA, DIKOSONGI SAJA</t>
        </r>
        <r>
          <rPr>
            <sz val="9"/>
            <color indexed="81"/>
            <rFont val="Tahoma"/>
            <family val="2"/>
          </rPr>
          <t xml:space="preserve">
</t>
        </r>
      </text>
    </comment>
    <comment ref="CA17" authorId="1">
      <text>
        <r>
          <rPr>
            <b/>
            <sz val="9"/>
            <color indexed="81"/>
            <rFont val="Tahoma"/>
            <family val="2"/>
          </rPr>
          <t>SULIYAT:
ISIKAN DENGAN SKOR 
MAKSIMUMNYA, JIKA TIDAK ADA SKORNYA, DIKOSONGI SAJA</t>
        </r>
        <r>
          <rPr>
            <sz val="9"/>
            <color indexed="81"/>
            <rFont val="Tahoma"/>
            <family val="2"/>
          </rPr>
          <t xml:space="preserve">
</t>
        </r>
      </text>
    </comment>
    <comment ref="CB17" authorId="1">
      <text>
        <r>
          <rPr>
            <b/>
            <sz val="9"/>
            <color indexed="81"/>
            <rFont val="Tahoma"/>
            <family val="2"/>
          </rPr>
          <t>SULIYAT:
ISIKAN DENGAN SKOR 
MAKSIMUMNYA, JIKA TIDAK ADA SKORNYA, DIKOSONGI SAJA</t>
        </r>
        <r>
          <rPr>
            <sz val="9"/>
            <color indexed="81"/>
            <rFont val="Tahoma"/>
            <family val="2"/>
          </rPr>
          <t xml:space="preserve">
</t>
        </r>
      </text>
    </comment>
    <comment ref="CC17" authorId="1">
      <text>
        <r>
          <rPr>
            <b/>
            <sz val="9"/>
            <color indexed="81"/>
            <rFont val="Tahoma"/>
            <family val="2"/>
          </rPr>
          <t>SULIYAT:
ISIKAN DENGAN SKOR 
MAKSIMUMNYA, JIKA TIDAK ADA SKORNYA, DIKOSONGI SAJA</t>
        </r>
        <r>
          <rPr>
            <sz val="9"/>
            <color indexed="81"/>
            <rFont val="Tahoma"/>
            <family val="2"/>
          </rPr>
          <t xml:space="preserve">
</t>
        </r>
      </text>
    </comment>
    <comment ref="CI17" authorId="1">
      <text>
        <r>
          <rPr>
            <b/>
            <sz val="9"/>
            <color indexed="81"/>
            <rFont val="Tahoma"/>
            <family val="2"/>
          </rPr>
          <t>SULIYAT:
ISIKAN DENGAN SKOR 
MAKSIMUMNYA, JIKA TIDAK ADA SKORNYA, DIKOSONGI SAJA</t>
        </r>
        <r>
          <rPr>
            <sz val="9"/>
            <color indexed="81"/>
            <rFont val="Tahoma"/>
            <family val="2"/>
          </rPr>
          <t xml:space="preserve">
</t>
        </r>
      </text>
    </comment>
    <comment ref="CJ17" authorId="1">
      <text>
        <r>
          <rPr>
            <b/>
            <sz val="9"/>
            <color indexed="81"/>
            <rFont val="Tahoma"/>
            <family val="2"/>
          </rPr>
          <t>SULIYAT:
ISIKAN DENGAN SKOR 
MAKSIMUMNYA, JIKA TIDAK ADA SKORNYA, DIKOSONGI SAJA</t>
        </r>
        <r>
          <rPr>
            <sz val="9"/>
            <color indexed="81"/>
            <rFont val="Tahoma"/>
            <family val="2"/>
          </rPr>
          <t xml:space="preserve">
</t>
        </r>
      </text>
    </comment>
    <comment ref="CK17" authorId="1">
      <text>
        <r>
          <rPr>
            <b/>
            <sz val="9"/>
            <color indexed="81"/>
            <rFont val="Tahoma"/>
            <family val="2"/>
          </rPr>
          <t>SULIYAT:
ISIKAN DENGAN SKOR 
MAKSIMUMNYA, JIKA TIDAK ADA SKORNYA, DIKOSONGI SAJA</t>
        </r>
        <r>
          <rPr>
            <sz val="9"/>
            <color indexed="81"/>
            <rFont val="Tahoma"/>
            <family val="2"/>
          </rPr>
          <t xml:space="preserve">
</t>
        </r>
      </text>
    </comment>
    <comment ref="CL17" authorId="1">
      <text>
        <r>
          <rPr>
            <b/>
            <sz val="9"/>
            <color indexed="81"/>
            <rFont val="Tahoma"/>
            <family val="2"/>
          </rPr>
          <t>SULIYAT:
ISIKAN DENGAN SKOR 
MAKSIMUMNYA, JIKA TIDAK ADA SKORNYA, DIKOSONGI SAJA</t>
        </r>
        <r>
          <rPr>
            <sz val="9"/>
            <color indexed="81"/>
            <rFont val="Tahoma"/>
            <family val="2"/>
          </rPr>
          <t xml:space="preserve">
</t>
        </r>
      </text>
    </comment>
    <comment ref="CM17" authorId="1">
      <text>
        <r>
          <rPr>
            <b/>
            <sz val="9"/>
            <color indexed="81"/>
            <rFont val="Tahoma"/>
            <family val="2"/>
          </rPr>
          <t>SULIYAT:
ISIKAN DENGAN SKOR 
MAKSIMUMNYA, JIKA TIDAK ADA SKORNYA, DIKOSONGI SAJA</t>
        </r>
        <r>
          <rPr>
            <sz val="9"/>
            <color indexed="81"/>
            <rFont val="Tahoma"/>
            <family val="2"/>
          </rPr>
          <t xml:space="preserve">
</t>
        </r>
      </text>
    </comment>
    <comment ref="CN17" authorId="1">
      <text>
        <r>
          <rPr>
            <b/>
            <sz val="9"/>
            <color indexed="81"/>
            <rFont val="Tahoma"/>
            <family val="2"/>
          </rPr>
          <t>SULIYAT:
ISIKAN DENGAN SKOR 
MAKSIMUMNYA, JIKA TIDAK ADA SKORNYA, DIKOSONGI SAJA</t>
        </r>
        <r>
          <rPr>
            <sz val="9"/>
            <color indexed="81"/>
            <rFont val="Tahoma"/>
            <family val="2"/>
          </rPr>
          <t xml:space="preserve">
</t>
        </r>
      </text>
    </comment>
    <comment ref="CO17" authorId="1">
      <text>
        <r>
          <rPr>
            <b/>
            <sz val="9"/>
            <color indexed="81"/>
            <rFont val="Tahoma"/>
            <family val="2"/>
          </rPr>
          <t>SULIYAT:
ISIKAN DENGAN SKOR 
MAKSIMUMNYA, JIKA TIDAK ADA SKORNYA, DIKOSONGI SAJA</t>
        </r>
        <r>
          <rPr>
            <sz val="9"/>
            <color indexed="81"/>
            <rFont val="Tahoma"/>
            <family val="2"/>
          </rPr>
          <t xml:space="preserve">
</t>
        </r>
      </text>
    </comment>
    <comment ref="CU17" authorId="1">
      <text>
        <r>
          <rPr>
            <b/>
            <sz val="9"/>
            <color indexed="81"/>
            <rFont val="Tahoma"/>
            <family val="2"/>
          </rPr>
          <t>SULIYAT:
ISIKAN DENGAN SKOR 
MAKSIMUMNYA, JIKA TIDAK ADA SKORNYA, DIKOSONGI SAJA</t>
        </r>
        <r>
          <rPr>
            <sz val="9"/>
            <color indexed="81"/>
            <rFont val="Tahoma"/>
            <family val="2"/>
          </rPr>
          <t xml:space="preserve">
</t>
        </r>
      </text>
    </comment>
    <comment ref="CV17" authorId="1">
      <text>
        <r>
          <rPr>
            <b/>
            <sz val="9"/>
            <color indexed="81"/>
            <rFont val="Tahoma"/>
            <family val="2"/>
          </rPr>
          <t>SULIYAT:
ISIKAN DENGAN SKOR 
MAKSIMUMNYA, JIKA TIDAK ADA SKORNYA, DIKOSONGI SAJA</t>
        </r>
        <r>
          <rPr>
            <sz val="9"/>
            <color indexed="81"/>
            <rFont val="Tahoma"/>
            <family val="2"/>
          </rPr>
          <t xml:space="preserve">
</t>
        </r>
      </text>
    </comment>
    <comment ref="CW17" authorId="1">
      <text>
        <r>
          <rPr>
            <b/>
            <sz val="9"/>
            <color indexed="81"/>
            <rFont val="Tahoma"/>
            <family val="2"/>
          </rPr>
          <t>SULIYAT:
ISIKAN DENGAN SKOR 
MAKSIMUMNYA, JIKA TIDAK ADA SKORNYA, DIKOSONGI SAJA</t>
        </r>
        <r>
          <rPr>
            <sz val="9"/>
            <color indexed="81"/>
            <rFont val="Tahoma"/>
            <family val="2"/>
          </rPr>
          <t xml:space="preserve">
</t>
        </r>
      </text>
    </comment>
    <comment ref="CX17" authorId="1">
      <text>
        <r>
          <rPr>
            <b/>
            <sz val="9"/>
            <color indexed="81"/>
            <rFont val="Tahoma"/>
            <family val="2"/>
          </rPr>
          <t>SULIYAT:
ISIKAN DENGAN SKOR 
MAKSIMUMNYA, JIKA TIDAK ADA SKORNYA, DIKOSONGI SAJA</t>
        </r>
        <r>
          <rPr>
            <sz val="9"/>
            <color indexed="81"/>
            <rFont val="Tahoma"/>
            <family val="2"/>
          </rPr>
          <t xml:space="preserve">
</t>
        </r>
      </text>
    </comment>
    <comment ref="CY17" authorId="1">
      <text>
        <r>
          <rPr>
            <b/>
            <sz val="9"/>
            <color indexed="81"/>
            <rFont val="Tahoma"/>
            <family val="2"/>
          </rPr>
          <t>SULIYAT:
ISIKAN DENGAN SKOR 
MAKSIMUMNYA, JIKA TIDAK ADA SKORNYA, DIKOSONGI SAJA</t>
        </r>
        <r>
          <rPr>
            <sz val="9"/>
            <color indexed="81"/>
            <rFont val="Tahoma"/>
            <family val="2"/>
          </rPr>
          <t xml:space="preserve">
</t>
        </r>
      </text>
    </comment>
    <comment ref="CZ17" authorId="1">
      <text>
        <r>
          <rPr>
            <b/>
            <sz val="9"/>
            <color indexed="81"/>
            <rFont val="Tahoma"/>
            <family val="2"/>
          </rPr>
          <t>SULIYAT:
ISIKAN DENGAN SKOR 
MAKSIMUMNYA, JIKA TIDAK ADA SKORNYA, DIKOSONGI SAJA</t>
        </r>
        <r>
          <rPr>
            <sz val="9"/>
            <color indexed="81"/>
            <rFont val="Tahoma"/>
            <family val="2"/>
          </rPr>
          <t xml:space="preserve">
</t>
        </r>
      </text>
    </comment>
    <comment ref="DA17" authorId="1">
      <text>
        <r>
          <rPr>
            <b/>
            <sz val="9"/>
            <color indexed="81"/>
            <rFont val="Tahoma"/>
            <family val="2"/>
          </rPr>
          <t>SULIYAT:
ISIKAN DENGAN SKOR 
MAKSIMUMNYA, JIKA TIDAK ADA SKORNYA, DIKOSONGI SAJA</t>
        </r>
        <r>
          <rPr>
            <sz val="9"/>
            <color indexed="81"/>
            <rFont val="Tahoma"/>
            <family val="2"/>
          </rPr>
          <t xml:space="preserve">
</t>
        </r>
      </text>
    </comment>
    <comment ref="DG17" authorId="1">
      <text>
        <r>
          <rPr>
            <b/>
            <sz val="9"/>
            <color indexed="81"/>
            <rFont val="Tahoma"/>
            <family val="2"/>
          </rPr>
          <t>SULIYAT:
ISIKAN DENGAN SKOR 
MAKSIMUMNYA, JIKA TIDAK ADA SKORNYA, DIKOSONGI SAJA</t>
        </r>
        <r>
          <rPr>
            <sz val="9"/>
            <color indexed="81"/>
            <rFont val="Tahoma"/>
            <family val="2"/>
          </rPr>
          <t xml:space="preserve">
</t>
        </r>
      </text>
    </comment>
    <comment ref="DH17" authorId="1">
      <text>
        <r>
          <rPr>
            <b/>
            <sz val="9"/>
            <color indexed="81"/>
            <rFont val="Tahoma"/>
            <family val="2"/>
          </rPr>
          <t>SULIYAT:
ISIKAN DENGAN SKOR 
MAKSIMUMNYA, JIKA TIDAK ADA SKORNYA, DIKOSONGI SAJA</t>
        </r>
        <r>
          <rPr>
            <sz val="9"/>
            <color indexed="81"/>
            <rFont val="Tahoma"/>
            <family val="2"/>
          </rPr>
          <t xml:space="preserve">
</t>
        </r>
      </text>
    </comment>
    <comment ref="DI17" authorId="1">
      <text>
        <r>
          <rPr>
            <b/>
            <sz val="9"/>
            <color indexed="81"/>
            <rFont val="Tahoma"/>
            <family val="2"/>
          </rPr>
          <t>SULIYAT:
ISIKAN DENGAN SKOR 
MAKSIMUMNYA, JIKA TIDAK ADA SKORNYA, DIKOSONGI SAJA</t>
        </r>
        <r>
          <rPr>
            <sz val="9"/>
            <color indexed="81"/>
            <rFont val="Tahoma"/>
            <family val="2"/>
          </rPr>
          <t xml:space="preserve">
</t>
        </r>
      </text>
    </comment>
    <comment ref="DJ17" authorId="1">
      <text>
        <r>
          <rPr>
            <b/>
            <sz val="9"/>
            <color indexed="81"/>
            <rFont val="Tahoma"/>
            <family val="2"/>
          </rPr>
          <t>SULIYAT:
ISIKAN DENGAN SKOR 
MAKSIMUMNYA, JIKA TIDAK ADA SKORNYA, DIKOSONGI SAJA</t>
        </r>
        <r>
          <rPr>
            <sz val="9"/>
            <color indexed="81"/>
            <rFont val="Tahoma"/>
            <family val="2"/>
          </rPr>
          <t xml:space="preserve">
</t>
        </r>
      </text>
    </comment>
    <comment ref="DK17" authorId="1">
      <text>
        <r>
          <rPr>
            <b/>
            <sz val="9"/>
            <color indexed="81"/>
            <rFont val="Tahoma"/>
            <family val="2"/>
          </rPr>
          <t>SULIYAT:
ISIKAN DENGAN SKOR 
MAKSIMUMNYA, JIKA TIDAK ADA SKORNYA, DIKOSONGI SAJA</t>
        </r>
        <r>
          <rPr>
            <sz val="9"/>
            <color indexed="81"/>
            <rFont val="Tahoma"/>
            <family val="2"/>
          </rPr>
          <t xml:space="preserve">
</t>
        </r>
      </text>
    </comment>
    <comment ref="DL17" authorId="1">
      <text>
        <r>
          <rPr>
            <b/>
            <sz val="9"/>
            <color indexed="81"/>
            <rFont val="Tahoma"/>
            <family val="2"/>
          </rPr>
          <t>SULIYAT:
ISIKAN DENGAN SKOR 
MAKSIMUMNYA, JIKA TIDAK ADA SKORNYA, DIKOSONGI SAJA</t>
        </r>
        <r>
          <rPr>
            <sz val="9"/>
            <color indexed="81"/>
            <rFont val="Tahoma"/>
            <family val="2"/>
          </rPr>
          <t xml:space="preserve">
</t>
        </r>
      </text>
    </comment>
    <comment ref="DM17" authorId="1">
      <text>
        <r>
          <rPr>
            <b/>
            <sz val="9"/>
            <color indexed="81"/>
            <rFont val="Tahoma"/>
            <family val="2"/>
          </rPr>
          <t>SULIYAT:
ISIKAN DENGAN SKOR 
MAKSIMUMNYA, JIKA TIDAK ADA SKORNYA, DIKOSONGI SAJA</t>
        </r>
        <r>
          <rPr>
            <sz val="9"/>
            <color indexed="81"/>
            <rFont val="Tahoma"/>
            <family val="2"/>
          </rPr>
          <t xml:space="preserve">
</t>
        </r>
      </text>
    </comment>
  </commentList>
</comments>
</file>

<file path=xl/comments8.xml><?xml version="1.0" encoding="utf-8"?>
<comments xmlns="http://schemas.openxmlformats.org/spreadsheetml/2006/main">
  <authors>
    <author>Purnawanto</author>
    <author>CURRICULLUM</author>
  </authors>
  <commentList>
    <comment ref="C9" authorId="0">
      <text>
        <r>
          <rPr>
            <b/>
            <sz val="9"/>
            <color indexed="81"/>
            <rFont val="Tahoma"/>
            <family val="2"/>
          </rPr>
          <t>Suliyat:</t>
        </r>
        <r>
          <rPr>
            <sz val="9"/>
            <color indexed="81"/>
            <rFont val="Tahoma"/>
            <family val="2"/>
          </rPr>
          <t xml:space="preserve">
Isilah dengan Kriteria Penialain Portofolio Mapel Anda.</t>
        </r>
      </text>
    </comment>
    <comment ref="C20" authorId="1">
      <text>
        <r>
          <rPr>
            <b/>
            <sz val="9"/>
            <color indexed="81"/>
            <rFont val="Tahoma"/>
            <family val="2"/>
          </rPr>
          <t>SULIYAT:
ISIKAN DENGAN SKOR 
MAKSIMUMNYA, JIKA TIDAK ADA SKORNYA, DIKOSONGI SAJA</t>
        </r>
        <r>
          <rPr>
            <sz val="9"/>
            <color indexed="81"/>
            <rFont val="Tahoma"/>
            <family val="2"/>
          </rPr>
          <t xml:space="preserve">
</t>
        </r>
      </text>
    </comment>
    <comment ref="D20" authorId="1">
      <text>
        <r>
          <rPr>
            <b/>
            <sz val="9"/>
            <color indexed="81"/>
            <rFont val="Tahoma"/>
            <family val="2"/>
          </rPr>
          <t>SULIYAT:
ISIKAN DENGAN SKOR 
MAKSIMUMNYA, JIKA TIDAK ADA SKORNYA, DIKOSONGI SAJA</t>
        </r>
        <r>
          <rPr>
            <sz val="9"/>
            <color indexed="81"/>
            <rFont val="Tahoma"/>
            <family val="2"/>
          </rPr>
          <t xml:space="preserve">
</t>
        </r>
      </text>
    </comment>
    <comment ref="E20" authorId="1">
      <text>
        <r>
          <rPr>
            <b/>
            <sz val="9"/>
            <color indexed="81"/>
            <rFont val="Tahoma"/>
            <family val="2"/>
          </rPr>
          <t>SULIYAT:
ISIKAN DENGAN SKOR 
MAKSIMUMNYA, JIKA TIDAK ADA SKORNYA, DIKOSONGI SAJA</t>
        </r>
        <r>
          <rPr>
            <sz val="9"/>
            <color indexed="81"/>
            <rFont val="Tahoma"/>
            <family val="2"/>
          </rPr>
          <t xml:space="preserve">
</t>
        </r>
      </text>
    </comment>
    <comment ref="F20" authorId="1">
      <text>
        <r>
          <rPr>
            <b/>
            <sz val="9"/>
            <color indexed="81"/>
            <rFont val="Tahoma"/>
            <family val="2"/>
          </rPr>
          <t>SULIYAT:
ISIKAN DENGAN SKOR 
MAKSIMUMNYA, JIKA TIDAK ADA SKORNYA, DIKOSONGI SAJA</t>
        </r>
        <r>
          <rPr>
            <sz val="9"/>
            <color indexed="81"/>
            <rFont val="Tahoma"/>
            <family val="2"/>
          </rPr>
          <t xml:space="preserve">
</t>
        </r>
      </text>
    </comment>
    <comment ref="G20" authorId="1">
      <text>
        <r>
          <rPr>
            <b/>
            <sz val="9"/>
            <color indexed="81"/>
            <rFont val="Tahoma"/>
            <family val="2"/>
          </rPr>
          <t>SULIYAT:
ISIKAN DENGAN SKOR 
MAKSIMUMNYA, JIKA TIDAK ADA SKORNYA, DIKOSONGI SAJA</t>
        </r>
        <r>
          <rPr>
            <sz val="9"/>
            <color indexed="81"/>
            <rFont val="Tahoma"/>
            <family val="2"/>
          </rPr>
          <t xml:space="preserve">
</t>
        </r>
      </text>
    </comment>
    <comment ref="H20" authorId="1">
      <text>
        <r>
          <rPr>
            <b/>
            <sz val="9"/>
            <color indexed="81"/>
            <rFont val="Tahoma"/>
            <family val="2"/>
          </rPr>
          <t>SULIYAT:
ISIKAN DENGAN SKOR 
MAKSIMUMNYA, JIKA TIDAK ADA SKORNYA, DIKOSONGI SAJA</t>
        </r>
        <r>
          <rPr>
            <sz val="9"/>
            <color indexed="81"/>
            <rFont val="Tahoma"/>
            <family val="2"/>
          </rPr>
          <t xml:space="preserve">
</t>
        </r>
      </text>
    </comment>
    <comment ref="I20" authorId="1">
      <text>
        <r>
          <rPr>
            <b/>
            <sz val="9"/>
            <color indexed="81"/>
            <rFont val="Tahoma"/>
            <family val="2"/>
          </rPr>
          <t>SULIYAT:
ISIKAN DENGAN SKOR 
MAKSIMUMNYA, JIKA TIDAK ADA SKORNYA, DIKOSONGI SAJA</t>
        </r>
        <r>
          <rPr>
            <sz val="9"/>
            <color indexed="81"/>
            <rFont val="Tahoma"/>
            <family val="2"/>
          </rPr>
          <t xml:space="preserve">
</t>
        </r>
      </text>
    </comment>
  </commentList>
</comments>
</file>

<file path=xl/sharedStrings.xml><?xml version="1.0" encoding="utf-8"?>
<sst xmlns="http://schemas.openxmlformats.org/spreadsheetml/2006/main" count="2383" uniqueCount="583">
  <si>
    <t>N A M A   S I S W A</t>
  </si>
  <si>
    <t>L/P</t>
  </si>
  <si>
    <t>UTS</t>
  </si>
  <si>
    <t>Tes lisan</t>
  </si>
  <si>
    <t>Tugas</t>
  </si>
  <si>
    <t>UH (Tes tulis)</t>
  </si>
  <si>
    <t>Tanggung jawab</t>
  </si>
  <si>
    <t>Skor akhir</t>
  </si>
  <si>
    <t>Jujur</t>
  </si>
  <si>
    <t>Disiplin</t>
  </si>
  <si>
    <t>Toleransi</t>
  </si>
  <si>
    <t>Gotong royong</t>
  </si>
  <si>
    <t>Santun</t>
  </si>
  <si>
    <t>Percaya Diri</t>
  </si>
  <si>
    <t>Sikap</t>
  </si>
  <si>
    <t>Nomor Urut</t>
  </si>
  <si>
    <t>Nomor Induk</t>
  </si>
  <si>
    <t>KELAS</t>
  </si>
  <si>
    <t>KD 1</t>
  </si>
  <si>
    <t>JUDUL KD</t>
  </si>
  <si>
    <t>KD 2</t>
  </si>
  <si>
    <t>KD 3</t>
  </si>
  <si>
    <t>KD 4</t>
  </si>
  <si>
    <t>KD 5</t>
  </si>
  <si>
    <t>KD 6</t>
  </si>
  <si>
    <t>KD 7</t>
  </si>
  <si>
    <t>KD 8</t>
  </si>
  <si>
    <t>Rata-rata Skor akhir</t>
  </si>
  <si>
    <t>NILAI AKHIR (ANGKA)</t>
  </si>
  <si>
    <t>NILAI AKHIR (INDEKS)</t>
  </si>
  <si>
    <t>NILAI AKHIR (HURUF)</t>
  </si>
  <si>
    <t>PRAKTIK</t>
  </si>
  <si>
    <t>PORTOFOLIO</t>
  </si>
  <si>
    <t>PROJEK</t>
  </si>
  <si>
    <t>Kode</t>
  </si>
  <si>
    <t>Pengetahuan</t>
  </si>
  <si>
    <t>DESKRIPSI KETERAMPILAN</t>
  </si>
  <si>
    <t>JUDUL PRAKTEK</t>
  </si>
  <si>
    <t>PROSES PERCOBAAN</t>
  </si>
  <si>
    <t>PENYAJIAN DATA</t>
  </si>
  <si>
    <t>PENJELASAN</t>
  </si>
  <si>
    <t>KEJUJURAN</t>
  </si>
  <si>
    <t>SKOR</t>
  </si>
  <si>
    <t>NILAI AKHIR</t>
  </si>
  <si>
    <t>KD 9</t>
  </si>
  <si>
    <t>KD 10</t>
  </si>
  <si>
    <t>TAHAP PERSIAPAN</t>
  </si>
  <si>
    <t>TAHAP PELAKSANAAN</t>
  </si>
  <si>
    <t>TAHAP PELAPORAN</t>
  </si>
  <si>
    <t>JUDUL PROYEK</t>
  </si>
  <si>
    <t>REMEDIAL 1</t>
  </si>
  <si>
    <t>REMEDIAL 2</t>
  </si>
  <si>
    <t>FORMULIR PENILAIAN ANTAR TEMAN</t>
  </si>
  <si>
    <t>4 = Selalu</t>
  </si>
  <si>
    <t>3 = Sering</t>
  </si>
  <si>
    <t>2 = Jarang</t>
  </si>
  <si>
    <t>1 = Tidak Pernah</t>
  </si>
  <si>
    <t>Berilah tanda cek pada kolom pilihan berikut dengan</t>
  </si>
  <si>
    <t>No</t>
  </si>
  <si>
    <t>Aspek yang Diamati</t>
  </si>
  <si>
    <t>Skor</t>
  </si>
  <si>
    <t>Tidak nyontek dalam mengerjakan ujian/ulangan</t>
  </si>
  <si>
    <t>Tidak melakukan plagiat (mengambil /menyalin karya orang lain tanpa menyebutkan sumber) dalam mengerjakan setiap tugas</t>
  </si>
  <si>
    <t>Mengemukakan perasaan terhadap sesuatu apa adanya</t>
  </si>
  <si>
    <t>Melaporkan data atau informasi apa adanya</t>
  </si>
  <si>
    <t>Mengakui kesalahan atau kekurangan yang dimiliki</t>
  </si>
  <si>
    <t>Masuk kelas tepat waktu</t>
  </si>
  <si>
    <t>Mengumpulkan tugas tepat waktu</t>
  </si>
  <si>
    <t>Memakai seragam sesuai tata tertib</t>
  </si>
  <si>
    <t>Mengerjakan tugas yang diberikan</t>
  </si>
  <si>
    <t>Tertib dalam mengikuti pembelajaran</t>
  </si>
  <si>
    <t>Mengikuti praktikum sesuai dengan langkah yang ditetapkan</t>
  </si>
  <si>
    <t>Membawa buku tulis sesuai mata pelajaran</t>
  </si>
  <si>
    <t>Membawa buku teks mata pelajaran</t>
  </si>
  <si>
    <t>Melaksanakan tugas individu dengan baik</t>
  </si>
  <si>
    <t>Menerima resiko dari tindakan yang dilakukan</t>
  </si>
  <si>
    <t>Tidak menuduh orang lain tanpa bukti yang akurat</t>
  </si>
  <si>
    <t>Mengembalikan barang yang dipinjam</t>
  </si>
  <si>
    <t>Meminta maaf atas kesalahan yang dilakukan</t>
  </si>
  <si>
    <t>Menghormati pendapat teman</t>
  </si>
  <si>
    <t>Menghormati teman yang berbeda suku, agama, ras, budaya, dan gender</t>
  </si>
  <si>
    <t>Menerima kesepakatan meskipun berbeda dengan pendapatnya</t>
  </si>
  <si>
    <t>Menerima kekurangan orang lain</t>
  </si>
  <si>
    <t>Memaafkan kesalahan orang lain</t>
  </si>
  <si>
    <t>Aktif dalam kerja kelompok</t>
  </si>
  <si>
    <t>Suka menolong teman/orang lain</t>
  </si>
  <si>
    <t>Kesediaan melakukan tugas sesuai kesepakatan</t>
  </si>
  <si>
    <t>Rela berkorban untuk orang lain</t>
  </si>
  <si>
    <t>Menghormati orang yang lebih tua</t>
  </si>
  <si>
    <t>Mengucapkan terima kasih setelah menerima bantuan orang lain</t>
  </si>
  <si>
    <t>Menggunakan bahasa santun saat menyampaikan pendapat</t>
  </si>
  <si>
    <t>Menggunakan bahasa santun saat mengkritik pendapat teman</t>
  </si>
  <si>
    <t>Bersikap 3S (salam, senyum, sapa) saat bertemu orang lain</t>
  </si>
  <si>
    <t>Berani presentasi di depan kelas</t>
  </si>
  <si>
    <t>Berani berpendapat, bertanya, dan menjawab pertanyaan</t>
  </si>
  <si>
    <t>Berpendapat atau melakukan kegiatan tanpa ragu-ragu</t>
  </si>
  <si>
    <t>Mampu membuat keputusan dengan cepat</t>
  </si>
  <si>
    <t>Tidak mudah putus asa/pantang menyerah</t>
  </si>
  <si>
    <t>JUMLAH</t>
  </si>
  <si>
    <t xml:space="preserve">FORMULIR PENILAIAN DIRI </t>
  </si>
  <si>
    <t>TP</t>
  </si>
  <si>
    <t>KD</t>
  </si>
  <si>
    <t>SR</t>
  </si>
  <si>
    <t>SL</t>
  </si>
  <si>
    <t>Keterangan</t>
  </si>
  <si>
    <t>KETERANGAN:</t>
  </si>
  <si>
    <t>= Selalu, apabila selalu melakukan sesuai pernyataan</t>
  </si>
  <si>
    <t xml:space="preserve">SR </t>
  </si>
  <si>
    <t>= Sering, apabila sering melakukan sesuai pernyataan dan kadang- kadang tidak melakukan</t>
  </si>
  <si>
    <t xml:space="preserve">KD </t>
  </si>
  <si>
    <t>= Kadang-kadang, apabila kadang-kadang melakukan dan sering tidak melakukan</t>
  </si>
  <si>
    <t xml:space="preserve">TP </t>
  </si>
  <si>
    <t>= Tidak Pernah, apabila tidak pernah melakukan</t>
  </si>
  <si>
    <t>REKAP PENILAIAN ANTARTEMAN</t>
  </si>
  <si>
    <t>Aspek Pengamatan</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</si>
  <si>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</si>
  <si>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</si>
  <si>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</si>
  <si>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</si>
  <si>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</si>
  <si>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</si>
  <si>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</si>
  <si>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</si>
  <si>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</si>
  <si>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</si>
  <si>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</si>
  <si>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</si>
  <si>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</si>
  <si>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</si>
  <si>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</si>
  <si>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</si>
  <si>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</si>
  <si>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</si>
  <si>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</si>
  <si>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</si>
  <si>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</si>
  <si>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</si>
  <si>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</si>
  <si>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</si>
  <si>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</si>
  <si>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</si>
  <si>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</si>
  <si>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</si>
  <si>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</si>
  <si>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</si>
  <si>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</si>
  <si>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</si>
  <si>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</si>
  <si>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</si>
  <si>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B.1</t>
  </si>
  <si>
    <t>Tidak nyontek dalam mengerjakan ujian</t>
  </si>
  <si>
    <t>B.2</t>
  </si>
  <si>
    <t>Tidak melakukan plagiat dalam mengerjakan setiap tugas</t>
  </si>
  <si>
    <t>B.3</t>
  </si>
  <si>
    <t>Mengemukakan perasaan thd sesuatu apa adanya</t>
  </si>
  <si>
    <t>B.4</t>
  </si>
  <si>
    <t>B.5</t>
  </si>
  <si>
    <t>C.1</t>
  </si>
  <si>
    <t>Masuk Kelas tepat waktu</t>
  </si>
  <si>
    <t>C.2</t>
  </si>
  <si>
    <t>C.3</t>
  </si>
  <si>
    <t>C.4</t>
  </si>
  <si>
    <t>C.5</t>
  </si>
  <si>
    <t>C.6</t>
  </si>
  <si>
    <t>Mengikuti praktikum sesuai dengan langkah yg ditetapkan</t>
  </si>
  <si>
    <t>C.7</t>
  </si>
  <si>
    <t>Membawa buku tulis sesuai mapel</t>
  </si>
  <si>
    <t>C.8</t>
  </si>
  <si>
    <t>Membawa buku teks mapel</t>
  </si>
  <si>
    <t>Tanggung Jawab</t>
  </si>
  <si>
    <t>D.1</t>
  </si>
  <si>
    <t>D.2</t>
  </si>
  <si>
    <t>D.3</t>
  </si>
  <si>
    <t>Tidak menuduh orang lain tanpa buktu yang akurat</t>
  </si>
  <si>
    <t>D.4</t>
  </si>
  <si>
    <t>D.5</t>
  </si>
  <si>
    <t>E.1</t>
  </si>
  <si>
    <t>Menghargai pendapat teman</t>
  </si>
  <si>
    <t>E.2</t>
  </si>
  <si>
    <t>Menghargai teman yang berbeda SARA</t>
  </si>
  <si>
    <t>E.3</t>
  </si>
  <si>
    <t>Menerima kesepakatan meskipun berbeda dg pendapatnya</t>
  </si>
  <si>
    <t>E.4</t>
  </si>
  <si>
    <t>E.5</t>
  </si>
  <si>
    <t>Gotong Royong</t>
  </si>
  <si>
    <t>F.1</t>
  </si>
  <si>
    <t>F.2</t>
  </si>
  <si>
    <t>Suka menolong teman lain</t>
  </si>
  <si>
    <t>F.3</t>
  </si>
  <si>
    <t>F.4</t>
  </si>
  <si>
    <t>Rela berkorban untuk teman lain</t>
  </si>
  <si>
    <t>G.1</t>
  </si>
  <si>
    <t>G.2</t>
  </si>
  <si>
    <t>G.3</t>
  </si>
  <si>
    <t>G.4</t>
  </si>
  <si>
    <t>Menggunakan bahasa santun saat menkritik pendapat teman</t>
  </si>
  <si>
    <t>G.5</t>
  </si>
  <si>
    <t>Bersikap 3S (Salam - Senyum - Sapa) kepada orang lain</t>
  </si>
  <si>
    <t>H.1</t>
  </si>
  <si>
    <t>H.2</t>
  </si>
  <si>
    <t>H.3</t>
  </si>
  <si>
    <t>Berpendapat atau bertindak tanpa ragu-ragu</t>
  </si>
  <si>
    <t>H.4</t>
  </si>
  <si>
    <t>Mampu membuat keputusan dengan tepat</t>
  </si>
  <si>
    <t>H.5</t>
  </si>
  <si>
    <t>Tidak mudah putus asa</t>
  </si>
  <si>
    <t>REKAP PENILAIAN DIRI SENDIRI</t>
  </si>
  <si>
    <t>Spiritual</t>
  </si>
  <si>
    <t>A.1</t>
  </si>
  <si>
    <t>Berdoa sebelum dan sesudah melakukan sesuatu</t>
  </si>
  <si>
    <t>A.2</t>
  </si>
  <si>
    <t>Mengucapkan rasa syukur setelah berhasil mengerjakan sesuatu</t>
  </si>
  <si>
    <t>A.3</t>
  </si>
  <si>
    <t>Memberi salam sebelum dan sesudah menyampaikan pendapat</t>
  </si>
  <si>
    <t>A.4</t>
  </si>
  <si>
    <t>Menjalankan ibadah tepat waktu</t>
  </si>
  <si>
    <t>A.5</t>
  </si>
  <si>
    <t>Menambah rasa keimanan setelah mempelajari Iptek</t>
  </si>
  <si>
    <t>JURNAL</t>
  </si>
  <si>
    <t>PENILAIAN DIRI</t>
  </si>
  <si>
    <t>P. ANTAR TEMAN</t>
  </si>
  <si>
    <t>DESKRIPSI</t>
  </si>
  <si>
    <t>35</t>
  </si>
  <si>
    <t>36</t>
  </si>
  <si>
    <t>37</t>
  </si>
  <si>
    <t>38</t>
  </si>
  <si>
    <t>39</t>
  </si>
  <si>
    <t>40</t>
  </si>
  <si>
    <t>41</t>
  </si>
  <si>
    <t>42</t>
  </si>
  <si>
    <t>43</t>
  </si>
  <si>
    <t>44</t>
  </si>
  <si>
    <t>45</t>
  </si>
  <si>
    <t>46</t>
  </si>
  <si>
    <t>47</t>
  </si>
  <si>
    <t>48</t>
  </si>
  <si>
    <t>PERCAYA DIRI</t>
  </si>
  <si>
    <t>OBSERVASI 2</t>
  </si>
  <si>
    <t>OBSERVASI</t>
  </si>
  <si>
    <t>Nama</t>
  </si>
  <si>
    <t>:</t>
  </si>
  <si>
    <t>NIP</t>
  </si>
  <si>
    <t>Mata Pelajaran</t>
  </si>
  <si>
    <t>Kelas</t>
  </si>
  <si>
    <t>Ketrampilan</t>
  </si>
  <si>
    <t>Mata Pelajaran :</t>
  </si>
  <si>
    <t>Semester  :</t>
  </si>
  <si>
    <t>KKM  :</t>
  </si>
  <si>
    <t>Kelas :</t>
  </si>
  <si>
    <t>Tahun Pelajaran :</t>
  </si>
  <si>
    <t>Wali Kelas :</t>
  </si>
  <si>
    <t>Aspek :</t>
  </si>
  <si>
    <t>Ketrampilan/Portofolio   1</t>
  </si>
  <si>
    <t>Kriteria/Aspek yang dinilai</t>
  </si>
  <si>
    <t>Keterangan/Rubrik Penilaian:</t>
  </si>
  <si>
    <t>1 =</t>
  </si>
  <si>
    <t>2 =</t>
  </si>
  <si>
    <t>3 =</t>
  </si>
  <si>
    <t>4 =</t>
  </si>
  <si>
    <t>5 =</t>
  </si>
  <si>
    <t>6 =</t>
  </si>
  <si>
    <t>7 =</t>
  </si>
  <si>
    <t xml:space="preserve">No. </t>
  </si>
  <si>
    <t>Kriteria/Aspek yang dinilai:</t>
  </si>
  <si>
    <t>Aspek 1</t>
  </si>
  <si>
    <t>Aspek 2</t>
  </si>
  <si>
    <t>Aspek 3</t>
  </si>
  <si>
    <t>Aspek 4</t>
  </si>
  <si>
    <t>Aspek 5</t>
  </si>
  <si>
    <t>Aspek 6</t>
  </si>
  <si>
    <t>Aspek 7</t>
  </si>
  <si>
    <t>Jumlah</t>
  </si>
  <si>
    <t>0-100</t>
  </si>
  <si>
    <t>0-4</t>
  </si>
  <si>
    <t>Konversi</t>
  </si>
  <si>
    <t>Skor Maks Kriteria =</t>
  </si>
  <si>
    <t>Nilai Rata-rata</t>
  </si>
  <si>
    <t>Mengetahui:</t>
  </si>
  <si>
    <t>Guru Mata Pelajaran</t>
  </si>
  <si>
    <t>KD1</t>
  </si>
  <si>
    <t>KD2</t>
  </si>
  <si>
    <t>KD3</t>
  </si>
  <si>
    <t>KD4</t>
  </si>
  <si>
    <t>KD5</t>
  </si>
  <si>
    <t>KD6</t>
  </si>
  <si>
    <t>KD7</t>
  </si>
  <si>
    <t>KD8</t>
  </si>
  <si>
    <t>KD9</t>
  </si>
  <si>
    <t>KD10</t>
  </si>
  <si>
    <t>DESKRIPSI NILAI AKHIR</t>
  </si>
  <si>
    <t>DAFTAR   NILAI   SISWA</t>
  </si>
  <si>
    <t>Semester :</t>
  </si>
  <si>
    <t>Huruf</t>
  </si>
  <si>
    <t>Deskripsi</t>
  </si>
  <si>
    <t>induk</t>
  </si>
  <si>
    <t>Semester</t>
  </si>
  <si>
    <t>NO</t>
  </si>
  <si>
    <t>NAMA SISWA</t>
  </si>
  <si>
    <t>NILAI</t>
  </si>
  <si>
    <t>TENGAH SEMESTER</t>
  </si>
  <si>
    <t>KD-1</t>
  </si>
  <si>
    <t>KD-2</t>
  </si>
  <si>
    <t>KD-3</t>
  </si>
  <si>
    <t>KD-4</t>
  </si>
  <si>
    <t>KD-5</t>
  </si>
  <si>
    <t>KD-6</t>
  </si>
  <si>
    <t>KD-7</t>
  </si>
  <si>
    <t>KD-8</t>
  </si>
  <si>
    <t>KD-9</t>
  </si>
  <si>
    <t>KD-10</t>
  </si>
  <si>
    <t>NILAI PENGETAHUAN</t>
  </si>
  <si>
    <t>NILAI KETRAMPILAN</t>
  </si>
  <si>
    <t>NILAI HURUF</t>
  </si>
  <si>
    <t>KKM</t>
  </si>
  <si>
    <t>KETUNTASAN</t>
  </si>
  <si>
    <t>Tahun Pelajaran</t>
  </si>
  <si>
    <t>REKAP OBSERVASI</t>
  </si>
  <si>
    <t>OBSERVASI 1</t>
  </si>
  <si>
    <t>SIKAP</t>
  </si>
  <si>
    <t>MAPEL  :</t>
  </si>
  <si>
    <t>NAMA :</t>
  </si>
  <si>
    <t>KELAS    :</t>
  </si>
  <si>
    <t>DAFTAR SETORAN NILAI UNTUK RAPORT UTS</t>
  </si>
  <si>
    <t>Nama Guru :</t>
  </si>
  <si>
    <t>KETRAMPILAN</t>
  </si>
  <si>
    <t>PENGETAHUAN</t>
  </si>
  <si>
    <t>NAMA</t>
  </si>
  <si>
    <t>NO ABSEN</t>
  </si>
  <si>
    <t>2.67</t>
  </si>
  <si>
    <t>KOMPETENSI PENGETAHUAN (DIISI OLEH SEMUA GURU MAPEL) SECARA SINGKAT DAN MEWAKILI INDIKATOR KD</t>
  </si>
  <si>
    <t>KOMPETENSI KETRAMPILAN (DIISI OLEH SEMUA GURU MAPEL) SECARA SINGKAT DAN MEWAKILI INDIKATOR KD</t>
  </si>
  <si>
    <t>SISWA 1</t>
  </si>
  <si>
    <t>NILAI TERENDAH</t>
  </si>
  <si>
    <t>NILAI TERTINGGI</t>
  </si>
  <si>
    <t>DESKRIPSI JADI</t>
  </si>
  <si>
    <t>DESKRIPSI  NILAI TERTINGGI</t>
  </si>
  <si>
    <t>DESKRIPSI NILAI TERNDAH</t>
  </si>
  <si>
    <t>IF('Input Nilai Pengetahuan'!L</t>
  </si>
  <si>
    <t>IF('Input Nilai Pengetahuan'!S</t>
  </si>
  <si>
    <t>IF('Input Nilai Pengetahuan'!Z</t>
  </si>
  <si>
    <t>IF('Input Nilai Pengetahuan'!AG</t>
  </si>
  <si>
    <t>IF('Input Nilai Pengetahuan'!AN</t>
  </si>
  <si>
    <t>IF('Input Nilai Pengetahuan'!AU</t>
  </si>
  <si>
    <t>IF('Input Nilai Pengetahuan'!BI</t>
  </si>
  <si>
    <t>IF('Input Nilai Pengetahuan'!BP</t>
  </si>
  <si>
    <t>IF('Input Nilai Pengetahuan'!BW</t>
  </si>
  <si>
    <t>"";"";'Input Nilai Pengetahuan'!L</t>
  </si>
  <si>
    <t>"";"";'Input Nilai Pengetahuan'!S</t>
  </si>
  <si>
    <t>"";"";'Input Nilai Pengetahuan'!Z</t>
  </si>
  <si>
    <t>"";"";'Input Nilai Pengetahuan'!AG</t>
  </si>
  <si>
    <t>"";"";'Input Nilai Pengetahuan'!AN</t>
  </si>
  <si>
    <t>"";"";'Input Nilai Pengetahuan'!AU</t>
  </si>
  <si>
    <t>"";"";'Input Nilai Pengetahuan'!BB</t>
  </si>
  <si>
    <t>"";"";'Input Nilai Pengetahuan'!BI</t>
  </si>
  <si>
    <t>"";"";'Input Nilai Pengetahuan'!BP</t>
  </si>
  <si>
    <t>"";"";'Input Nilai Pengetahuan'!BW</t>
  </si>
  <si>
    <t>SISWA 2</t>
  </si>
  <si>
    <t>SISWA 3</t>
  </si>
  <si>
    <t>SISWA 4</t>
  </si>
  <si>
    <t>SISWA 5</t>
  </si>
  <si>
    <t>SISWA 6</t>
  </si>
  <si>
    <t>SISWA 7</t>
  </si>
  <si>
    <t>SISWA 8</t>
  </si>
  <si>
    <t>SISWA 9</t>
  </si>
  <si>
    <t>SISWA 10</t>
  </si>
  <si>
    <t>SISWA 11</t>
  </si>
  <si>
    <t>SISWA 12</t>
  </si>
  <si>
    <t>SISWA 13</t>
  </si>
  <si>
    <t>SISWA 14</t>
  </si>
  <si>
    <t>SISWA 15</t>
  </si>
  <si>
    <t>SISWA 16</t>
  </si>
  <si>
    <t>SISWA 17</t>
  </si>
  <si>
    <t>SISWA 18</t>
  </si>
  <si>
    <t>SISWA 19</t>
  </si>
  <si>
    <t>SISWA 20</t>
  </si>
  <si>
    <t>SISWA 21</t>
  </si>
  <si>
    <t>SISWA 22</t>
  </si>
  <si>
    <t>SISWA 23</t>
  </si>
  <si>
    <t>SISWA 24</t>
  </si>
  <si>
    <t>SISWA 25</t>
  </si>
  <si>
    <t>SISWA 26</t>
  </si>
  <si>
    <t>SISWA 27</t>
  </si>
  <si>
    <t>SISWA 28</t>
  </si>
  <si>
    <t>SISWA 29</t>
  </si>
  <si>
    <t>SISWA 30</t>
  </si>
  <si>
    <t>SISWA 31</t>
  </si>
  <si>
    <t>SISWA 32</t>
  </si>
  <si>
    <t>SISWA 33</t>
  </si>
  <si>
    <t>SISWA 34</t>
  </si>
  <si>
    <t>SISWA 35</t>
  </si>
  <si>
    <t>SISWA 36</t>
  </si>
  <si>
    <t>SISWA 37</t>
  </si>
  <si>
    <t>SISWA 38</t>
  </si>
  <si>
    <t>SISWA 39</t>
  </si>
  <si>
    <t>SISWA 40</t>
  </si>
  <si>
    <t>SISWA 41</t>
  </si>
  <si>
    <t>SISWA 42</t>
  </si>
  <si>
    <t>SISWA 43</t>
  </si>
  <si>
    <t>SISWA 44</t>
  </si>
  <si>
    <t>SISWA 45</t>
  </si>
  <si>
    <t>SISWA 46</t>
  </si>
  <si>
    <t>SISWA 47</t>
  </si>
  <si>
    <t>SISWA 48</t>
  </si>
  <si>
    <t>IF('Input Nilai Pengetahuan'!BB</t>
  </si>
  <si>
    <t>KETUNTASAN NILAI TERTINGGI</t>
  </si>
  <si>
    <t>KETUNTASAN NILAI TERENDAH</t>
  </si>
  <si>
    <t>KATEGORI</t>
  </si>
  <si>
    <t>Skor Tertinggi</t>
  </si>
  <si>
    <t>KRITERIA</t>
  </si>
  <si>
    <t>IF('Input Nilai Ketrampilan'!I</t>
  </si>
  <si>
    <t>IF('Input Nilai Ketrampilan'!M</t>
  </si>
  <si>
    <t>IF('Input Nilai Ketrampilan'!Q</t>
  </si>
  <si>
    <t>IF('Input Nilai Ketrampilan'!U</t>
  </si>
  <si>
    <t>IF('Input Nilai Ketrampilan'!Y</t>
  </si>
  <si>
    <t>IF('Input Nilai Ketrampilan'!AC</t>
  </si>
  <si>
    <t>IF('Input Nilai Ketrampilan'!AG</t>
  </si>
  <si>
    <t>IF('Input Nilai Ketrampilan'!AK</t>
  </si>
  <si>
    <t>IF('Input Nilai Ketrampilan'!AO</t>
  </si>
  <si>
    <t>IF('Input Nilai Ketrampilan'!AS</t>
  </si>
  <si>
    <t>"";"";'Input Nilai Ketrampilan'!I</t>
  </si>
  <si>
    <t>"";"";'Input Nilai Ketrampilan'!M</t>
  </si>
  <si>
    <t>"";"";'Input Nilai Ketrampilan'!Q</t>
  </si>
  <si>
    <t>"";"";'Input Nilai Ketrampilan'!U</t>
  </si>
  <si>
    <t>"";"";'Input Nilai Ketrampilan'!Y</t>
  </si>
  <si>
    <t>"";"";'Input Nilai Ketrampilan'!AC</t>
  </si>
  <si>
    <t>"";"";'Input Nilai Ketrampilan'!AG</t>
  </si>
  <si>
    <t>"";"";'Input Nilai Ketrampilan'!AK</t>
  </si>
  <si>
    <t>"";"";'Input Nilai Ketrampilan'!AO</t>
  </si>
  <si>
    <t>"";"";'Input Nilai Ketrampilan'!AS</t>
  </si>
  <si>
    <t>IF('Input Nilai Ketrampilan'!I5="";"";'Input Nilai Ketrampilan'!I5)</t>
  </si>
  <si>
    <t>Percaya diri</t>
  </si>
  <si>
    <t>KOMPETENSI SOSIAL ( DIISI SAMA OLEH GURU PKN HASIL MUSYAWARAH DENGAN BK)</t>
  </si>
  <si>
    <t>KOMPETENSI SPIRITUAL ( DIISI SAMA OLEH GURU Akidah Akhlak dengan merangkum kompetensi dasar dari QH, SKI dan FIKIH)</t>
  </si>
  <si>
    <t>Sikap Sosial</t>
  </si>
  <si>
    <t>Sikap spiritual</t>
  </si>
  <si>
    <t>Deskrisipsi Spiritual</t>
  </si>
  <si>
    <t>SPIRITUAL</t>
  </si>
  <si>
    <t>SOSIAL</t>
  </si>
  <si>
    <t>INSTRUMEN PENILAIAN PORTOFOLIO</t>
  </si>
  <si>
    <t>Portofolio</t>
  </si>
  <si>
    <t>KEMENTERIAN AGAMA RI</t>
  </si>
  <si>
    <t>PETUNJUK :</t>
  </si>
  <si>
    <t>PEMBOBOTAN</t>
  </si>
  <si>
    <t>1)Isikan identitas guru, mapel, kelas, tahun pelajaran dan KKM  2)Klik Isian Kompetensi Dasar sesuai mapel untuk mengisi kmpetensi yang harus dikuasai oleh siswa 3) Untuk mengisi nilai pengetahuan, ketrampilan atau sikap tinggal pilih saja 4) Untuk melihat nilai yang disetorkan sudah benar atau belum bisa diklik lihat atau setor 5) untuk mencetak blangko daftar nilai bisa diklik salah satu formnya</t>
  </si>
  <si>
    <t>HPH</t>
  </si>
  <si>
    <t>HPTS</t>
  </si>
  <si>
    <t>HPAS</t>
  </si>
  <si>
    <t>HPA (ANGKA) PEMBULATAN</t>
  </si>
  <si>
    <t>HPA (HURUF)</t>
  </si>
  <si>
    <t>HPA (ANGKA)</t>
  </si>
  <si>
    <t>PH 1</t>
  </si>
  <si>
    <t>PH 2</t>
  </si>
  <si>
    <t>PH 3</t>
  </si>
  <si>
    <t>PH 4</t>
  </si>
  <si>
    <t>PH 5</t>
  </si>
  <si>
    <t>PH 6</t>
  </si>
  <si>
    <t>PH 7</t>
  </si>
  <si>
    <t>PH 8</t>
  </si>
  <si>
    <t>PH 9</t>
  </si>
  <si>
    <t>PH 10</t>
  </si>
  <si>
    <t>HASIL PH</t>
  </si>
  <si>
    <t>KINERJA</t>
  </si>
  <si>
    <t>PTS</t>
  </si>
  <si>
    <t>NILAI PTS</t>
  </si>
  <si>
    <t>PAS</t>
  </si>
  <si>
    <t xml:space="preserve">APLIKASI DAFTAR NILAI K13 UNTUK GURU PERMEN 53 TAHUN 2015 EDISI 2016 </t>
  </si>
  <si>
    <t>CATATAN PERILAKU</t>
  </si>
  <si>
    <t>BUTIR SIKAP</t>
  </si>
  <si>
    <t>KETERANGAN</t>
  </si>
  <si>
    <t>JURNAL PERKEMBANGAN SIKAP</t>
  </si>
  <si>
    <t>TGL</t>
  </si>
  <si>
    <t>Kriteria Ketuntasan Minimal</t>
  </si>
  <si>
    <t xml:space="preserve">created by : SULIYAT, M.Si </t>
  </si>
  <si>
    <t>KLIK UNTUK LIHAT PROFIL</t>
  </si>
  <si>
    <t>My Profil</t>
  </si>
  <si>
    <t>: SULIYAT, Msi</t>
  </si>
  <si>
    <t>INSTANSI KERJA</t>
  </si>
  <si>
    <t>: MTsN TUREN</t>
  </si>
  <si>
    <t>KAB/PROV</t>
  </si>
  <si>
    <t>: MALANG/JAWA TIMUR</t>
  </si>
  <si>
    <t>Email</t>
  </si>
  <si>
    <t>: suliyats@yahoo.com</t>
  </si>
  <si>
    <t>Greetings and thanks to my teacher</t>
  </si>
  <si>
    <t>SDN Turen 1</t>
  </si>
  <si>
    <t>SMPN 1Turen (espensa)</t>
  </si>
  <si>
    <t>SMAM5 Malang</t>
  </si>
  <si>
    <t>IKIP Malang</t>
  </si>
  <si>
    <t>ITB</t>
  </si>
  <si>
    <t>MADRASAH TSANAWIYAH NEGERI TUREN</t>
  </si>
  <si>
    <t>JL KENONGOSARI 16 TUREN</t>
  </si>
  <si>
    <t>SYARIF HIDAYATULLOH</t>
  </si>
  <si>
    <t>VII-J</t>
  </si>
  <si>
    <t>ABD MANNAN</t>
  </si>
  <si>
    <t>ACHMAD ALFARESI</t>
  </si>
  <si>
    <t>AGITA ZAHRAH MUFIDAH</t>
  </si>
  <si>
    <t>AHMAD HAMBALI</t>
  </si>
  <si>
    <t>AHMADI</t>
  </si>
  <si>
    <t xml:space="preserve">AINUR ROFIK </t>
  </si>
  <si>
    <t>AT-THORIQ BINTANG PRAJA</t>
  </si>
  <si>
    <t>DEWI WULANDARI</t>
  </si>
  <si>
    <t>ENI UMAMAH</t>
  </si>
  <si>
    <t>FADIA FASSA</t>
  </si>
  <si>
    <t>FATIMATUZ  ZAHROH</t>
  </si>
  <si>
    <t>IMAM FATONI</t>
  </si>
  <si>
    <t>ISMA SRI WAHYUNI</t>
  </si>
  <si>
    <t>JAKFAR SODIK ROMADHONI</t>
  </si>
  <si>
    <t>KHOIRIL NISA'</t>
  </si>
  <si>
    <t>LATIFA MAHARANI</t>
  </si>
  <si>
    <t>LUQMANUL FIKRI SYAIFULLAH</t>
  </si>
  <si>
    <t>MAR'ATUS SOLEHAH</t>
  </si>
  <si>
    <t>MOCH.  SHOLEH W. H</t>
  </si>
  <si>
    <t>MOCH. FAWES</t>
  </si>
  <si>
    <t>MOH SAHRUL RAMADON</t>
  </si>
  <si>
    <t>MOHAMMAD RAMADAN PURNOMO</t>
  </si>
  <si>
    <t>MOHAMMAD ROFI'I</t>
  </si>
  <si>
    <t>NI'MATUS SHOLIHA</t>
  </si>
  <si>
    <t>PANJI FIKRI ISLAMI</t>
  </si>
  <si>
    <t>RACMAT MAULIDI ABDANY</t>
  </si>
  <si>
    <t>RAIHAN</t>
  </si>
  <si>
    <t>REFITA ANNASTASYA</t>
  </si>
  <si>
    <t>RISKIYAH</t>
  </si>
  <si>
    <t>SALILATUL HUSNA</t>
  </si>
  <si>
    <t>SALMA NABILA</t>
  </si>
  <si>
    <t>SITI AINUR ROHIMAH</t>
  </si>
  <si>
    <t>URVIA ZAHNA ROHANDY</t>
  </si>
  <si>
    <t>0000</t>
  </si>
  <si>
    <t>2016-2017</t>
  </si>
  <si>
    <t>7643</t>
  </si>
  <si>
    <t>7645</t>
  </si>
  <si>
    <t>7674</t>
  </si>
  <si>
    <t>7646</t>
  </si>
  <si>
    <t>7647</t>
  </si>
  <si>
    <t>7648</t>
  </si>
  <si>
    <t>7377</t>
  </si>
  <si>
    <t>7649</t>
  </si>
  <si>
    <t>7650</t>
  </si>
  <si>
    <t>7651</t>
  </si>
  <si>
    <t>7652</t>
  </si>
  <si>
    <t>7653</t>
  </si>
  <si>
    <t>7654</t>
  </si>
  <si>
    <t>7655</t>
  </si>
  <si>
    <t>7656</t>
  </si>
  <si>
    <t>7657</t>
  </si>
  <si>
    <t>7658</t>
  </si>
  <si>
    <t>7659</t>
  </si>
  <si>
    <t>7660</t>
  </si>
  <si>
    <t>7661</t>
  </si>
  <si>
    <t>7662</t>
  </si>
  <si>
    <t>7664</t>
  </si>
  <si>
    <t>7665</t>
  </si>
  <si>
    <t>7666</t>
  </si>
  <si>
    <t>7676</t>
  </si>
  <si>
    <t>7667</t>
  </si>
  <si>
    <t>7668</t>
  </si>
  <si>
    <t>7669</t>
  </si>
  <si>
    <t>7670</t>
  </si>
  <si>
    <t>7671</t>
  </si>
  <si>
    <t>7672</t>
  </si>
  <si>
    <t>7673</t>
  </si>
  <si>
    <t>7675</t>
  </si>
  <si>
    <t>7444</t>
  </si>
  <si>
    <t>L</t>
  </si>
  <si>
    <t>P</t>
  </si>
  <si>
    <t>Melaksanakan sholat dhuhur berjemaah dan sholatt dhuha, berdo'a di awal di akhir kegiatan pembelajaran , serta melaksanakan kegiatan amaliyah siswa</t>
  </si>
  <si>
    <t>Santun dalam bersikap, disiplin dalam mentaati tata tertib madrasah, peduli pada lingkungan, orang tua, bertanggung jawab dalam melaksanakan tugas, baik sebagai individu maupun makhluk sosial</t>
  </si>
  <si>
    <t>LSC ANGGRETA, S. Pd</t>
  </si>
  <si>
    <t>BHS INDONESIA</t>
  </si>
  <si>
    <t>Mengidentifikasi informasi (pesan, rima, dan pilihan kata) dari puisi rakyat (pantun, syair, dan bentuk puisi rakyat setempat) yang dibaca dan didengar</t>
  </si>
  <si>
    <t>Menelaah struktur  dan kebahasaan puisi rakyat (pantun, syair, dan bentuk puisi rakyat setempat) yang dibaca dan didengar</t>
  </si>
  <si>
    <t>Mengidentifikasi  informasi tentang fabel/ legenda daerah setempat yang dibaca dan didengar</t>
  </si>
  <si>
    <t xml:space="preserve">Menelaah struktur dan kebahasaan fabel/ legenda daerah setempat yang dibaca dan didengar </t>
  </si>
  <si>
    <t>Mengidentifikasi informasi (kabar, keperluan, permintaan, atau permohonan) dari surat pribadi dan surat dinas yang dibaca dan didengar</t>
  </si>
  <si>
    <t>Menelaah unsur-unsur dan kebahasaan dari surat pribadi dan surat dinas yang dibaca dan didengar</t>
  </si>
  <si>
    <t>Menemukan unsur-unsur dari buku fiksi dan nonfiksi yang dibca</t>
  </si>
  <si>
    <t>Menelaah hubungan unsur-unsur dalam buku fiksi dan nonfiksi</t>
  </si>
  <si>
    <t>Menyimpulkan isi puisi rakyat (pantun, syair, dan bentuk puisi rakyat setempat) yang disajikan dalam bentuk tulis dan lisan</t>
  </si>
  <si>
    <t>Mengungkapkan gagasan, perasaan, dan pesan dalam bentuk puisi rakyat secara lisan dan tulis dengan memperhatikan struktur, rima dan penggunaan bahasa</t>
  </si>
  <si>
    <t>Menceritakan kembali isi cerita rakyat fabel/ legenda dari daerah setempat yang  pernah dibaca atau didengar</t>
  </si>
  <si>
    <t>Menceritakan isi fabel/ legenda daerah setempat yang dibaca dan didengar</t>
  </si>
  <si>
    <t>Menyimpulkan isi (kabar, keperluan, permintaan, atau permohonan) dari surat pribadi dan surat dinas yang dibaca dan didengar</t>
  </si>
  <si>
    <t>Menulis surat ( pribadi dan dinas) untuk kepentingan  resmi dengan memperhatikan struktur teks, kebahasaan dan isi</t>
  </si>
  <si>
    <t>Membuat peta pikiran / rangkuman alur tentang isi buku nonfiksi / buku fiksi yang dibaca</t>
  </si>
  <si>
    <t>Menyajikan tanggapan terhadap isi buku fiksi dan nonfiksi yang dibaca</t>
  </si>
</sst>
</file>

<file path=xl/styles.xml><?xml version="1.0" encoding="utf-8"?>
<styleSheet xmlns="http://schemas.openxmlformats.org/spreadsheetml/2006/main">
  <numFmts count="1">
    <numFmt numFmtId="164" formatCode="0.0"/>
  </numFmts>
  <fonts count="98">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b/>
      <sz val="11"/>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theme="1"/>
      <name val="Calibri"/>
      <family val="2"/>
    </font>
    <font>
      <sz val="12"/>
      <color theme="1"/>
      <name val="Times New Roman"/>
      <family val="1"/>
    </font>
    <font>
      <sz val="9"/>
      <color indexed="81"/>
      <name val="Tahoma"/>
      <family val="2"/>
    </font>
    <font>
      <b/>
      <sz val="9"/>
      <color indexed="81"/>
      <name val="Tahoma"/>
      <family val="2"/>
    </font>
    <font>
      <b/>
      <sz val="18"/>
      <color theme="1"/>
      <name val="Times New Roman"/>
      <family val="1"/>
    </font>
    <font>
      <b/>
      <sz val="12"/>
      <color theme="1"/>
      <name val="Times New Roman"/>
      <family val="1"/>
    </font>
    <font>
      <b/>
      <sz val="12"/>
      <name val="Times New Roman"/>
      <family val="1"/>
    </font>
    <font>
      <sz val="12"/>
      <color rgb="FF000000"/>
      <name val="Times New Roman"/>
      <family val="1"/>
    </font>
    <font>
      <b/>
      <sz val="12"/>
      <color rgb="FF000000"/>
      <name val="Times New Roman"/>
      <family val="1"/>
    </font>
    <font>
      <sz val="10"/>
      <color theme="1"/>
      <name val="Times New Roman"/>
      <family val="1"/>
    </font>
    <font>
      <sz val="18"/>
      <color theme="1"/>
      <name val="Times New Roman"/>
      <family val="1"/>
    </font>
    <font>
      <b/>
      <sz val="10"/>
      <color theme="1"/>
      <name val="Times New Roman"/>
      <family val="1"/>
    </font>
    <font>
      <b/>
      <u/>
      <sz val="10"/>
      <color theme="1"/>
      <name val="Times New Roman"/>
      <family val="1"/>
    </font>
    <font>
      <b/>
      <u val="double"/>
      <sz val="20"/>
      <color theme="1"/>
      <name val="Times New Roman"/>
      <family val="1"/>
    </font>
    <font>
      <b/>
      <sz val="20"/>
      <color theme="1"/>
      <name val="Times New Roman"/>
      <family val="1"/>
    </font>
    <font>
      <sz val="11"/>
      <color theme="1"/>
      <name val="Times New Roman"/>
      <family val="1"/>
    </font>
    <font>
      <b/>
      <sz val="11"/>
      <color theme="1"/>
      <name val="Times New Roman"/>
      <family val="1"/>
    </font>
    <font>
      <b/>
      <sz val="11"/>
      <color theme="0"/>
      <name val="Times New Roman"/>
      <family val="1"/>
    </font>
    <font>
      <b/>
      <sz val="8"/>
      <color theme="1"/>
      <name val="Times New Roman"/>
      <family val="1"/>
    </font>
    <font>
      <sz val="8"/>
      <color indexed="81"/>
      <name val="Tahoma"/>
      <family val="2"/>
    </font>
    <font>
      <b/>
      <sz val="8"/>
      <color indexed="81"/>
      <name val="Tahoma"/>
      <family val="2"/>
    </font>
    <font>
      <b/>
      <i/>
      <sz val="14"/>
      <color theme="0"/>
      <name val="Arial Narrow"/>
      <family val="2"/>
    </font>
    <font>
      <b/>
      <i/>
      <sz val="14"/>
      <color theme="0"/>
      <name val="Calibri"/>
      <family val="2"/>
      <scheme val="minor"/>
    </font>
    <font>
      <b/>
      <sz val="22"/>
      <color theme="1"/>
      <name val="Calibri"/>
      <family val="2"/>
      <scheme val="minor"/>
    </font>
    <font>
      <sz val="11"/>
      <color theme="1"/>
      <name val="Arial Narrow"/>
      <family val="2"/>
    </font>
    <font>
      <sz val="10.5"/>
      <color theme="1"/>
      <name val="Arial Narrow"/>
      <family val="2"/>
    </font>
    <font>
      <b/>
      <sz val="10.5"/>
      <color theme="1"/>
      <name val="Arial Narrow"/>
      <family val="2"/>
    </font>
    <font>
      <b/>
      <sz val="10"/>
      <color theme="1"/>
      <name val="Arial Narrow"/>
      <family val="2"/>
    </font>
    <font>
      <b/>
      <sz val="20"/>
      <color theme="1"/>
      <name val="Calibri"/>
      <family val="2"/>
      <scheme val="minor"/>
    </font>
    <font>
      <b/>
      <sz val="18"/>
      <color theme="1"/>
      <name val="Calibri"/>
      <family val="2"/>
      <scheme val="minor"/>
    </font>
    <font>
      <b/>
      <sz val="10"/>
      <color theme="1"/>
      <name val="Calibri"/>
      <family val="2"/>
      <scheme val="minor"/>
    </font>
    <font>
      <sz val="7"/>
      <color theme="1"/>
      <name val="Arial"/>
      <family val="2"/>
    </font>
    <font>
      <b/>
      <i/>
      <sz val="11"/>
      <color theme="0"/>
      <name val="Calibri"/>
      <family val="2"/>
      <scheme val="minor"/>
    </font>
    <font>
      <b/>
      <sz val="16"/>
      <color theme="1"/>
      <name val="Calibri"/>
      <family val="2"/>
      <scheme val="minor"/>
    </font>
    <font>
      <b/>
      <sz val="8"/>
      <color theme="1"/>
      <name val="Calibri"/>
      <family val="2"/>
      <scheme val="minor"/>
    </font>
    <font>
      <b/>
      <sz val="14"/>
      <color theme="1"/>
      <name val="Calibri"/>
      <family val="2"/>
      <scheme val="minor"/>
    </font>
    <font>
      <b/>
      <i/>
      <sz val="11"/>
      <color theme="1"/>
      <name val="Calibri"/>
      <family val="2"/>
      <scheme val="minor"/>
    </font>
    <font>
      <b/>
      <i/>
      <sz val="11"/>
      <name val="Calibri"/>
      <family val="2"/>
      <scheme val="minor"/>
    </font>
    <font>
      <b/>
      <sz val="11"/>
      <color theme="1"/>
      <name val="Arial"/>
      <family val="2"/>
    </font>
    <font>
      <b/>
      <sz val="11"/>
      <name val="Arial"/>
      <family val="2"/>
    </font>
    <font>
      <b/>
      <sz val="8"/>
      <name val="Arial"/>
      <family val="2"/>
    </font>
    <font>
      <b/>
      <sz val="8"/>
      <color theme="1"/>
      <name val="Arial"/>
      <family val="2"/>
    </font>
    <font>
      <sz val="8"/>
      <name val="Arial"/>
      <family val="2"/>
    </font>
    <font>
      <sz val="8"/>
      <color theme="1"/>
      <name val="Arial"/>
      <family val="2"/>
    </font>
    <font>
      <sz val="10"/>
      <color theme="1"/>
      <name val="Arial"/>
      <family val="2"/>
    </font>
    <font>
      <sz val="10"/>
      <name val="Arial"/>
      <family val="2"/>
    </font>
    <font>
      <sz val="11"/>
      <name val="Calibri"/>
      <family val="2"/>
      <charset val="1"/>
      <scheme val="minor"/>
    </font>
    <font>
      <b/>
      <i/>
      <sz val="14"/>
      <color theme="1" tint="0.34998626667073579"/>
      <name val="Arial Narrow"/>
      <family val="2"/>
    </font>
    <font>
      <sz val="14"/>
      <name val="Calibri"/>
      <family val="2"/>
      <scheme val="minor"/>
    </font>
    <font>
      <b/>
      <sz val="8.25"/>
      <color indexed="8"/>
      <name val="Tahoma"/>
      <family val="2"/>
    </font>
    <font>
      <b/>
      <sz val="8"/>
      <name val="Calibri"/>
      <family val="2"/>
      <scheme val="minor"/>
    </font>
    <font>
      <sz val="18"/>
      <color theme="1"/>
      <name val="Calibri"/>
      <family val="2"/>
      <scheme val="minor"/>
    </font>
    <font>
      <b/>
      <sz val="14"/>
      <color theme="0"/>
      <name val="Calibri"/>
      <family val="2"/>
      <scheme val="minor"/>
    </font>
    <font>
      <u/>
      <sz val="8.8000000000000007"/>
      <color theme="10"/>
      <name val="Calibri"/>
      <family val="2"/>
    </font>
    <font>
      <sz val="22"/>
      <color theme="1"/>
      <name val="Calibri"/>
      <family val="2"/>
      <scheme val="minor"/>
    </font>
    <font>
      <sz val="24"/>
      <color theme="1"/>
      <name val="Calibri"/>
      <family val="2"/>
      <scheme val="minor"/>
    </font>
    <font>
      <sz val="11"/>
      <name val="Calibri"/>
      <family val="2"/>
      <scheme val="minor"/>
    </font>
    <font>
      <b/>
      <sz val="48"/>
      <color rgb="FFFF0000"/>
      <name val="Arial Black"/>
      <family val="2"/>
    </font>
    <font>
      <b/>
      <sz val="11"/>
      <color theme="0"/>
      <name val="Calibri"/>
      <family val="2"/>
      <scheme val="minor"/>
    </font>
    <font>
      <sz val="11"/>
      <color theme="0"/>
      <name val="Calibri"/>
      <family val="2"/>
      <scheme val="minor"/>
    </font>
    <font>
      <b/>
      <sz val="10"/>
      <color theme="0"/>
      <name val="Calibri"/>
      <family val="2"/>
      <scheme val="minor"/>
    </font>
    <font>
      <b/>
      <sz val="10"/>
      <color theme="1"/>
      <name val="Arial"/>
      <family val="2"/>
    </font>
    <font>
      <b/>
      <sz val="14"/>
      <color theme="0"/>
      <name val="Calibri"/>
      <family val="2"/>
    </font>
    <font>
      <sz val="10"/>
      <color theme="0"/>
      <name val="Calibri"/>
      <family val="2"/>
      <scheme val="minor"/>
    </font>
    <font>
      <b/>
      <sz val="20"/>
      <color theme="0"/>
      <name val="Calibri"/>
      <family val="2"/>
      <scheme val="minor"/>
    </font>
    <font>
      <b/>
      <sz val="26"/>
      <color theme="1"/>
      <name val="Calibri"/>
      <family val="2"/>
      <scheme val="minor"/>
    </font>
    <font>
      <b/>
      <sz val="16"/>
      <color rgb="FFC00000"/>
      <name val="Calibri"/>
      <family val="2"/>
      <scheme val="minor"/>
    </font>
    <font>
      <sz val="8"/>
      <color theme="1"/>
      <name val="Calibri"/>
      <family val="2"/>
      <scheme val="minor"/>
    </font>
    <font>
      <sz val="14"/>
      <color theme="1"/>
      <name val="Calibri"/>
      <family val="2"/>
      <scheme val="minor"/>
    </font>
    <font>
      <b/>
      <sz val="20"/>
      <color theme="0"/>
      <name val="Arial Black"/>
      <family val="2"/>
    </font>
    <font>
      <b/>
      <i/>
      <sz val="48"/>
      <color theme="0"/>
      <name val="Calibri"/>
      <family val="2"/>
      <scheme val="minor"/>
    </font>
    <font>
      <b/>
      <i/>
      <sz val="12"/>
      <color theme="9" tint="-0.499984740745262"/>
      <name val="Calibri"/>
      <family val="2"/>
      <scheme val="minor"/>
    </font>
    <font>
      <b/>
      <sz val="12"/>
      <color theme="9" tint="-0.499984740745262"/>
      <name val="Calibri"/>
      <family val="2"/>
      <scheme val="minor"/>
    </font>
    <font>
      <b/>
      <i/>
      <sz val="14"/>
      <color theme="9" tint="-0.499984740745262"/>
      <name val="Arial Narrow"/>
      <family val="2"/>
    </font>
    <font>
      <b/>
      <sz val="14"/>
      <color theme="9" tint="-0.499984740745262"/>
      <name val="Calibri"/>
      <family val="2"/>
      <scheme val="minor"/>
    </font>
    <font>
      <b/>
      <i/>
      <sz val="11"/>
      <color theme="9" tint="-0.499984740745262"/>
      <name val="Calibri"/>
      <family val="2"/>
      <scheme val="minor"/>
    </font>
    <font>
      <b/>
      <sz val="11"/>
      <color theme="4" tint="-0.499984740745262"/>
      <name val="Calibri"/>
      <family val="2"/>
      <scheme val="minor"/>
    </font>
    <font>
      <sz val="11"/>
      <color theme="4" tint="-0.499984740745262"/>
      <name val="Calibri"/>
      <family val="2"/>
      <scheme val="minor"/>
    </font>
    <font>
      <b/>
      <sz val="9"/>
      <name val="Calibri"/>
      <family val="2"/>
      <scheme val="minor"/>
    </font>
    <font>
      <b/>
      <sz val="72"/>
      <color theme="0"/>
      <name val="Algerian"/>
      <family val="5"/>
    </font>
    <font>
      <b/>
      <sz val="20"/>
      <name val="Calibri"/>
      <family val="2"/>
      <scheme val="minor"/>
    </font>
    <font>
      <b/>
      <sz val="28"/>
      <color theme="0"/>
      <name val="Arial Black"/>
      <family val="2"/>
    </font>
    <font>
      <b/>
      <sz val="12"/>
      <color theme="2" tint="-9.9978637043366805E-2"/>
      <name val="Arial Black"/>
      <family val="2"/>
    </font>
    <font>
      <b/>
      <sz val="36"/>
      <color theme="0"/>
      <name val="Algerian"/>
      <family val="5"/>
    </font>
    <font>
      <b/>
      <sz val="12"/>
      <color theme="0"/>
      <name val="Algerian"/>
      <family val="5"/>
    </font>
    <font>
      <b/>
      <sz val="24"/>
      <color rgb="FF002060"/>
      <name val="Arial Black"/>
      <family val="2"/>
    </font>
    <font>
      <sz val="14"/>
      <color theme="1"/>
      <name val="Calibri"/>
      <family val="2"/>
      <charset val="1"/>
      <scheme val="minor"/>
    </font>
    <font>
      <u/>
      <sz val="20"/>
      <color theme="0"/>
      <name val="Calibri"/>
      <family val="2"/>
    </font>
    <font>
      <b/>
      <i/>
      <sz val="18"/>
      <color theme="0"/>
      <name val="Calibri"/>
      <family val="2"/>
      <scheme val="minor"/>
    </font>
    <font>
      <sz val="8"/>
      <name val="Tahoma"/>
      <family val="2"/>
    </font>
  </fonts>
  <fills count="41">
    <fill>
      <patternFill patternType="none"/>
    </fill>
    <fill>
      <patternFill patternType="gray125"/>
    </fill>
    <fill>
      <patternFill patternType="solid">
        <fgColor theme="0"/>
        <bgColor indexed="64"/>
      </patternFill>
    </fill>
    <fill>
      <patternFill patternType="solid">
        <fgColor rgb="FFFFC000"/>
        <bgColor indexed="64"/>
      </patternFill>
    </fill>
    <fill>
      <patternFill patternType="solid">
        <fgColor rgb="FF92D050"/>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rgb="FFFF0000"/>
        <bgColor indexed="64"/>
      </patternFill>
    </fill>
    <fill>
      <patternFill patternType="solid">
        <fgColor rgb="FFFFFF00"/>
        <bgColor indexed="64"/>
      </patternFill>
    </fill>
    <fill>
      <patternFill patternType="solid">
        <fgColor rgb="FF808080"/>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0000FF"/>
        <bgColor indexed="64"/>
      </patternFill>
    </fill>
    <fill>
      <patternFill patternType="solid">
        <fgColor rgb="FF00B0F0"/>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3" tint="0.39997558519241921"/>
        <bgColor indexed="64"/>
      </patternFill>
    </fill>
    <fill>
      <patternFill patternType="solid">
        <fgColor rgb="FF00FFFF"/>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7030A0"/>
        <bgColor indexed="64"/>
      </patternFill>
    </fill>
    <fill>
      <patternFill patternType="solid">
        <fgColor rgb="FF002060"/>
        <bgColor indexed="64"/>
      </patternFill>
    </fill>
    <fill>
      <patternFill patternType="solid">
        <fgColor theme="1"/>
        <bgColor indexed="64"/>
      </patternFill>
    </fill>
    <fill>
      <patternFill patternType="solid">
        <fgColor theme="9" tint="-0.499984740745262"/>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2" tint="-0.499984740745262"/>
        <bgColor indexed="64"/>
      </patternFill>
    </fill>
    <fill>
      <patternFill patternType="solid">
        <fgColor rgb="FF00B050"/>
        <bgColor indexed="64"/>
      </patternFill>
    </fill>
    <fill>
      <patternFill patternType="solid">
        <fgColor theme="2" tint="-0.89999084444715716"/>
        <bgColor indexed="64"/>
      </patternFill>
    </fill>
    <fill>
      <patternFill patternType="solid">
        <fgColor rgb="FF0070C0"/>
        <bgColor indexed="64"/>
      </patternFill>
    </fill>
    <fill>
      <patternFill patternType="solid">
        <fgColor theme="5" tint="-0.499984740745262"/>
        <bgColor indexed="64"/>
      </patternFill>
    </fill>
    <fill>
      <patternFill patternType="solid">
        <fgColor theme="1" tint="4.9989318521683403E-2"/>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theme="0"/>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indexed="64"/>
      </right>
      <top/>
      <bottom/>
      <diagonal/>
    </border>
    <border>
      <left style="thin">
        <color theme="0"/>
      </left>
      <right style="thin">
        <color theme="0"/>
      </right>
      <top/>
      <bottom/>
      <diagonal/>
    </border>
    <border>
      <left/>
      <right style="medium">
        <color indexed="64"/>
      </right>
      <top/>
      <bottom/>
      <diagonal/>
    </border>
    <border>
      <left style="thin">
        <color auto="1"/>
      </left>
      <right style="double">
        <color auto="1"/>
      </right>
      <top style="thin">
        <color auto="1"/>
      </top>
      <bottom style="thin">
        <color auto="1"/>
      </bottom>
      <diagonal/>
    </border>
  </borders>
  <cellStyleXfs count="12">
    <xf numFmtId="0" fontId="0"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7" fillId="0" borderId="0"/>
    <xf numFmtId="0" fontId="61" fillId="0" borderId="0" applyNumberFormat="0" applyFill="0" applyBorder="0" applyAlignment="0" applyProtection="0">
      <alignment vertical="top"/>
      <protection locked="0"/>
    </xf>
    <xf numFmtId="0" fontId="1" fillId="0" borderId="0"/>
  </cellStyleXfs>
  <cellXfs count="708">
    <xf numFmtId="0" fontId="0" fillId="0" borderId="0" xfId="0"/>
    <xf numFmtId="0" fontId="5" fillId="0" borderId="1" xfId="0" applyFont="1" applyBorder="1" applyAlignment="1" applyProtection="1">
      <alignment horizontal="center" vertical="center"/>
    </xf>
    <xf numFmtId="0" fontId="12" fillId="0" borderId="0" xfId="0" applyFont="1" applyAlignment="1" applyProtection="1">
      <alignment horizontal="centerContinuous" vertical="center"/>
      <protection hidden="1"/>
    </xf>
    <xf numFmtId="0" fontId="13" fillId="0" borderId="0" xfId="0" applyFont="1" applyAlignment="1" applyProtection="1">
      <alignment horizontal="centerContinuous" vertical="center"/>
      <protection hidden="1"/>
    </xf>
    <xf numFmtId="0" fontId="9" fillId="0" borderId="0" xfId="0" applyFont="1" applyAlignment="1" applyProtection="1">
      <alignment horizontal="center" vertical="center"/>
      <protection hidden="1"/>
    </xf>
    <xf numFmtId="0" fontId="9" fillId="0" borderId="0" xfId="0" applyFont="1" applyAlignment="1" applyProtection="1">
      <alignment vertical="center"/>
      <protection hidden="1"/>
    </xf>
    <xf numFmtId="0" fontId="9" fillId="0" borderId="0" xfId="0" applyFont="1" applyAlignment="1" applyProtection="1">
      <alignment horizontal="right" vertical="center"/>
      <protection hidden="1"/>
    </xf>
    <xf numFmtId="0" fontId="9" fillId="0" borderId="0" xfId="0" applyFont="1" applyAlignment="1" applyProtection="1">
      <alignment horizontal="centerContinuous" vertical="center"/>
      <protection hidden="1"/>
    </xf>
    <xf numFmtId="0" fontId="14" fillId="5" borderId="1" xfId="0" applyFont="1" applyFill="1" applyBorder="1" applyAlignment="1" applyProtection="1">
      <alignment horizontal="center" vertical="center"/>
      <protection hidden="1"/>
    </xf>
    <xf numFmtId="0" fontId="15" fillId="9" borderId="1" xfId="0" applyFont="1" applyFill="1" applyBorder="1" applyAlignment="1" applyProtection="1">
      <alignment horizontal="center" vertical="center"/>
      <protection hidden="1"/>
    </xf>
    <xf numFmtId="0" fontId="15" fillId="9" borderId="1" xfId="0" applyFont="1" applyFill="1" applyBorder="1" applyAlignment="1" applyProtection="1">
      <alignment vertical="center"/>
      <protection hidden="1"/>
    </xf>
    <xf numFmtId="0" fontId="15" fillId="3" borderId="1" xfId="0" applyFont="1" applyFill="1" applyBorder="1" applyAlignment="1" applyProtection="1">
      <alignment horizontal="center" vertical="center"/>
      <protection hidden="1"/>
    </xf>
    <xf numFmtId="0" fontId="15" fillId="3" borderId="1" xfId="0" applyFont="1" applyFill="1" applyBorder="1" applyAlignment="1" applyProtection="1">
      <alignment horizontal="left" vertical="center" indent="1"/>
      <protection hidden="1"/>
    </xf>
    <xf numFmtId="0" fontId="15" fillId="3" borderId="1" xfId="0" applyFont="1" applyFill="1" applyBorder="1" applyAlignment="1" applyProtection="1">
      <alignment horizontal="left" vertical="center" wrapText="1" indent="1"/>
      <protection hidden="1"/>
    </xf>
    <xf numFmtId="0" fontId="15" fillId="9" borderId="1" xfId="0" applyFont="1" applyFill="1" applyBorder="1" applyAlignment="1" applyProtection="1">
      <alignment horizontal="left" vertical="center" indent="1"/>
      <protection hidden="1"/>
    </xf>
    <xf numFmtId="0" fontId="15" fillId="10" borderId="1" xfId="0" applyFont="1" applyFill="1" applyBorder="1" applyAlignment="1" applyProtection="1">
      <alignment horizontal="center" vertical="center"/>
      <protection hidden="1"/>
    </xf>
    <xf numFmtId="0" fontId="15" fillId="10" borderId="1" xfId="0" applyFont="1" applyFill="1" applyBorder="1" applyAlignment="1" applyProtection="1">
      <alignment horizontal="left" vertical="center" indent="1"/>
      <protection hidden="1"/>
    </xf>
    <xf numFmtId="0" fontId="16" fillId="0" borderId="1" xfId="0" applyFont="1" applyBorder="1" applyAlignment="1" applyProtection="1">
      <alignment horizontal="center" vertical="center"/>
      <protection hidden="1"/>
    </xf>
    <xf numFmtId="0" fontId="17" fillId="0" borderId="0" xfId="0" applyFont="1" applyAlignment="1" applyProtection="1">
      <alignment vertical="center"/>
      <protection hidden="1"/>
    </xf>
    <xf numFmtId="0" fontId="12" fillId="0" borderId="0" xfId="0" applyFont="1" applyAlignment="1" applyProtection="1">
      <alignment horizontal="centerContinuous"/>
      <protection hidden="1"/>
    </xf>
    <xf numFmtId="0" fontId="18" fillId="0" borderId="0" xfId="0" applyFont="1" applyAlignment="1" applyProtection="1">
      <alignment horizontal="centerContinuous" vertical="center"/>
      <protection hidden="1"/>
    </xf>
    <xf numFmtId="0" fontId="17" fillId="0" borderId="0" xfId="0" applyFont="1" applyAlignment="1" applyProtection="1">
      <alignment horizontal="center" vertical="center"/>
      <protection hidden="1"/>
    </xf>
    <xf numFmtId="0" fontId="17" fillId="0" borderId="0" xfId="0" applyFont="1" applyBorder="1" applyAlignment="1" applyProtection="1">
      <alignment horizontal="center" vertical="center" wrapText="1"/>
      <protection hidden="1"/>
    </xf>
    <xf numFmtId="0" fontId="17" fillId="0" borderId="0" xfId="0" applyFont="1" applyBorder="1" applyAlignment="1" applyProtection="1">
      <alignment vertical="center" wrapText="1"/>
      <protection hidden="1"/>
    </xf>
    <xf numFmtId="0" fontId="20" fillId="0" borderId="0" xfId="0" applyFont="1" applyAlignment="1" applyProtection="1">
      <alignment vertical="center"/>
      <protection hidden="1"/>
    </xf>
    <xf numFmtId="0" fontId="17" fillId="0" borderId="0" xfId="0" applyFont="1" applyAlignment="1" applyProtection="1">
      <alignment horizontal="center"/>
      <protection hidden="1"/>
    </xf>
    <xf numFmtId="0" fontId="17" fillId="0" borderId="0" xfId="0" quotePrefix="1" applyFont="1" applyAlignment="1" applyProtection="1">
      <alignment horizontal="left"/>
      <protection hidden="1"/>
    </xf>
    <xf numFmtId="0" fontId="17" fillId="0" borderId="0" xfId="0" quotePrefix="1" applyFont="1" applyAlignment="1" applyProtection="1">
      <alignment vertical="center"/>
      <protection hidden="1"/>
    </xf>
    <xf numFmtId="0" fontId="21" fillId="0" borderId="0" xfId="9" applyFont="1" applyFill="1" applyBorder="1" applyAlignment="1" applyProtection="1">
      <alignment horizontal="centerContinuous" vertical="top"/>
      <protection hidden="1"/>
    </xf>
    <xf numFmtId="0" fontId="22" fillId="0" borderId="0" xfId="9" applyFont="1" applyFill="1" applyBorder="1" applyAlignment="1" applyProtection="1">
      <alignment horizontal="centerContinuous" vertical="center"/>
      <protection hidden="1"/>
    </xf>
    <xf numFmtId="0" fontId="23" fillId="0" borderId="14" xfId="9" applyFont="1" applyFill="1" applyBorder="1" applyAlignment="1" applyProtection="1">
      <alignment horizontal="center" vertical="center"/>
      <protection hidden="1"/>
    </xf>
    <xf numFmtId="0" fontId="23" fillId="0" borderId="14" xfId="9" applyFont="1" applyFill="1" applyBorder="1" applyAlignment="1" applyProtection="1">
      <alignment horizontal="center" vertical="center" readingOrder="1"/>
      <protection hidden="1"/>
    </xf>
    <xf numFmtId="0" fontId="23" fillId="0" borderId="1" xfId="9" applyNumberFormat="1" applyFont="1" applyBorder="1" applyAlignment="1" applyProtection="1">
      <alignment horizontal="center" vertical="center"/>
      <protection hidden="1"/>
    </xf>
    <xf numFmtId="0" fontId="23" fillId="0" borderId="1" xfId="9" applyNumberFormat="1" applyFont="1" applyBorder="1" applyAlignment="1" applyProtection="1">
      <alignment horizontal="left" vertical="center"/>
      <protection hidden="1"/>
    </xf>
    <xf numFmtId="0" fontId="23" fillId="0" borderId="1" xfId="9" applyFont="1" applyBorder="1" applyAlignment="1" applyProtection="1">
      <alignment horizontal="center" vertical="center"/>
      <protection locked="0"/>
    </xf>
    <xf numFmtId="0" fontId="23" fillId="7" borderId="1" xfId="9" applyNumberFormat="1" applyFont="1" applyFill="1" applyBorder="1" applyAlignment="1" applyProtection="1">
      <alignment horizontal="center" vertical="center"/>
      <protection hidden="1"/>
    </xf>
    <xf numFmtId="0" fontId="23" fillId="7" borderId="1" xfId="9" applyNumberFormat="1" applyFont="1" applyFill="1" applyBorder="1" applyAlignment="1" applyProtection="1">
      <alignment horizontal="left" vertical="center"/>
      <protection hidden="1"/>
    </xf>
    <xf numFmtId="0" fontId="23" fillId="7" borderId="1" xfId="9" applyFont="1" applyFill="1" applyBorder="1" applyAlignment="1" applyProtection="1">
      <alignment horizontal="center" vertical="center"/>
      <protection hidden="1"/>
    </xf>
    <xf numFmtId="0" fontId="23" fillId="0" borderId="4" xfId="9" applyNumberFormat="1" applyFont="1" applyBorder="1" applyAlignment="1" applyProtection="1">
      <alignment horizontal="center" vertical="center"/>
      <protection hidden="1"/>
    </xf>
    <xf numFmtId="0" fontId="23" fillId="0" borderId="4" xfId="9" applyNumberFormat="1" applyFont="1" applyBorder="1" applyAlignment="1" applyProtection="1">
      <alignment horizontal="left" vertical="center"/>
      <protection hidden="1"/>
    </xf>
    <xf numFmtId="0" fontId="23" fillId="0" borderId="4" xfId="9" applyFont="1" applyBorder="1" applyAlignment="1" applyProtection="1">
      <alignment horizontal="center" vertical="center"/>
      <protection locked="0"/>
    </xf>
    <xf numFmtId="0" fontId="0" fillId="0" borderId="0" xfId="0" applyAlignment="1" applyProtection="1">
      <alignment horizontal="center"/>
    </xf>
    <xf numFmtId="0" fontId="0" fillId="0" borderId="0" xfId="0" applyProtection="1"/>
    <xf numFmtId="0" fontId="6" fillId="0" borderId="0" xfId="0" applyFont="1" applyFill="1" applyBorder="1" applyAlignment="1" applyProtection="1"/>
    <xf numFmtId="0" fontId="0" fillId="0" borderId="0" xfId="0" applyBorder="1" applyAlignment="1" applyProtection="1">
      <alignment horizontal="left"/>
    </xf>
    <xf numFmtId="0" fontId="0" fillId="0" borderId="0" xfId="0" applyFont="1" applyAlignment="1" applyProtection="1">
      <alignment horizontal="right"/>
    </xf>
    <xf numFmtId="2" fontId="5" fillId="8" borderId="1" xfId="0" applyNumberFormat="1" applyFont="1" applyFill="1" applyBorder="1" applyAlignment="1" applyProtection="1">
      <alignment horizontal="center"/>
    </xf>
    <xf numFmtId="0" fontId="0" fillId="0" borderId="0" xfId="0" applyBorder="1" applyAlignment="1" applyProtection="1">
      <alignment horizontal="center"/>
    </xf>
    <xf numFmtId="0" fontId="0" fillId="0" borderId="0" xfId="0" applyAlignment="1" applyProtection="1">
      <alignment horizontal="right"/>
    </xf>
    <xf numFmtId="0" fontId="5" fillId="0" borderId="0" xfId="0" applyFont="1" applyFill="1" applyAlignment="1" applyProtection="1">
      <alignment horizontal="left"/>
    </xf>
    <xf numFmtId="0" fontId="0" fillId="0" borderId="0" xfId="0" applyFill="1" applyAlignment="1" applyProtection="1">
      <alignment horizontal="center"/>
    </xf>
    <xf numFmtId="0" fontId="5" fillId="0" borderId="0" xfId="0" applyFont="1" applyFill="1" applyAlignment="1" applyProtection="1">
      <alignment horizontal="center"/>
    </xf>
    <xf numFmtId="0" fontId="0" fillId="0" borderId="0" xfId="0" applyAlignment="1" applyProtection="1">
      <alignment horizontal="right" vertical="center"/>
    </xf>
    <xf numFmtId="0" fontId="0" fillId="0" borderId="0" xfId="0" applyFill="1" applyBorder="1" applyAlignment="1" applyProtection="1">
      <alignment horizontal="center"/>
    </xf>
    <xf numFmtId="0" fontId="5" fillId="0" borderId="0" xfId="0" applyFont="1" applyFill="1" applyBorder="1" applyAlignment="1" applyProtection="1">
      <alignment horizontal="center"/>
    </xf>
    <xf numFmtId="0" fontId="0" fillId="0" borderId="0" xfId="0" applyAlignment="1" applyProtection="1">
      <alignment horizontal="left"/>
    </xf>
    <xf numFmtId="0" fontId="5" fillId="0" borderId="2" xfId="0" applyFont="1" applyBorder="1" applyAlignment="1" applyProtection="1">
      <alignment horizontal="right" vertical="center"/>
    </xf>
    <xf numFmtId="0" fontId="5" fillId="0" borderId="0" xfId="0" applyFont="1" applyProtection="1"/>
    <xf numFmtId="0" fontId="5" fillId="0" borderId="1" xfId="0" applyFont="1" applyFill="1" applyBorder="1" applyAlignment="1" applyProtection="1">
      <alignment horizontal="center" wrapText="1"/>
      <protection locked="0"/>
    </xf>
    <xf numFmtId="0" fontId="5" fillId="20" borderId="4" xfId="0" applyFont="1" applyFill="1" applyBorder="1" applyAlignment="1" applyProtection="1">
      <alignment horizontal="center" wrapText="1"/>
    </xf>
    <xf numFmtId="0" fontId="6" fillId="20" borderId="4" xfId="0" applyFont="1" applyFill="1" applyBorder="1" applyAlignment="1" applyProtection="1">
      <alignment horizontal="center" vertical="center"/>
    </xf>
    <xf numFmtId="0" fontId="5" fillId="20" borderId="1" xfId="0" applyFont="1" applyFill="1" applyBorder="1" applyAlignment="1" applyProtection="1">
      <alignment horizontal="center" textRotation="90" wrapText="1"/>
    </xf>
    <xf numFmtId="0" fontId="5" fillId="20" borderId="4" xfId="0" applyFont="1" applyFill="1" applyBorder="1" applyAlignment="1" applyProtection="1">
      <alignment horizontal="center" textRotation="90" wrapText="1"/>
    </xf>
    <xf numFmtId="0" fontId="5" fillId="20" borderId="1" xfId="0" quotePrefix="1" applyFont="1" applyFill="1" applyBorder="1" applyAlignment="1" applyProtection="1">
      <alignment horizontal="center" textRotation="90" wrapText="1"/>
    </xf>
    <xf numFmtId="0" fontId="33" fillId="0" borderId="1" xfId="0" applyFont="1" applyBorder="1" applyAlignment="1" applyProtection="1">
      <alignment horizontal="center"/>
    </xf>
    <xf numFmtId="1" fontId="33" fillId="0" borderId="1" xfId="0" applyNumberFormat="1" applyFont="1" applyFill="1" applyBorder="1" applyAlignment="1" applyProtection="1">
      <alignment horizontal="center" vertical="center"/>
      <protection locked="0"/>
    </xf>
    <xf numFmtId="1" fontId="33" fillId="0" borderId="1" xfId="0" quotePrefix="1" applyNumberFormat="1" applyFont="1" applyFill="1" applyBorder="1" applyAlignment="1" applyProtection="1">
      <alignment horizontal="center" vertical="center"/>
      <protection locked="0"/>
    </xf>
    <xf numFmtId="0" fontId="34" fillId="20" borderId="4" xfId="0" applyFont="1" applyFill="1" applyBorder="1" applyAlignment="1" applyProtection="1">
      <alignment horizontal="center" wrapText="1"/>
    </xf>
    <xf numFmtId="2" fontId="34" fillId="20" borderId="1" xfId="0" applyNumberFormat="1" applyFont="1" applyFill="1" applyBorder="1" applyAlignment="1" applyProtection="1">
      <alignment horizontal="center" vertical="center"/>
    </xf>
    <xf numFmtId="1" fontId="34" fillId="20" borderId="1" xfId="0" applyNumberFormat="1" applyFont="1" applyFill="1" applyBorder="1" applyAlignment="1" applyProtection="1">
      <alignment horizontal="center"/>
    </xf>
    <xf numFmtId="0" fontId="33" fillId="20" borderId="1" xfId="0" applyFont="1" applyFill="1" applyBorder="1" applyAlignment="1" applyProtection="1">
      <alignment horizontal="center"/>
    </xf>
    <xf numFmtId="0" fontId="33" fillId="0" borderId="0" xfId="0" applyFont="1" applyProtection="1"/>
    <xf numFmtId="0" fontId="0" fillId="0" borderId="1" xfId="0" applyBorder="1" applyAlignment="1" applyProtection="1">
      <alignment horizontal="center"/>
    </xf>
    <xf numFmtId="2" fontId="35" fillId="8" borderId="1" xfId="0" applyNumberFormat="1" applyFont="1" applyFill="1" applyBorder="1" applyAlignment="1" applyProtection="1">
      <alignment horizontal="center" vertical="center"/>
    </xf>
    <xf numFmtId="164" fontId="0" fillId="20" borderId="1" xfId="0" applyNumberFormat="1" applyFill="1" applyBorder="1" applyAlignment="1" applyProtection="1">
      <alignment horizontal="center"/>
    </xf>
    <xf numFmtId="0" fontId="5" fillId="0" borderId="0" xfId="0" applyFont="1" applyAlignment="1" applyProtection="1">
      <alignment horizontal="center"/>
    </xf>
    <xf numFmtId="0" fontId="33" fillId="0" borderId="1" xfId="0" applyFont="1" applyBorder="1" applyAlignment="1" applyProtection="1">
      <alignment horizontal="left" vertical="center"/>
    </xf>
    <xf numFmtId="0" fontId="5" fillId="18" borderId="8" xfId="0" applyFont="1" applyFill="1" applyBorder="1" applyAlignment="1" applyProtection="1"/>
    <xf numFmtId="0" fontId="33" fillId="20" borderId="0" xfId="0" applyFont="1" applyFill="1" applyBorder="1" applyAlignment="1" applyProtection="1">
      <alignment vertical="center" wrapText="1"/>
      <protection locked="0"/>
    </xf>
    <xf numFmtId="0" fontId="33" fillId="20" borderId="16" xfId="0" applyFont="1" applyFill="1" applyBorder="1" applyAlignment="1" applyProtection="1">
      <alignment vertical="center" wrapText="1"/>
      <protection locked="0"/>
    </xf>
    <xf numFmtId="0" fontId="33" fillId="21" borderId="0" xfId="0" applyFont="1" applyFill="1" applyBorder="1" applyAlignment="1" applyProtection="1">
      <alignment vertical="center" wrapText="1"/>
      <protection locked="0"/>
    </xf>
    <xf numFmtId="0" fontId="33" fillId="21" borderId="16" xfId="0" applyFont="1" applyFill="1" applyBorder="1" applyAlignment="1" applyProtection="1">
      <alignment vertical="center" wrapText="1"/>
      <protection locked="0"/>
    </xf>
    <xf numFmtId="0" fontId="33" fillId="21" borderId="13" xfId="0" applyFont="1" applyFill="1" applyBorder="1" applyAlignment="1" applyProtection="1">
      <alignment vertical="center" wrapText="1"/>
      <protection locked="0"/>
    </xf>
    <xf numFmtId="0" fontId="33" fillId="21" borderId="9" xfId="0" applyFont="1" applyFill="1" applyBorder="1" applyAlignment="1" applyProtection="1">
      <alignment vertical="center" wrapText="1"/>
      <protection locked="0"/>
    </xf>
    <xf numFmtId="0" fontId="41" fillId="0" borderId="0" xfId="0" applyFont="1" applyAlignment="1" applyProtection="1">
      <alignment vertical="center"/>
      <protection locked="0"/>
    </xf>
    <xf numFmtId="0" fontId="0" fillId="0" borderId="0" xfId="0" applyProtection="1">
      <protection locked="0"/>
    </xf>
    <xf numFmtId="0" fontId="44" fillId="0" borderId="0" xfId="0" applyFont="1" applyProtection="1">
      <protection locked="0"/>
    </xf>
    <xf numFmtId="0" fontId="45" fillId="0" borderId="0" xfId="0" applyFont="1" applyProtection="1">
      <protection locked="0"/>
    </xf>
    <xf numFmtId="0" fontId="51" fillId="0" borderId="1" xfId="0" applyFont="1" applyBorder="1" applyAlignment="1" applyProtection="1">
      <alignment horizontal="center" vertical="center"/>
      <protection locked="0"/>
    </xf>
    <xf numFmtId="0" fontId="54" fillId="0" borderId="0" xfId="0" applyFont="1" applyProtection="1">
      <protection locked="0"/>
    </xf>
    <xf numFmtId="0" fontId="0" fillId="0" borderId="1" xfId="0" applyBorder="1" applyProtection="1"/>
    <xf numFmtId="0" fontId="0" fillId="0" borderId="1" xfId="0" applyBorder="1" applyProtection="1">
      <protection locked="0"/>
    </xf>
    <xf numFmtId="0" fontId="42" fillId="0" borderId="0" xfId="0" applyFont="1" applyBorder="1" applyAlignment="1" applyProtection="1">
      <alignment vertical="center"/>
      <protection locked="0"/>
    </xf>
    <xf numFmtId="0" fontId="4" fillId="4" borderId="1" xfId="0" applyFont="1" applyFill="1" applyBorder="1" applyAlignment="1" applyProtection="1">
      <alignment horizontal="center" vertical="center" wrapText="1"/>
      <protection locked="0"/>
    </xf>
    <xf numFmtId="2" fontId="4" fillId="6" borderId="1" xfId="0" applyNumberFormat="1" applyFont="1" applyFill="1" applyBorder="1" applyAlignment="1" applyProtection="1">
      <alignment horizontal="center" vertical="center"/>
      <protection locked="0"/>
    </xf>
    <xf numFmtId="0" fontId="0" fillId="0" borderId="0" xfId="0" applyFont="1" applyFill="1" applyAlignment="1" applyProtection="1">
      <alignment vertical="center"/>
      <protection locked="0"/>
    </xf>
    <xf numFmtId="0" fontId="4" fillId="0" borderId="1" xfId="0" applyFont="1" applyFill="1" applyBorder="1" applyAlignment="1" applyProtection="1">
      <alignment vertical="center" textRotation="90" wrapText="1"/>
      <protection locked="0"/>
    </xf>
    <xf numFmtId="0" fontId="4" fillId="0" borderId="1" xfId="0" applyFont="1" applyFill="1" applyBorder="1" applyAlignment="1" applyProtection="1">
      <alignment vertical="center" textRotation="90"/>
      <protection locked="0"/>
    </xf>
    <xf numFmtId="0" fontId="0" fillId="0" borderId="0" xfId="0" applyFont="1" applyFill="1" applyAlignment="1" applyProtection="1">
      <alignment vertical="center" textRotation="90"/>
      <protection locked="0"/>
    </xf>
    <xf numFmtId="0" fontId="4" fillId="5" borderId="1" xfId="0" applyFont="1" applyFill="1" applyBorder="1" applyAlignment="1" applyProtection="1">
      <alignment horizontal="center" vertical="center"/>
      <protection locked="0"/>
    </xf>
    <xf numFmtId="1" fontId="4" fillId="5" borderId="1" xfId="0" applyNumberFormat="1" applyFont="1" applyFill="1" applyBorder="1" applyAlignment="1" applyProtection="1">
      <alignment horizontal="center" vertical="center"/>
      <protection locked="0"/>
    </xf>
    <xf numFmtId="0" fontId="0" fillId="0" borderId="1" xfId="0" applyFont="1" applyFill="1" applyBorder="1" applyAlignment="1" applyProtection="1">
      <alignment vertical="center"/>
      <protection locked="0"/>
    </xf>
    <xf numFmtId="2" fontId="0" fillId="0" borderId="0" xfId="0" applyNumberFormat="1" applyFont="1" applyFill="1" applyAlignment="1" applyProtection="1">
      <alignment horizontal="center" vertical="center"/>
      <protection locked="0"/>
    </xf>
    <xf numFmtId="0" fontId="0" fillId="0" borderId="0" xfId="0" applyFont="1" applyFill="1" applyAlignment="1" applyProtection="1">
      <alignment horizontal="center" vertical="center"/>
      <protection locked="0"/>
    </xf>
    <xf numFmtId="2" fontId="4" fillId="6" borderId="1" xfId="0" applyNumberFormat="1" applyFont="1" applyFill="1" applyBorder="1" applyAlignment="1" applyProtection="1">
      <alignment horizontal="center" vertical="center"/>
    </xf>
    <xf numFmtId="0" fontId="0" fillId="0" borderId="1" xfId="0" applyFont="1" applyFill="1" applyBorder="1" applyAlignment="1" applyProtection="1">
      <alignment vertical="center"/>
    </xf>
    <xf numFmtId="2" fontId="0" fillId="0" borderId="1" xfId="0" applyNumberFormat="1" applyFont="1" applyFill="1" applyBorder="1" applyAlignment="1" applyProtection="1">
      <alignment horizontal="center" vertical="center"/>
    </xf>
    <xf numFmtId="0" fontId="0" fillId="0" borderId="1" xfId="0" applyFont="1" applyFill="1" applyBorder="1" applyAlignment="1" applyProtection="1">
      <alignment horizontal="center" vertical="center"/>
    </xf>
    <xf numFmtId="2" fontId="0" fillId="0" borderId="1" xfId="0" applyNumberFormat="1" applyFont="1" applyFill="1" applyBorder="1" applyAlignment="1" applyProtection="1">
      <alignment horizontal="left" vertical="center"/>
    </xf>
    <xf numFmtId="2" fontId="0" fillId="0" borderId="1" xfId="0" applyNumberFormat="1" applyFont="1" applyFill="1" applyBorder="1" applyAlignment="1" applyProtection="1">
      <alignment vertical="center"/>
    </xf>
    <xf numFmtId="0" fontId="50" fillId="8" borderId="1" xfId="0" applyFont="1" applyFill="1" applyBorder="1" applyAlignment="1" applyProtection="1">
      <alignment horizontal="center" vertical="center"/>
      <protection locked="0"/>
    </xf>
    <xf numFmtId="0" fontId="51" fillId="13" borderId="1" xfId="0"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textRotation="90" wrapText="1"/>
      <protection locked="0"/>
    </xf>
    <xf numFmtId="0" fontId="4" fillId="0" borderId="1" xfId="0" applyFont="1" applyFill="1" applyBorder="1" applyAlignment="1" applyProtection="1">
      <alignment horizontal="center" vertical="center" textRotation="90"/>
      <protection locked="0"/>
    </xf>
    <xf numFmtId="0" fontId="4" fillId="13" borderId="1" xfId="0" applyFont="1" applyFill="1" applyBorder="1" applyAlignment="1" applyProtection="1">
      <alignment horizontal="center" vertical="center"/>
      <protection locked="0"/>
    </xf>
    <xf numFmtId="2" fontId="4" fillId="6" borderId="1" xfId="0" applyNumberFormat="1" applyFont="1" applyFill="1" applyBorder="1" applyAlignment="1" applyProtection="1">
      <alignment horizontal="center" vertical="center" textRotation="90"/>
      <protection locked="0"/>
    </xf>
    <xf numFmtId="0" fontId="0" fillId="0" borderId="1" xfId="0" applyFont="1" applyFill="1" applyBorder="1" applyAlignment="1" applyProtection="1">
      <alignment horizontal="left" vertical="center"/>
    </xf>
    <xf numFmtId="0" fontId="4" fillId="0" borderId="4" xfId="0" applyFont="1" applyFill="1" applyBorder="1" applyAlignment="1" applyProtection="1">
      <alignment vertical="center" textRotation="90" wrapText="1"/>
      <protection locked="0"/>
    </xf>
    <xf numFmtId="0" fontId="0" fillId="3" borderId="1" xfId="0" applyFont="1" applyFill="1" applyBorder="1" applyAlignment="1" applyProtection="1">
      <alignment horizontal="center" vertical="center"/>
    </xf>
    <xf numFmtId="0" fontId="0" fillId="0" borderId="1" xfId="0" applyBorder="1"/>
    <xf numFmtId="0" fontId="0" fillId="0" borderId="4" xfId="0" applyBorder="1"/>
    <xf numFmtId="0" fontId="52" fillId="0" borderId="1" xfId="0" applyFont="1" applyBorder="1" applyAlignment="1" applyProtection="1">
      <alignment horizontal="center" vertical="center"/>
    </xf>
    <xf numFmtId="0" fontId="53" fillId="0" borderId="4" xfId="0" applyNumberFormat="1" applyFont="1" applyFill="1" applyBorder="1" applyAlignment="1" applyProtection="1">
      <alignment horizontal="left" vertical="top"/>
    </xf>
    <xf numFmtId="2" fontId="0" fillId="0" borderId="1" xfId="0" applyNumberFormat="1" applyFill="1" applyBorder="1" applyAlignment="1" applyProtection="1">
      <alignment horizontal="right" vertical="center"/>
    </xf>
    <xf numFmtId="164" fontId="0" fillId="0" borderId="1" xfId="0" applyNumberFormat="1" applyFill="1" applyBorder="1" applyAlignment="1" applyProtection="1">
      <alignment horizontal="center"/>
    </xf>
    <xf numFmtId="0" fontId="0" fillId="0" borderId="0" xfId="0" applyFill="1" applyProtection="1">
      <protection locked="0"/>
    </xf>
    <xf numFmtId="0" fontId="26" fillId="0" borderId="1" xfId="9" applyFont="1" applyFill="1" applyBorder="1" applyAlignment="1" applyProtection="1">
      <alignment horizontal="center" textRotation="45" readingOrder="1"/>
      <protection hidden="1"/>
    </xf>
    <xf numFmtId="0" fontId="23" fillId="0" borderId="1" xfId="9" applyFont="1" applyBorder="1" applyAlignment="1" applyProtection="1">
      <alignment vertical="center"/>
      <protection hidden="1"/>
    </xf>
    <xf numFmtId="0" fontId="23" fillId="0" borderId="1" xfId="9" applyFont="1" applyBorder="1" applyAlignment="1" applyProtection="1">
      <alignment horizontal="center" vertical="center"/>
      <protection hidden="1"/>
    </xf>
    <xf numFmtId="0" fontId="0" fillId="0" borderId="1" xfId="0" applyFont="1" applyFill="1" applyBorder="1" applyAlignment="1" applyProtection="1">
      <alignment horizontal="center" vertical="center"/>
      <protection locked="0"/>
    </xf>
    <xf numFmtId="0" fontId="23" fillId="0" borderId="0" xfId="9" applyFont="1" applyBorder="1" applyAlignment="1" applyProtection="1">
      <alignment horizontal="center" vertical="center"/>
      <protection locked="0"/>
    </xf>
    <xf numFmtId="0" fontId="0" fillId="13" borderId="1" xfId="0" applyFont="1" applyFill="1" applyBorder="1" applyAlignment="1" applyProtection="1">
      <alignment horizontal="left" vertical="center"/>
    </xf>
    <xf numFmtId="0" fontId="0" fillId="0" borderId="0" xfId="0" applyAlignment="1" applyProtection="1">
      <alignment horizontal="center"/>
      <protection locked="0"/>
    </xf>
    <xf numFmtId="0" fontId="0" fillId="0" borderId="0" xfId="0" applyFont="1" applyAlignment="1" applyProtection="1">
      <alignment horizontal="right"/>
      <protection locked="0"/>
    </xf>
    <xf numFmtId="0" fontId="5" fillId="0" borderId="0" xfId="0" applyFont="1" applyFill="1" applyBorder="1" applyAlignment="1" applyProtection="1">
      <alignment horizontal="left"/>
      <protection locked="0"/>
    </xf>
    <xf numFmtId="0" fontId="0" fillId="0" borderId="0" xfId="0" applyBorder="1" applyAlignment="1" applyProtection="1">
      <alignment horizontal="center"/>
      <protection locked="0"/>
    </xf>
    <xf numFmtId="0" fontId="5" fillId="0" borderId="0" xfId="0" applyFont="1" applyFill="1" applyAlignment="1" applyProtection="1">
      <alignment horizontal="left"/>
      <protection locked="0"/>
    </xf>
    <xf numFmtId="0" fontId="0" fillId="0" borderId="0" xfId="0" applyFill="1" applyAlignment="1" applyProtection="1">
      <alignment horizontal="center"/>
      <protection locked="0"/>
    </xf>
    <xf numFmtId="0" fontId="5" fillId="0" borderId="0" xfId="0" applyFont="1" applyFill="1" applyAlignment="1" applyProtection="1">
      <alignment horizontal="center"/>
      <protection locked="0"/>
    </xf>
    <xf numFmtId="0" fontId="5" fillId="18" borderId="15" xfId="0" applyFont="1" applyFill="1" applyBorder="1" applyAlignment="1" applyProtection="1">
      <protection locked="0"/>
    </xf>
    <xf numFmtId="0" fontId="5" fillId="18" borderId="8" xfId="0" applyFont="1" applyFill="1" applyBorder="1" applyAlignment="1" applyProtection="1">
      <protection locked="0"/>
    </xf>
    <xf numFmtId="0" fontId="0" fillId="0" borderId="0" xfId="0" applyAlignment="1" applyProtection="1">
      <alignment horizontal="right" vertical="center"/>
      <protection locked="0"/>
    </xf>
    <xf numFmtId="0" fontId="0" fillId="19" borderId="0" xfId="0" applyFill="1" applyBorder="1" applyAlignment="1" applyProtection="1">
      <alignment horizontal="right" vertical="center"/>
      <protection locked="0"/>
    </xf>
    <xf numFmtId="0" fontId="0" fillId="19" borderId="13" xfId="0" applyFill="1" applyBorder="1" applyAlignment="1" applyProtection="1">
      <alignment horizontal="right" vertical="center"/>
      <protection locked="0"/>
    </xf>
    <xf numFmtId="0" fontId="0" fillId="0" borderId="0" xfId="0"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5" fillId="0" borderId="2" xfId="0" applyFont="1" applyBorder="1" applyAlignment="1" applyProtection="1">
      <alignment horizontal="right" vertical="center"/>
      <protection locked="0"/>
    </xf>
    <xf numFmtId="0" fontId="5" fillId="20" borderId="4" xfId="0" applyFont="1" applyFill="1" applyBorder="1" applyAlignment="1" applyProtection="1">
      <alignment horizontal="center" wrapText="1"/>
      <protection locked="0"/>
    </xf>
    <xf numFmtId="0" fontId="5" fillId="0" borderId="1" xfId="0" applyFont="1" applyBorder="1" applyAlignment="1" applyProtection="1">
      <alignment horizontal="center" vertical="center"/>
      <protection locked="0"/>
    </xf>
    <xf numFmtId="0" fontId="5" fillId="20" borderId="1" xfId="0" applyFont="1" applyFill="1" applyBorder="1" applyAlignment="1" applyProtection="1">
      <alignment horizontal="center" textRotation="90" wrapText="1"/>
      <protection locked="0"/>
    </xf>
    <xf numFmtId="0" fontId="5" fillId="20" borderId="4" xfId="0" applyFont="1" applyFill="1" applyBorder="1" applyAlignment="1" applyProtection="1">
      <alignment horizontal="center" textRotation="90" wrapText="1"/>
      <protection locked="0"/>
    </xf>
    <xf numFmtId="0" fontId="5" fillId="20" borderId="1" xfId="0" quotePrefix="1" applyFont="1" applyFill="1" applyBorder="1" applyAlignment="1" applyProtection="1">
      <alignment horizontal="center" textRotation="90" wrapText="1"/>
      <protection locked="0"/>
    </xf>
    <xf numFmtId="0" fontId="0" fillId="0" borderId="1" xfId="0" applyBorder="1" applyAlignment="1" applyProtection="1">
      <alignment horizontal="center"/>
      <protection locked="0"/>
    </xf>
    <xf numFmtId="0" fontId="0" fillId="0" borderId="0" xfId="0" applyAlignment="1" applyProtection="1">
      <alignment horizontal="left"/>
      <protection locked="0"/>
    </xf>
    <xf numFmtId="0" fontId="5" fillId="0" borderId="0" xfId="0" applyFont="1" applyAlignment="1" applyProtection="1">
      <alignment horizontal="center"/>
      <protection locked="0"/>
    </xf>
    <xf numFmtId="0" fontId="5" fillId="0" borderId="0" xfId="0" applyFont="1" applyBorder="1" applyAlignment="1" applyProtection="1">
      <alignment horizontal="center"/>
      <protection locked="0"/>
    </xf>
    <xf numFmtId="0" fontId="4" fillId="5" borderId="10" xfId="0" applyFont="1" applyFill="1" applyBorder="1" applyAlignment="1" applyProtection="1">
      <alignment horizontal="center" vertical="center"/>
      <protection locked="0"/>
    </xf>
    <xf numFmtId="0" fontId="21" fillId="0" borderId="0" xfId="9" applyFont="1" applyFill="1" applyBorder="1" applyAlignment="1" applyProtection="1">
      <alignment horizontal="centerContinuous" vertical="top"/>
      <protection locked="0"/>
    </xf>
    <xf numFmtId="0" fontId="22" fillId="0" borderId="0" xfId="9" applyFont="1" applyFill="1" applyBorder="1" applyAlignment="1" applyProtection="1">
      <alignment horizontal="centerContinuous" vertical="center"/>
      <protection locked="0"/>
    </xf>
    <xf numFmtId="0" fontId="19" fillId="0" borderId="13" xfId="9" applyFont="1" applyFill="1" applyBorder="1" applyAlignment="1" applyProtection="1">
      <alignment horizontal="center" textRotation="45" readingOrder="1"/>
      <protection locked="0"/>
    </xf>
    <xf numFmtId="0" fontId="23" fillId="0" borderId="0" xfId="9" applyFont="1" applyAlignment="1" applyProtection="1">
      <alignment vertical="center"/>
      <protection locked="0"/>
    </xf>
    <xf numFmtId="0" fontId="23" fillId="0" borderId="14" xfId="9" applyFont="1" applyFill="1" applyBorder="1" applyAlignment="1" applyProtection="1">
      <alignment horizontal="center" vertical="center"/>
      <protection locked="0"/>
    </xf>
    <xf numFmtId="0" fontId="23" fillId="0" borderId="14" xfId="9" applyFont="1" applyFill="1" applyBorder="1" applyAlignment="1" applyProtection="1">
      <alignment horizontal="center" vertical="center" readingOrder="1"/>
      <protection locked="0"/>
    </xf>
    <xf numFmtId="0" fontId="23" fillId="0" borderId="0" xfId="9" applyFont="1" applyFill="1" applyBorder="1" applyAlignment="1" applyProtection="1">
      <alignment horizontal="center" vertical="center" readingOrder="1"/>
      <protection locked="0"/>
    </xf>
    <xf numFmtId="0" fontId="23" fillId="0" borderId="1" xfId="9" applyNumberFormat="1" applyFont="1" applyBorder="1" applyAlignment="1" applyProtection="1">
      <alignment horizontal="center" vertical="center"/>
      <protection locked="0"/>
    </xf>
    <xf numFmtId="0" fontId="23" fillId="0" borderId="1" xfId="9" applyNumberFormat="1" applyFont="1" applyBorder="1" applyAlignment="1" applyProtection="1">
      <alignment horizontal="left" vertical="center"/>
      <protection locked="0"/>
    </xf>
    <xf numFmtId="0" fontId="23" fillId="7" borderId="1" xfId="9" applyNumberFormat="1" applyFont="1" applyFill="1" applyBorder="1" applyAlignment="1" applyProtection="1">
      <alignment horizontal="center" vertical="center"/>
      <protection locked="0"/>
    </xf>
    <xf numFmtId="0" fontId="23" fillId="7" borderId="1" xfId="9" applyNumberFormat="1" applyFont="1" applyFill="1" applyBorder="1" applyAlignment="1" applyProtection="1">
      <alignment horizontal="left" vertical="center"/>
      <protection locked="0"/>
    </xf>
    <xf numFmtId="0" fontId="23" fillId="7" borderId="0" xfId="9" applyFont="1" applyFill="1" applyBorder="1" applyAlignment="1" applyProtection="1">
      <alignment horizontal="center" vertical="center"/>
      <protection locked="0"/>
    </xf>
    <xf numFmtId="0" fontId="23" fillId="0" borderId="0" xfId="9" applyFont="1" applyAlignment="1" applyProtection="1">
      <alignment horizontal="center" vertical="center"/>
      <protection locked="0"/>
    </xf>
    <xf numFmtId="0" fontId="19" fillId="0" borderId="13" xfId="9" applyFont="1" applyFill="1" applyBorder="1" applyAlignment="1" applyProtection="1">
      <alignment horizontal="center" textRotation="45" readingOrder="1"/>
    </xf>
    <xf numFmtId="0" fontId="23" fillId="7" borderId="1" xfId="9" applyFont="1" applyFill="1" applyBorder="1" applyAlignment="1" applyProtection="1">
      <alignment horizontal="center" vertical="center"/>
    </xf>
    <xf numFmtId="0" fontId="23" fillId="0" borderId="0" xfId="9" applyFont="1" applyAlignment="1" applyProtection="1">
      <alignment horizontal="center" vertical="center"/>
    </xf>
    <xf numFmtId="0" fontId="23" fillId="0" borderId="4" xfId="9" applyNumberFormat="1" applyFont="1" applyBorder="1" applyAlignment="1" applyProtection="1">
      <alignment horizontal="center" vertical="center"/>
      <protection locked="0"/>
    </xf>
    <xf numFmtId="0" fontId="23" fillId="0" borderId="4" xfId="9" applyNumberFormat="1" applyFont="1" applyBorder="1" applyAlignment="1" applyProtection="1">
      <alignment horizontal="left" vertical="center"/>
      <protection locked="0"/>
    </xf>
    <xf numFmtId="0" fontId="23" fillId="0" borderId="1" xfId="9" applyFont="1" applyBorder="1" applyAlignment="1" applyProtection="1">
      <alignment vertical="center"/>
      <protection locked="0"/>
    </xf>
    <xf numFmtId="0" fontId="26" fillId="0" borderId="1" xfId="9" applyFont="1" applyFill="1" applyBorder="1" applyAlignment="1" applyProtection="1">
      <alignment horizontal="center" textRotation="45" readingOrder="1"/>
    </xf>
    <xf numFmtId="0" fontId="23" fillId="0" borderId="1" xfId="9" applyFont="1" applyBorder="1" applyAlignment="1" applyProtection="1">
      <alignment horizontal="center" vertical="center"/>
    </xf>
    <xf numFmtId="0" fontId="0" fillId="2" borderId="1" xfId="0" applyFill="1" applyBorder="1" applyAlignment="1">
      <alignment horizontal="center" vertical="center"/>
    </xf>
    <xf numFmtId="0" fontId="23" fillId="0" borderId="2" xfId="9" applyFont="1" applyFill="1" applyBorder="1" applyAlignment="1" applyProtection="1">
      <alignment horizontal="center" vertical="center" readingOrder="1"/>
      <protection locked="0"/>
    </xf>
    <xf numFmtId="0" fontId="43" fillId="0" borderId="0" xfId="0" applyFont="1" applyBorder="1" applyAlignment="1" applyProtection="1">
      <alignment vertical="center"/>
      <protection locked="0"/>
    </xf>
    <xf numFmtId="0" fontId="41" fillId="0" borderId="0" xfId="0" applyFont="1" applyBorder="1" applyAlignment="1" applyProtection="1">
      <alignment vertical="center"/>
    </xf>
    <xf numFmtId="0" fontId="43" fillId="0" borderId="0" xfId="0" applyFont="1" applyAlignment="1" applyProtection="1">
      <alignment vertical="center"/>
      <protection locked="0"/>
    </xf>
    <xf numFmtId="0" fontId="49" fillId="0" borderId="1" xfId="0" applyFont="1" applyBorder="1" applyAlignment="1" applyProtection="1">
      <alignment horizontal="center" vertical="center"/>
      <protection locked="0"/>
    </xf>
    <xf numFmtId="16" fontId="43" fillId="0" borderId="0" xfId="0" applyNumberFormat="1" applyFont="1" applyAlignment="1" applyProtection="1">
      <alignment vertical="center"/>
    </xf>
    <xf numFmtId="0" fontId="41" fillId="0" borderId="0" xfId="0" applyFont="1" applyAlignment="1" applyProtection="1">
      <alignment vertical="center"/>
    </xf>
    <xf numFmtId="0" fontId="0" fillId="0" borderId="0" xfId="0" applyFill="1" applyAlignment="1" applyProtection="1">
      <alignment vertical="center"/>
      <protection locked="0"/>
    </xf>
    <xf numFmtId="0" fontId="4" fillId="0" borderId="4" xfId="0" applyFont="1" applyFill="1" applyBorder="1" applyAlignment="1" applyProtection="1">
      <alignment horizontal="center" vertical="center" textRotation="90" wrapText="1"/>
      <protection locked="0"/>
    </xf>
    <xf numFmtId="0" fontId="0" fillId="0" borderId="0" xfId="0" applyFill="1" applyBorder="1" applyAlignment="1" applyProtection="1">
      <alignment horizontal="right"/>
      <protection locked="0"/>
    </xf>
    <xf numFmtId="0" fontId="5" fillId="20" borderId="4" xfId="0" applyFont="1" applyFill="1" applyBorder="1" applyAlignment="1" applyProtection="1">
      <alignment horizontal="center" vertical="center"/>
      <protection locked="0"/>
    </xf>
    <xf numFmtId="0" fontId="6" fillId="20" borderId="4" xfId="0" applyFont="1" applyFill="1" applyBorder="1" applyAlignment="1" applyProtection="1">
      <alignment horizontal="center" vertical="center"/>
      <protection locked="0"/>
    </xf>
    <xf numFmtId="0" fontId="5" fillId="0" borderId="0" xfId="0" applyFont="1" applyBorder="1" applyAlignment="1" applyProtection="1">
      <alignment horizontal="left"/>
      <protection locked="0"/>
    </xf>
    <xf numFmtId="0" fontId="0" fillId="0" borderId="0" xfId="0" applyAlignment="1" applyProtection="1">
      <alignment horizontal="right"/>
      <protection locked="0"/>
    </xf>
    <xf numFmtId="0" fontId="5" fillId="0" borderId="0" xfId="0" applyFont="1" applyAlignment="1" applyProtection="1">
      <alignment horizontal="left"/>
      <protection locked="0"/>
    </xf>
    <xf numFmtId="0" fontId="31" fillId="0" borderId="0" xfId="0" applyFont="1" applyFill="1" applyAlignment="1" applyProtection="1">
      <alignment vertical="center"/>
    </xf>
    <xf numFmtId="0" fontId="43" fillId="0" borderId="0" xfId="0" applyFont="1" applyFill="1" applyAlignment="1" applyProtection="1">
      <alignment vertical="center"/>
    </xf>
    <xf numFmtId="0" fontId="59" fillId="0" borderId="0" xfId="0" applyFont="1" applyFill="1" applyBorder="1" applyAlignment="1" applyProtection="1">
      <alignment vertical="center"/>
      <protection locked="0"/>
    </xf>
    <xf numFmtId="0" fontId="0" fillId="0" borderId="1" xfId="0" applyFill="1" applyBorder="1" applyAlignment="1" applyProtection="1">
      <alignment horizontal="center" vertical="center"/>
      <protection locked="0"/>
    </xf>
    <xf numFmtId="0" fontId="0" fillId="3" borderId="1" xfId="0" applyFont="1" applyFill="1" applyBorder="1" applyAlignment="1" applyProtection="1">
      <alignment horizontal="center" vertical="center"/>
      <protection locked="0"/>
    </xf>
    <xf numFmtId="164" fontId="0" fillId="3" borderId="1" xfId="0" applyNumberFormat="1" applyFont="1" applyFill="1" applyBorder="1" applyAlignment="1" applyProtection="1">
      <alignment horizontal="center" vertical="center"/>
      <protection locked="0"/>
    </xf>
    <xf numFmtId="1" fontId="0" fillId="0" borderId="1" xfId="0" applyNumberFormat="1" applyFont="1" applyFill="1" applyBorder="1" applyAlignment="1" applyProtection="1">
      <alignment horizontal="center" vertical="center"/>
      <protection locked="0"/>
    </xf>
    <xf numFmtId="0" fontId="0" fillId="0" borderId="1" xfId="0" quotePrefix="1" applyFill="1" applyBorder="1" applyAlignment="1" applyProtection="1">
      <alignment horizontal="center" vertical="center"/>
      <protection locked="0"/>
    </xf>
    <xf numFmtId="0" fontId="0" fillId="0" borderId="0" xfId="0" applyBorder="1"/>
    <xf numFmtId="0" fontId="23" fillId="0" borderId="0" xfId="9" applyNumberFormat="1" applyFont="1" applyBorder="1" applyAlignment="1" applyProtection="1">
      <alignment horizontal="left" vertical="center"/>
      <protection locked="0"/>
    </xf>
    <xf numFmtId="0" fontId="0" fillId="0" borderId="1" xfId="0" applyBorder="1" applyAlignment="1" applyProtection="1">
      <alignment horizontal="left" vertical="center" wrapText="1"/>
    </xf>
    <xf numFmtId="0" fontId="0" fillId="0" borderId="1" xfId="0" applyBorder="1" applyAlignment="1" applyProtection="1">
      <alignment horizontal="right" vertical="center" wrapText="1"/>
    </xf>
    <xf numFmtId="0" fontId="5" fillId="0" borderId="0" xfId="0" applyFont="1" applyAlignment="1" applyProtection="1">
      <alignment horizontal="left"/>
    </xf>
    <xf numFmtId="0" fontId="6" fillId="0" borderId="1" xfId="0" applyFont="1" applyBorder="1" applyAlignment="1" applyProtection="1">
      <alignment horizontal="center" vertical="center" wrapText="1"/>
      <protection locked="0"/>
    </xf>
    <xf numFmtId="0" fontId="23" fillId="0" borderId="10" xfId="9" applyNumberFormat="1" applyFont="1" applyBorder="1" applyAlignment="1" applyProtection="1">
      <alignment horizontal="left" vertical="center"/>
      <protection locked="0"/>
    </xf>
    <xf numFmtId="0" fontId="17" fillId="0" borderId="0" xfId="0" applyFont="1" applyFill="1" applyBorder="1" applyAlignment="1" applyProtection="1">
      <alignment vertical="center" wrapText="1"/>
      <protection hidden="1"/>
    </xf>
    <xf numFmtId="0" fontId="19" fillId="0" borderId="1" xfId="0" applyFont="1" applyFill="1" applyBorder="1" applyAlignment="1" applyProtection="1">
      <alignment horizontal="center" vertical="center"/>
      <protection hidden="1"/>
    </xf>
    <xf numFmtId="0" fontId="17" fillId="0" borderId="1" xfId="0" applyFont="1" applyFill="1" applyBorder="1" applyAlignment="1" applyProtection="1">
      <alignment horizontal="center" vertical="center"/>
      <protection hidden="1"/>
    </xf>
    <xf numFmtId="0" fontId="17" fillId="0" borderId="1" xfId="0" applyFont="1" applyFill="1" applyBorder="1" applyAlignment="1" applyProtection="1">
      <alignment horizontal="center" vertical="center" wrapText="1"/>
      <protection hidden="1"/>
    </xf>
    <xf numFmtId="0" fontId="17" fillId="0" borderId="2" xfId="0" applyFont="1" applyFill="1" applyBorder="1" applyAlignment="1" applyProtection="1">
      <alignment horizontal="center" vertical="center" wrapText="1"/>
      <protection hidden="1"/>
    </xf>
    <xf numFmtId="0" fontId="23" fillId="26" borderId="1" xfId="9" applyNumberFormat="1" applyFont="1" applyFill="1" applyBorder="1" applyAlignment="1" applyProtection="1">
      <alignment horizontal="center" vertical="center"/>
      <protection locked="0"/>
    </xf>
    <xf numFmtId="0" fontId="23" fillId="26" borderId="1" xfId="9" applyNumberFormat="1" applyFont="1" applyFill="1" applyBorder="1" applyAlignment="1" applyProtection="1">
      <alignment horizontal="left" vertical="center"/>
      <protection locked="0"/>
    </xf>
    <xf numFmtId="0" fontId="19" fillId="26" borderId="1" xfId="0" applyFont="1" applyFill="1" applyBorder="1" applyAlignment="1" applyProtection="1">
      <alignment horizontal="center" vertical="center" wrapText="1"/>
      <protection hidden="1"/>
    </xf>
    <xf numFmtId="0" fontId="23" fillId="26" borderId="10" xfId="9" applyNumberFormat="1" applyFont="1" applyFill="1" applyBorder="1" applyAlignment="1" applyProtection="1">
      <alignment horizontal="left" vertical="center"/>
      <protection locked="0"/>
    </xf>
    <xf numFmtId="0" fontId="17" fillId="26" borderId="1" xfId="0" applyFont="1" applyFill="1" applyBorder="1" applyAlignment="1" applyProtection="1">
      <alignment horizontal="center" vertical="center" wrapText="1"/>
      <protection hidden="1"/>
    </xf>
    <xf numFmtId="0" fontId="17" fillId="26" borderId="2" xfId="0" applyFont="1" applyFill="1" applyBorder="1" applyAlignment="1" applyProtection="1">
      <alignment horizontal="center" vertical="center" wrapText="1"/>
      <protection hidden="1"/>
    </xf>
    <xf numFmtId="1" fontId="54" fillId="8" borderId="1" xfId="0" applyNumberFormat="1" applyFont="1" applyFill="1" applyBorder="1" applyAlignment="1" applyProtection="1">
      <alignment horizontal="center" vertical="center"/>
    </xf>
    <xf numFmtId="1" fontId="0" fillId="13" borderId="1" xfId="0" applyNumberFormat="1" applyFill="1" applyBorder="1" applyAlignment="1" applyProtection="1">
      <alignment horizontal="center" vertical="center"/>
    </xf>
    <xf numFmtId="1" fontId="57" fillId="23" borderId="1" xfId="0" applyNumberFormat="1" applyFont="1" applyFill="1" applyBorder="1" applyAlignment="1" applyProtection="1">
      <alignment horizontal="center" vertical="center"/>
    </xf>
    <xf numFmtId="0" fontId="0" fillId="2" borderId="1" xfId="0" applyFont="1" applyFill="1" applyBorder="1" applyAlignment="1" applyProtection="1">
      <alignment horizontal="center" vertical="center"/>
      <protection locked="0"/>
    </xf>
    <xf numFmtId="0" fontId="0" fillId="0" borderId="1" xfId="0" applyNumberFormat="1" applyFont="1" applyFill="1" applyBorder="1" applyAlignment="1" applyProtection="1">
      <alignment horizontal="center" vertical="center"/>
    </xf>
    <xf numFmtId="0" fontId="0" fillId="0" borderId="0" xfId="0" applyFill="1" applyAlignment="1" applyProtection="1">
      <alignment horizontal="center" vertical="center"/>
      <protection locked="0"/>
    </xf>
    <xf numFmtId="2" fontId="4" fillId="6" borderId="4" xfId="0" applyNumberFormat="1" applyFont="1" applyFill="1" applyBorder="1" applyAlignment="1" applyProtection="1">
      <alignment horizontal="center" vertical="center" textRotation="90" wrapText="1"/>
      <protection locked="0"/>
    </xf>
    <xf numFmtId="1" fontId="0" fillId="0" borderId="1" xfId="0" applyNumberFormat="1" applyFont="1" applyFill="1" applyBorder="1" applyAlignment="1" applyProtection="1">
      <alignment horizontal="center" vertical="center"/>
    </xf>
    <xf numFmtId="1" fontId="31" fillId="0" borderId="0" xfId="0" applyNumberFormat="1" applyFont="1" applyFill="1" applyAlignment="1" applyProtection="1">
      <alignment vertical="center"/>
    </xf>
    <xf numFmtId="1" fontId="0" fillId="0" borderId="1" xfId="0" applyNumberFormat="1" applyFill="1" applyBorder="1" applyAlignment="1" applyProtection="1">
      <alignment horizontal="center" vertical="center" wrapText="1"/>
    </xf>
    <xf numFmtId="1" fontId="39" fillId="0" borderId="1" xfId="0" applyNumberFormat="1" applyFont="1" applyFill="1" applyBorder="1" applyAlignment="1" applyProtection="1">
      <alignment horizontal="left" vertical="center" wrapText="1"/>
    </xf>
    <xf numFmtId="0" fontId="5" fillId="0" borderId="0" xfId="0" applyFont="1" applyBorder="1" applyAlignment="1" applyProtection="1">
      <alignment horizontal="left"/>
      <protection locked="0"/>
    </xf>
    <xf numFmtId="0" fontId="0" fillId="0" borderId="0" xfId="0" applyAlignment="1" applyProtection="1">
      <alignment horizontal="right"/>
    </xf>
    <xf numFmtId="1" fontId="39" fillId="0" borderId="1" xfId="0" applyNumberFormat="1" applyFont="1" applyFill="1" applyBorder="1" applyAlignment="1" applyProtection="1">
      <alignment horizontal="center" wrapText="1"/>
    </xf>
    <xf numFmtId="1" fontId="69" fillId="0" borderId="1" xfId="0" applyNumberFormat="1" applyFont="1" applyFill="1" applyBorder="1" applyAlignment="1" applyProtection="1">
      <alignment horizontal="center" wrapText="1"/>
    </xf>
    <xf numFmtId="1" fontId="38" fillId="0" borderId="1" xfId="0" applyNumberFormat="1" applyFont="1" applyFill="1" applyBorder="1" applyAlignment="1" applyProtection="1">
      <alignment horizontal="center" wrapText="1"/>
    </xf>
    <xf numFmtId="1" fontId="69" fillId="0" borderId="1" xfId="0" applyNumberFormat="1" applyFont="1" applyFill="1" applyBorder="1" applyAlignment="1" applyProtection="1">
      <alignment horizontal="center" vertical="center" wrapText="1"/>
    </xf>
    <xf numFmtId="0" fontId="6" fillId="0" borderId="0" xfId="0" applyFont="1" applyFill="1" applyBorder="1" applyAlignment="1" applyProtection="1">
      <protection locked="0"/>
    </xf>
    <xf numFmtId="0" fontId="5" fillId="0" borderId="0" xfId="0" applyFont="1" applyBorder="1" applyAlignment="1" applyProtection="1">
      <protection locked="0"/>
    </xf>
    <xf numFmtId="0" fontId="7" fillId="0" borderId="0" xfId="0" applyFont="1" applyBorder="1" applyAlignment="1" applyProtection="1">
      <alignment horizontal="right"/>
      <protection locked="0"/>
    </xf>
    <xf numFmtId="0" fontId="7" fillId="0" borderId="0" xfId="0" applyFont="1" applyBorder="1" applyAlignment="1" applyProtection="1">
      <alignment horizontal="left"/>
      <protection locked="0"/>
    </xf>
    <xf numFmtId="0" fontId="7" fillId="0" borderId="0" xfId="0" applyFont="1" applyAlignment="1" applyProtection="1">
      <alignment horizontal="right"/>
      <protection locked="0"/>
    </xf>
    <xf numFmtId="0" fontId="7" fillId="0" borderId="0" xfId="0" applyFont="1" applyAlignment="1" applyProtection="1">
      <alignment horizontal="left"/>
      <protection locked="0"/>
    </xf>
    <xf numFmtId="0" fontId="0" fillId="0" borderId="0" xfId="0" applyBorder="1" applyAlignment="1" applyProtection="1">
      <alignment horizontal="left"/>
      <protection locked="0"/>
    </xf>
    <xf numFmtId="0" fontId="5" fillId="22" borderId="11" xfId="0" quotePrefix="1" applyFont="1" applyFill="1" applyBorder="1" applyAlignment="1" applyProtection="1">
      <alignment horizontal="center" vertical="center"/>
      <protection locked="0"/>
    </xf>
    <xf numFmtId="0" fontId="5" fillId="19" borderId="10" xfId="0" applyFont="1" applyFill="1" applyBorder="1" applyAlignment="1" applyProtection="1">
      <alignment vertical="center"/>
      <protection locked="0"/>
    </xf>
    <xf numFmtId="0" fontId="5" fillId="19" borderId="12" xfId="0" applyFont="1" applyFill="1" applyBorder="1" applyAlignment="1" applyProtection="1">
      <alignment vertical="center"/>
      <protection locked="0"/>
    </xf>
    <xf numFmtId="0" fontId="5" fillId="19" borderId="11" xfId="0" applyFont="1" applyFill="1" applyBorder="1" applyAlignment="1" applyProtection="1">
      <alignment vertical="center"/>
      <protection locked="0"/>
    </xf>
    <xf numFmtId="0" fontId="5" fillId="0" borderId="0" xfId="0" applyFont="1" applyProtection="1">
      <protection locked="0"/>
    </xf>
    <xf numFmtId="0" fontId="38" fillId="20" borderId="1" xfId="0" quotePrefix="1" applyFont="1" applyFill="1" applyBorder="1" applyAlignment="1" applyProtection="1">
      <alignment horizontal="center" vertical="center"/>
      <protection locked="0"/>
    </xf>
    <xf numFmtId="0" fontId="38" fillId="20" borderId="1" xfId="0" applyFont="1" applyFill="1" applyBorder="1" applyAlignment="1" applyProtection="1">
      <alignment horizontal="center" vertical="center"/>
      <protection locked="0"/>
    </xf>
    <xf numFmtId="0" fontId="38" fillId="22" borderId="1" xfId="0" quotePrefix="1" applyFont="1" applyFill="1" applyBorder="1" applyAlignment="1" applyProtection="1">
      <alignment horizontal="center" vertical="center"/>
      <protection locked="0"/>
    </xf>
    <xf numFmtId="0" fontId="38" fillId="22" borderId="1" xfId="0" applyFont="1" applyFill="1" applyBorder="1" applyAlignment="1" applyProtection="1">
      <alignment horizontal="center" vertical="center"/>
      <protection locked="0"/>
    </xf>
    <xf numFmtId="0" fontId="38" fillId="22" borderId="4" xfId="0" applyFont="1" applyFill="1" applyBorder="1" applyAlignment="1" applyProtection="1">
      <alignment horizontal="center" vertical="center"/>
      <protection locked="0"/>
    </xf>
    <xf numFmtId="0" fontId="38" fillId="19" borderId="1" xfId="0" applyFont="1" applyFill="1" applyBorder="1" applyAlignment="1" applyProtection="1">
      <alignment horizontal="center" vertical="center"/>
      <protection locked="0"/>
    </xf>
    <xf numFmtId="164" fontId="0" fillId="0" borderId="1" xfId="0" applyNumberFormat="1" applyFill="1" applyBorder="1" applyAlignment="1" applyProtection="1">
      <alignment horizontal="center"/>
      <protection locked="0"/>
    </xf>
    <xf numFmtId="1" fontId="0" fillId="0" borderId="1" xfId="0" applyNumberFormat="1" applyFill="1" applyBorder="1" applyAlignment="1" applyProtection="1">
      <alignment horizontal="center"/>
      <protection locked="0"/>
    </xf>
    <xf numFmtId="0" fontId="5" fillId="0" borderId="0" xfId="0" applyFont="1" applyBorder="1" applyAlignment="1" applyProtection="1"/>
    <xf numFmtId="0" fontId="7" fillId="0" borderId="0" xfId="0" applyFont="1" applyBorder="1" applyAlignment="1" applyProtection="1">
      <alignment horizontal="left"/>
    </xf>
    <xf numFmtId="0" fontId="7" fillId="0" borderId="0" xfId="0" applyFont="1" applyAlignment="1" applyProtection="1">
      <alignment horizontal="left"/>
    </xf>
    <xf numFmtId="1" fontId="41" fillId="6" borderId="1" xfId="0" applyNumberFormat="1" applyFont="1" applyFill="1" applyBorder="1" applyAlignment="1" applyProtection="1">
      <alignment horizontal="center" vertical="center"/>
    </xf>
    <xf numFmtId="0" fontId="41" fillId="6" borderId="1" xfId="0" applyFont="1" applyFill="1" applyBorder="1" applyAlignment="1" applyProtection="1">
      <alignment horizontal="center" vertical="center"/>
    </xf>
    <xf numFmtId="1" fontId="41" fillId="0" borderId="1" xfId="0" applyNumberFormat="1" applyFont="1" applyBorder="1" applyAlignment="1" applyProtection="1">
      <alignment horizontal="center" vertical="center"/>
    </xf>
    <xf numFmtId="0" fontId="41" fillId="0" borderId="1" xfId="0" applyFont="1" applyBorder="1" applyAlignment="1" applyProtection="1">
      <alignment horizontal="center" vertical="center"/>
    </xf>
    <xf numFmtId="1" fontId="41" fillId="16" borderId="1" xfId="0" applyNumberFormat="1" applyFont="1" applyFill="1" applyBorder="1" applyAlignment="1" applyProtection="1">
      <alignment horizontal="center" vertical="center"/>
    </xf>
    <xf numFmtId="0" fontId="0" fillId="15" borderId="0" xfId="0" applyFill="1" applyAlignment="1" applyProtection="1">
      <alignment horizontal="center" vertical="center"/>
      <protection locked="0"/>
    </xf>
    <xf numFmtId="0" fontId="43" fillId="8" borderId="27" xfId="0" applyFont="1" applyFill="1" applyBorder="1" applyAlignment="1" applyProtection="1">
      <alignment horizontal="center" vertical="center"/>
    </xf>
    <xf numFmtId="0" fontId="0" fillId="0" borderId="0" xfId="0" applyFill="1" applyProtection="1"/>
    <xf numFmtId="0" fontId="0" fillId="0" borderId="16" xfId="0" applyBorder="1" applyAlignment="1" applyProtection="1"/>
    <xf numFmtId="0" fontId="0" fillId="0" borderId="0" xfId="0" applyAlignment="1" applyProtection="1">
      <alignment horizontal="center" vertical="center"/>
    </xf>
    <xf numFmtId="0" fontId="68" fillId="29" borderId="29" xfId="0" applyFont="1" applyFill="1" applyBorder="1" applyAlignment="1" applyProtection="1">
      <alignment horizontal="center" vertical="center" wrapText="1"/>
      <protection locked="0"/>
    </xf>
    <xf numFmtId="0" fontId="71" fillId="29" borderId="30" xfId="0" applyFont="1" applyFill="1" applyBorder="1" applyAlignment="1" applyProtection="1">
      <alignment horizontal="center" vertical="center" wrapText="1"/>
      <protection locked="0"/>
    </xf>
    <xf numFmtId="0" fontId="71" fillId="29" borderId="0" xfId="0" applyFont="1" applyFill="1" applyBorder="1" applyAlignment="1" applyProtection="1">
      <alignment horizontal="center" vertical="center" wrapText="1"/>
      <protection locked="0"/>
    </xf>
    <xf numFmtId="0" fontId="71" fillId="29" borderId="28" xfId="0" applyFont="1" applyFill="1" applyBorder="1" applyAlignment="1" applyProtection="1">
      <alignment horizontal="center" vertical="center" wrapText="1"/>
      <protection locked="0"/>
    </xf>
    <xf numFmtId="0" fontId="6" fillId="6" borderId="1" xfId="0" applyFont="1" applyFill="1" applyBorder="1" applyAlignment="1" applyProtection="1">
      <alignment horizontal="center" vertical="center" wrapText="1"/>
      <protection locked="0"/>
    </xf>
    <xf numFmtId="0" fontId="0" fillId="22" borderId="1" xfId="0" applyFill="1" applyBorder="1" applyAlignment="1" applyProtection="1">
      <alignment horizontal="center" vertical="center"/>
      <protection locked="0"/>
    </xf>
    <xf numFmtId="0" fontId="0" fillId="15" borderId="1" xfId="0" applyFill="1" applyBorder="1" applyAlignment="1" applyProtection="1">
      <alignment horizontal="center"/>
      <protection locked="0"/>
    </xf>
    <xf numFmtId="0" fontId="0" fillId="24" borderId="1" xfId="0" applyFill="1" applyBorder="1" applyAlignment="1" applyProtection="1">
      <alignment horizontal="center"/>
      <protection locked="0"/>
    </xf>
    <xf numFmtId="0" fontId="0" fillId="24" borderId="1" xfId="0" applyFill="1" applyBorder="1" applyProtection="1">
      <protection locked="0"/>
    </xf>
    <xf numFmtId="0" fontId="0" fillId="3" borderId="1" xfId="0" applyFill="1" applyBorder="1" applyAlignment="1" applyProtection="1">
      <alignment horizontal="center"/>
      <protection locked="0"/>
    </xf>
    <xf numFmtId="0" fontId="0" fillId="3" borderId="1" xfId="0" applyFill="1" applyBorder="1" applyProtection="1">
      <protection locked="0"/>
    </xf>
    <xf numFmtId="0" fontId="0" fillId="22" borderId="1" xfId="0" applyFill="1" applyBorder="1" applyAlignment="1" applyProtection="1">
      <alignment horizontal="center"/>
    </xf>
    <xf numFmtId="0" fontId="31" fillId="22" borderId="1" xfId="0" applyFont="1" applyFill="1" applyBorder="1" applyAlignment="1" applyProtection="1">
      <alignment horizontal="center" vertical="center"/>
    </xf>
    <xf numFmtId="0" fontId="0" fillId="15" borderId="1" xfId="0" applyFill="1" applyBorder="1" applyAlignment="1" applyProtection="1">
      <alignment horizontal="center"/>
    </xf>
    <xf numFmtId="0" fontId="63" fillId="15" borderId="1" xfId="0" applyFont="1" applyFill="1" applyBorder="1" applyAlignment="1" applyProtection="1">
      <alignment horizontal="center" vertical="center"/>
    </xf>
    <xf numFmtId="0" fontId="0" fillId="24" borderId="1" xfId="0" applyFill="1" applyBorder="1" applyAlignment="1" applyProtection="1">
      <alignment horizontal="center"/>
    </xf>
    <xf numFmtId="0" fontId="63" fillId="24" borderId="1" xfId="0" applyFont="1" applyFill="1" applyBorder="1" applyAlignment="1" applyProtection="1">
      <alignment horizontal="center" vertical="center"/>
    </xf>
    <xf numFmtId="0" fontId="0" fillId="3" borderId="1" xfId="0" applyFill="1" applyBorder="1" applyAlignment="1" applyProtection="1">
      <alignment horizontal="center"/>
    </xf>
    <xf numFmtId="0" fontId="0" fillId="3" borderId="1" xfId="0" applyFill="1" applyBorder="1" applyAlignment="1" applyProtection="1">
      <alignment horizontal="center" vertical="center"/>
    </xf>
    <xf numFmtId="2" fontId="4" fillId="8" borderId="1" xfId="0" applyNumberFormat="1" applyFont="1" applyFill="1" applyBorder="1" applyAlignment="1" applyProtection="1">
      <alignment horizontal="center" vertical="center"/>
    </xf>
    <xf numFmtId="0" fontId="5" fillId="18" borderId="5" xfId="0" applyFont="1" applyFill="1" applyBorder="1" applyAlignment="1" applyProtection="1"/>
    <xf numFmtId="0" fontId="0" fillId="19" borderId="7" xfId="0" applyFill="1" applyBorder="1" applyAlignment="1" applyProtection="1">
      <alignment horizontal="right" vertical="center"/>
    </xf>
    <xf numFmtId="0" fontId="0" fillId="19" borderId="6" xfId="0" applyFill="1" applyBorder="1" applyAlignment="1" applyProtection="1">
      <alignment horizontal="right" vertical="center"/>
    </xf>
    <xf numFmtId="0" fontId="33" fillId="20" borderId="9" xfId="0" applyFont="1" applyFill="1" applyBorder="1" applyAlignment="1" applyProtection="1">
      <alignment vertical="center" wrapText="1"/>
      <protection locked="0"/>
    </xf>
    <xf numFmtId="0" fontId="0" fillId="0" borderId="1" xfId="0" applyFill="1" applyBorder="1" applyAlignment="1" applyProtection="1">
      <alignment shrinkToFit="1"/>
      <protection locked="0"/>
    </xf>
    <xf numFmtId="0" fontId="8" fillId="0" borderId="1" xfId="0" applyFont="1" applyFill="1" applyBorder="1" applyAlignment="1" applyProtection="1">
      <protection locked="0"/>
    </xf>
    <xf numFmtId="0" fontId="0" fillId="0" borderId="1" xfId="5" applyFont="1" applyFill="1" applyBorder="1" applyAlignment="1" applyProtection="1">
      <alignment horizontal="center" vertical="center"/>
      <protection locked="0"/>
    </xf>
    <xf numFmtId="0" fontId="0" fillId="0" borderId="1" xfId="0" applyFill="1" applyBorder="1" applyAlignment="1" applyProtection="1">
      <protection locked="0"/>
    </xf>
    <xf numFmtId="0" fontId="3" fillId="0" borderId="1" xfId="2" applyFont="1" applyFill="1" applyBorder="1" applyAlignment="1" applyProtection="1">
      <alignment vertical="center" shrinkToFit="1"/>
      <protection locked="0"/>
    </xf>
    <xf numFmtId="0" fontId="3" fillId="0" borderId="1" xfId="7" applyFont="1" applyFill="1" applyBorder="1" applyAlignment="1" applyProtection="1">
      <alignment vertical="center" shrinkToFit="1"/>
      <protection locked="0"/>
    </xf>
    <xf numFmtId="0" fontId="2" fillId="2" borderId="1" xfId="7" applyFont="1" applyFill="1" applyBorder="1" applyAlignment="1" applyProtection="1">
      <alignment vertical="center" shrinkToFit="1"/>
      <protection locked="0"/>
    </xf>
    <xf numFmtId="0" fontId="8" fillId="2" borderId="1" xfId="0" applyFont="1" applyFill="1" applyBorder="1" applyAlignment="1" applyProtection="1">
      <protection locked="0"/>
    </xf>
    <xf numFmtId="0" fontId="0" fillId="2" borderId="1" xfId="0" applyFill="1" applyBorder="1" applyAlignment="1" applyProtection="1">
      <alignment shrinkToFit="1"/>
      <protection locked="0"/>
    </xf>
    <xf numFmtId="0" fontId="0" fillId="2" borderId="1" xfId="0" applyFill="1" applyBorder="1" applyAlignment="1" applyProtection="1">
      <protection locked="0"/>
    </xf>
    <xf numFmtId="0" fontId="4" fillId="8" borderId="4" xfId="0"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protection locked="0"/>
    </xf>
    <xf numFmtId="0" fontId="4" fillId="0" borderId="4" xfId="0" applyFont="1" applyFill="1" applyBorder="1" applyAlignment="1" applyProtection="1">
      <alignment horizontal="center" vertical="center" textRotation="90" wrapText="1"/>
      <protection locked="0"/>
    </xf>
    <xf numFmtId="0" fontId="4" fillId="8" borderId="1" xfId="0" applyFont="1" applyFill="1" applyBorder="1" applyAlignment="1" applyProtection="1">
      <alignment vertical="center" textRotation="90" wrapText="1"/>
      <protection locked="0"/>
    </xf>
    <xf numFmtId="0" fontId="0" fillId="8" borderId="1" xfId="0" applyFill="1" applyBorder="1" applyProtection="1"/>
    <xf numFmtId="0" fontId="0" fillId="3" borderId="1" xfId="0" applyFont="1" applyFill="1" applyBorder="1" applyAlignment="1" applyProtection="1">
      <alignment vertical="center"/>
    </xf>
    <xf numFmtId="0" fontId="0" fillId="4" borderId="1" xfId="0" applyFont="1" applyFill="1" applyBorder="1" applyAlignment="1" applyProtection="1">
      <alignment vertical="center"/>
    </xf>
    <xf numFmtId="2" fontId="0" fillId="13" borderId="1" xfId="0" applyNumberFormat="1" applyFont="1" applyFill="1" applyBorder="1" applyAlignment="1" applyProtection="1">
      <alignment vertical="center" shrinkToFit="1"/>
    </xf>
    <xf numFmtId="1" fontId="5" fillId="24" borderId="1" xfId="0" applyNumberFormat="1" applyFont="1" applyFill="1" applyBorder="1" applyAlignment="1" applyProtection="1">
      <alignment horizontal="center" vertical="center"/>
    </xf>
    <xf numFmtId="2" fontId="0" fillId="8" borderId="1" xfId="0" applyNumberFormat="1" applyFont="1" applyFill="1" applyBorder="1" applyAlignment="1" applyProtection="1">
      <alignment horizontal="center" vertical="center"/>
    </xf>
    <xf numFmtId="0" fontId="0" fillId="24" borderId="1" xfId="0" applyFill="1" applyBorder="1" applyProtection="1"/>
    <xf numFmtId="0" fontId="0" fillId="3" borderId="1" xfId="0" applyFill="1" applyBorder="1" applyProtection="1"/>
    <xf numFmtId="0" fontId="76" fillId="0" borderId="0" xfId="0" applyFont="1" applyFill="1" applyProtection="1">
      <protection locked="0"/>
    </xf>
    <xf numFmtId="0" fontId="0" fillId="13" borderId="1" xfId="0" applyFont="1" applyFill="1" applyBorder="1" applyAlignment="1" applyProtection="1">
      <alignment vertical="center"/>
    </xf>
    <xf numFmtId="0" fontId="4" fillId="30" borderId="1" xfId="0" applyFont="1" applyFill="1" applyBorder="1" applyAlignment="1" applyProtection="1">
      <alignment horizontal="center" vertical="center"/>
      <protection locked="0"/>
    </xf>
    <xf numFmtId="0" fontId="67" fillId="30" borderId="1" xfId="0" applyFont="1" applyFill="1" applyBorder="1" applyAlignment="1" applyProtection="1">
      <alignment vertical="center"/>
    </xf>
    <xf numFmtId="0" fontId="0" fillId="8" borderId="1" xfId="0" applyFont="1" applyFill="1" applyBorder="1" applyAlignment="1" applyProtection="1">
      <alignment vertical="center"/>
    </xf>
    <xf numFmtId="1" fontId="5" fillId="31" borderId="1" xfId="0" applyNumberFormat="1" applyFont="1" applyFill="1" applyBorder="1" applyAlignment="1" applyProtection="1">
      <alignment horizontal="center" vertical="center"/>
    </xf>
    <xf numFmtId="0" fontId="0" fillId="0" borderId="1" xfId="0" applyFill="1" applyBorder="1" applyProtection="1">
      <protection locked="0"/>
    </xf>
    <xf numFmtId="0" fontId="0" fillId="0" borderId="1" xfId="0" applyFill="1" applyBorder="1" applyProtection="1"/>
    <xf numFmtId="0" fontId="65" fillId="5" borderId="26" xfId="0" applyFont="1" applyFill="1" applyBorder="1" applyAlignment="1" applyProtection="1">
      <alignment vertical="center" textRotation="255"/>
    </xf>
    <xf numFmtId="0" fontId="0" fillId="5" borderId="0" xfId="0" applyFill="1" applyBorder="1" applyProtection="1">
      <protection locked="0"/>
    </xf>
    <xf numFmtId="0" fontId="0" fillId="5" borderId="31" xfId="0" applyFill="1" applyBorder="1" applyProtection="1">
      <protection locked="0"/>
    </xf>
    <xf numFmtId="0" fontId="65" fillId="5" borderId="20" xfId="0" applyFont="1" applyFill="1" applyBorder="1" applyAlignment="1" applyProtection="1">
      <alignment vertical="center" textRotation="255"/>
    </xf>
    <xf numFmtId="0" fontId="0" fillId="5" borderId="21" xfId="0" applyFill="1" applyBorder="1" applyProtection="1">
      <protection locked="0"/>
    </xf>
    <xf numFmtId="0" fontId="0" fillId="5" borderId="22" xfId="0" applyFill="1" applyBorder="1" applyProtection="1">
      <protection locked="0"/>
    </xf>
    <xf numFmtId="0" fontId="0" fillId="0" borderId="10" xfId="0" applyFont="1" applyFill="1" applyBorder="1" applyAlignment="1" applyProtection="1">
      <alignment horizontal="center" vertical="center"/>
    </xf>
    <xf numFmtId="0" fontId="5" fillId="0" borderId="1" xfId="0" applyFont="1" applyFill="1" applyBorder="1" applyAlignment="1" applyProtection="1">
      <alignment horizontal="center" vertical="center"/>
      <protection locked="0"/>
    </xf>
    <xf numFmtId="0" fontId="0" fillId="36" borderId="17" xfId="0" applyFill="1" applyBorder="1" applyProtection="1">
      <protection locked="0"/>
    </xf>
    <xf numFmtId="0" fontId="0" fillId="36" borderId="18" xfId="0" applyFill="1" applyBorder="1" applyProtection="1">
      <protection locked="0"/>
    </xf>
    <xf numFmtId="0" fontId="73" fillId="36" borderId="18" xfId="0" applyFont="1" applyFill="1" applyBorder="1" applyAlignment="1" applyProtection="1">
      <protection locked="0"/>
    </xf>
    <xf numFmtId="0" fontId="0" fillId="36" borderId="26" xfId="0" applyFill="1" applyBorder="1" applyProtection="1">
      <protection locked="0"/>
    </xf>
    <xf numFmtId="0" fontId="0" fillId="36" borderId="0" xfId="0" applyFill="1" applyBorder="1" applyProtection="1">
      <protection locked="0"/>
    </xf>
    <xf numFmtId="0" fontId="72" fillId="36" borderId="0" xfId="0" applyFont="1" applyFill="1" applyBorder="1" applyAlignment="1" applyProtection="1">
      <alignment vertical="center"/>
      <protection locked="0"/>
    </xf>
    <xf numFmtId="0" fontId="0" fillId="36" borderId="20" xfId="0" applyFill="1" applyBorder="1" applyProtection="1"/>
    <xf numFmtId="0" fontId="0" fillId="36" borderId="21" xfId="0" applyFill="1" applyBorder="1" applyProtection="1"/>
    <xf numFmtId="0" fontId="60" fillId="36" borderId="21" xfId="0" applyFont="1" applyFill="1" applyBorder="1" applyAlignment="1" applyProtection="1">
      <alignment vertical="center"/>
      <protection locked="0"/>
    </xf>
    <xf numFmtId="0" fontId="0" fillId="36" borderId="22" xfId="0" applyFill="1" applyBorder="1" applyProtection="1"/>
    <xf numFmtId="0" fontId="79" fillId="10" borderId="17" xfId="0" applyFont="1" applyFill="1" applyBorder="1" applyAlignment="1" applyProtection="1">
      <alignment horizontal="right"/>
      <protection locked="0"/>
    </xf>
    <xf numFmtId="0" fontId="80" fillId="10" borderId="18" xfId="0" applyFont="1" applyFill="1" applyBorder="1" applyProtection="1">
      <protection locked="0"/>
    </xf>
    <xf numFmtId="0" fontId="81" fillId="10" borderId="18" xfId="0" applyFont="1" applyFill="1" applyBorder="1" applyProtection="1">
      <protection locked="0"/>
    </xf>
    <xf numFmtId="0" fontId="81" fillId="10" borderId="19" xfId="0" applyFont="1" applyFill="1" applyBorder="1" applyProtection="1">
      <protection locked="0"/>
    </xf>
    <xf numFmtId="0" fontId="79" fillId="10" borderId="26" xfId="0" applyFont="1" applyFill="1" applyBorder="1" applyAlignment="1" applyProtection="1">
      <alignment horizontal="right"/>
      <protection locked="0"/>
    </xf>
    <xf numFmtId="0" fontId="80" fillId="10" borderId="0" xfId="0" applyFont="1" applyFill="1" applyBorder="1" applyProtection="1">
      <protection locked="0"/>
    </xf>
    <xf numFmtId="1" fontId="81" fillId="10" borderId="0" xfId="0" quotePrefix="1" applyNumberFormat="1" applyFont="1" applyFill="1" applyBorder="1" applyProtection="1">
      <protection locked="0"/>
    </xf>
    <xf numFmtId="1" fontId="81" fillId="10" borderId="31" xfId="0" quotePrefix="1" applyNumberFormat="1" applyFont="1" applyFill="1" applyBorder="1" applyProtection="1">
      <protection locked="0"/>
    </xf>
    <xf numFmtId="0" fontId="83" fillId="10" borderId="26" xfId="0" applyFont="1" applyFill="1" applyBorder="1" applyAlignment="1" applyProtection="1">
      <alignment horizontal="right"/>
      <protection locked="0"/>
    </xf>
    <xf numFmtId="0" fontId="79" fillId="10" borderId="20" xfId="0" applyFont="1" applyFill="1" applyBorder="1" applyAlignment="1" applyProtection="1">
      <alignment horizontal="right"/>
      <protection locked="0"/>
    </xf>
    <xf numFmtId="0" fontId="80" fillId="10" borderId="21" xfId="0" applyFont="1" applyFill="1" applyBorder="1" applyProtection="1">
      <protection locked="0"/>
    </xf>
    <xf numFmtId="0" fontId="83" fillId="10" borderId="21" xfId="0" applyFont="1" applyFill="1" applyBorder="1" applyProtection="1">
      <protection locked="0"/>
    </xf>
    <xf numFmtId="0" fontId="83" fillId="10" borderId="22" xfId="0" applyFont="1" applyFill="1" applyBorder="1" applyProtection="1">
      <protection locked="0"/>
    </xf>
    <xf numFmtId="0" fontId="87" fillId="27" borderId="21" xfId="0" applyFont="1" applyFill="1" applyBorder="1" applyAlignment="1" applyProtection="1">
      <alignment vertical="center"/>
    </xf>
    <xf numFmtId="0" fontId="92" fillId="27" borderId="0" xfId="0" applyFont="1" applyFill="1" applyAlignment="1" applyProtection="1">
      <alignment horizontal="center" vertical="center"/>
    </xf>
    <xf numFmtId="0" fontId="1" fillId="27" borderId="0" xfId="11" applyFill="1"/>
    <xf numFmtId="0" fontId="93" fillId="27" borderId="0" xfId="11" applyFont="1" applyFill="1" applyAlignment="1">
      <alignment vertical="center"/>
    </xf>
    <xf numFmtId="0" fontId="1" fillId="0" borderId="0" xfId="11"/>
    <xf numFmtId="0" fontId="1" fillId="13" borderId="17" xfId="11" applyFill="1" applyBorder="1"/>
    <xf numFmtId="0" fontId="1" fillId="13" borderId="19" xfId="11" applyFill="1" applyBorder="1"/>
    <xf numFmtId="0" fontId="1" fillId="13" borderId="26" xfId="11" applyFill="1" applyBorder="1"/>
    <xf numFmtId="0" fontId="1" fillId="13" borderId="31" xfId="11" applyFill="1" applyBorder="1"/>
    <xf numFmtId="0" fontId="1" fillId="13" borderId="20" xfId="11" applyFill="1" applyBorder="1"/>
    <xf numFmtId="0" fontId="1" fillId="13" borderId="22" xfId="11" applyFill="1" applyBorder="1"/>
    <xf numFmtId="0" fontId="95" fillId="27" borderId="0" xfId="10" applyFont="1" applyFill="1" applyAlignment="1" applyProtection="1">
      <alignment horizontal="center" vertical="center"/>
    </xf>
    <xf numFmtId="0" fontId="0" fillId="38" borderId="26" xfId="0" applyFill="1" applyBorder="1" applyProtection="1"/>
    <xf numFmtId="0" fontId="0" fillId="38" borderId="0" xfId="0" applyFill="1" applyBorder="1" applyProtection="1"/>
    <xf numFmtId="0" fontId="65" fillId="38" borderId="31" xfId="0" applyFont="1" applyFill="1" applyBorder="1" applyAlignment="1" applyProtection="1">
      <alignment vertical="center" textRotation="255"/>
    </xf>
    <xf numFmtId="0" fontId="0" fillId="38" borderId="20" xfId="0" applyFill="1" applyBorder="1" applyProtection="1"/>
    <xf numFmtId="0" fontId="0" fillId="38" borderId="21" xfId="0" applyFill="1" applyBorder="1" applyProtection="1"/>
    <xf numFmtId="0" fontId="65" fillId="38" borderId="22" xfId="0" applyFont="1" applyFill="1" applyBorder="1" applyAlignment="1" applyProtection="1">
      <alignment vertical="center" textRotation="255"/>
    </xf>
    <xf numFmtId="0" fontId="0" fillId="5" borderId="26" xfId="0" applyFill="1" applyBorder="1" applyProtection="1"/>
    <xf numFmtId="0" fontId="0" fillId="5" borderId="0" xfId="0" applyFill="1" applyBorder="1" applyProtection="1"/>
    <xf numFmtId="0" fontId="0" fillId="5" borderId="31" xfId="0" applyFill="1" applyBorder="1" applyProtection="1"/>
    <xf numFmtId="0" fontId="76" fillId="5" borderId="26" xfId="0" applyFont="1" applyFill="1" applyBorder="1" applyProtection="1"/>
    <xf numFmtId="0" fontId="65" fillId="5" borderId="31" xfId="0" applyFont="1" applyFill="1" applyBorder="1" applyAlignment="1" applyProtection="1">
      <alignment vertical="center" textRotation="255"/>
    </xf>
    <xf numFmtId="0" fontId="0" fillId="5" borderId="20" xfId="0" applyFill="1" applyBorder="1" applyProtection="1"/>
    <xf numFmtId="0" fontId="0" fillId="5" borderId="21" xfId="0" applyFill="1" applyBorder="1" applyProtection="1"/>
    <xf numFmtId="0" fontId="65" fillId="5" borderId="22" xfId="0" applyFont="1" applyFill="1" applyBorder="1" applyAlignment="1" applyProtection="1">
      <alignment vertical="center" textRotation="255"/>
    </xf>
    <xf numFmtId="0" fontId="0" fillId="38" borderId="17" xfId="0" applyFill="1" applyBorder="1" applyProtection="1"/>
    <xf numFmtId="0" fontId="0" fillId="38" borderId="18" xfId="0" applyFill="1" applyBorder="1" applyProtection="1"/>
    <xf numFmtId="0" fontId="65" fillId="38" borderId="19" xfId="0" applyFont="1" applyFill="1" applyBorder="1" applyAlignment="1" applyProtection="1">
      <alignment vertical="center" textRotation="255"/>
    </xf>
    <xf numFmtId="0" fontId="0" fillId="39" borderId="17" xfId="0" applyFill="1" applyBorder="1" applyProtection="1"/>
    <xf numFmtId="0" fontId="0" fillId="39" borderId="18" xfId="0" applyFill="1" applyBorder="1" applyProtection="1"/>
    <xf numFmtId="0" fontId="65" fillId="39" borderId="19" xfId="0" applyFont="1" applyFill="1" applyBorder="1" applyAlignment="1" applyProtection="1">
      <alignment vertical="center" textRotation="255"/>
    </xf>
    <xf numFmtId="0" fontId="0" fillId="39" borderId="26" xfId="0" applyFill="1" applyBorder="1" applyProtection="1"/>
    <xf numFmtId="0" fontId="0" fillId="39" borderId="0" xfId="0" applyFill="1" applyBorder="1" applyProtection="1"/>
    <xf numFmtId="0" fontId="65" fillId="39" borderId="31" xfId="0" applyFont="1" applyFill="1" applyBorder="1" applyAlignment="1" applyProtection="1">
      <alignment vertical="center" textRotation="255"/>
    </xf>
    <xf numFmtId="0" fontId="0" fillId="39" borderId="20" xfId="0" applyFill="1" applyBorder="1" applyProtection="1"/>
    <xf numFmtId="0" fontId="0" fillId="39" borderId="21" xfId="0" applyFill="1" applyBorder="1" applyProtection="1"/>
    <xf numFmtId="0" fontId="65" fillId="39" borderId="22" xfId="0" applyFont="1" applyFill="1" applyBorder="1" applyAlignment="1" applyProtection="1">
      <alignment vertical="center" textRotation="255"/>
    </xf>
    <xf numFmtId="0" fontId="0" fillId="40" borderId="0" xfId="0" applyFill="1" applyProtection="1"/>
    <xf numFmtId="0" fontId="60" fillId="40" borderId="0" xfId="0" applyFont="1" applyFill="1" applyAlignment="1" applyProtection="1">
      <alignment horizontal="center" vertical="center"/>
      <protection locked="0"/>
    </xf>
    <xf numFmtId="0" fontId="74" fillId="40" borderId="0" xfId="0" applyFont="1" applyFill="1" applyAlignment="1" applyProtection="1">
      <alignment horizontal="center" vertical="center"/>
      <protection locked="0"/>
    </xf>
    <xf numFmtId="0" fontId="56" fillId="40" borderId="0" xfId="0" applyFont="1" applyFill="1" applyAlignment="1" applyProtection="1">
      <alignment horizontal="center" vertical="center"/>
      <protection locked="0"/>
    </xf>
    <xf numFmtId="0" fontId="0" fillId="40" borderId="0" xfId="0" applyFill="1" applyProtection="1">
      <protection locked="0"/>
    </xf>
    <xf numFmtId="0" fontId="29" fillId="40" borderId="0" xfId="0" applyFont="1" applyFill="1" applyProtection="1">
      <protection locked="0"/>
    </xf>
    <xf numFmtId="1" fontId="29" fillId="40" borderId="0" xfId="0" quotePrefix="1" applyNumberFormat="1" applyFont="1" applyFill="1" applyProtection="1">
      <protection locked="0"/>
    </xf>
    <xf numFmtId="0" fontId="60" fillId="40" borderId="0" xfId="0" applyFont="1" applyFill="1" applyAlignment="1" applyProtection="1">
      <alignment horizontal="left" vertical="center"/>
      <protection locked="0"/>
    </xf>
    <xf numFmtId="1" fontId="29" fillId="40" borderId="0" xfId="0" applyNumberFormat="1" applyFont="1" applyFill="1" applyAlignment="1" applyProtection="1">
      <alignment horizontal="left" vertical="center"/>
      <protection locked="0"/>
    </xf>
    <xf numFmtId="0" fontId="40" fillId="40" borderId="0" xfId="0" applyFont="1" applyFill="1" applyAlignment="1" applyProtection="1">
      <alignment horizontal="left" vertical="center"/>
      <protection locked="0"/>
    </xf>
    <xf numFmtId="0" fontId="40" fillId="40" borderId="0" xfId="0" applyFont="1" applyFill="1" applyProtection="1">
      <protection locked="0"/>
    </xf>
    <xf numFmtId="0" fontId="30" fillId="40" borderId="0" xfId="0" applyFont="1" applyFill="1" applyBorder="1" applyAlignment="1" applyProtection="1">
      <protection locked="0"/>
    </xf>
    <xf numFmtId="2" fontId="55" fillId="40" borderId="0" xfId="0" applyNumberFormat="1" applyFont="1" applyFill="1" applyBorder="1" applyAlignment="1" applyProtection="1">
      <alignment horizontal="center"/>
      <protection locked="0"/>
    </xf>
    <xf numFmtId="0" fontId="70" fillId="40" borderId="0" xfId="10" applyFont="1" applyFill="1" applyAlignment="1" applyProtection="1">
      <alignment horizontal="center" vertical="center"/>
    </xf>
    <xf numFmtId="0" fontId="32" fillId="0" borderId="1" xfId="0" applyFont="1" applyBorder="1" applyProtection="1">
      <protection locked="0"/>
    </xf>
    <xf numFmtId="0" fontId="32" fillId="0" borderId="32" xfId="0" applyFont="1" applyBorder="1" applyProtection="1">
      <protection locked="0"/>
    </xf>
    <xf numFmtId="0" fontId="97" fillId="2" borderId="1" xfId="0" applyFont="1" applyFill="1" applyBorder="1" applyAlignment="1" applyProtection="1">
      <alignment horizontal="left" vertical="center"/>
      <protection locked="0"/>
    </xf>
    <xf numFmtId="3" fontId="97" fillId="0" borderId="1" xfId="0" applyNumberFormat="1" applyFont="1" applyBorder="1" applyAlignment="1" applyProtection="1">
      <alignment horizontal="center" vertical="center"/>
      <protection locked="0"/>
    </xf>
    <xf numFmtId="0" fontId="70" fillId="37" borderId="23" xfId="10" applyFont="1" applyFill="1" applyBorder="1" applyAlignment="1" applyProtection="1">
      <alignment horizontal="center" vertical="center"/>
    </xf>
    <xf numFmtId="0" fontId="70" fillId="37" borderId="24" xfId="10" applyFont="1" applyFill="1" applyBorder="1" applyAlignment="1" applyProtection="1">
      <alignment horizontal="center" vertical="center"/>
    </xf>
    <xf numFmtId="0" fontId="70" fillId="37" borderId="25" xfId="10" applyFont="1" applyFill="1" applyBorder="1" applyAlignment="1" applyProtection="1">
      <alignment horizontal="center" vertical="center"/>
    </xf>
    <xf numFmtId="0" fontId="56" fillId="33" borderId="20" xfId="0" applyFont="1" applyFill="1" applyBorder="1" applyAlignment="1" applyProtection="1">
      <alignment horizontal="center" vertical="center"/>
      <protection locked="0"/>
    </xf>
    <xf numFmtId="0" fontId="56" fillId="33" borderId="21" xfId="0" applyFont="1" applyFill="1" applyBorder="1" applyAlignment="1" applyProtection="1">
      <alignment horizontal="center" vertical="center"/>
      <protection locked="0"/>
    </xf>
    <xf numFmtId="0" fontId="56" fillId="33" borderId="22" xfId="0" applyFont="1" applyFill="1" applyBorder="1" applyAlignment="1" applyProtection="1">
      <alignment horizontal="center" vertical="center"/>
      <protection locked="0"/>
    </xf>
    <xf numFmtId="1" fontId="81" fillId="10" borderId="0" xfId="0" applyNumberFormat="1" applyFont="1" applyFill="1" applyBorder="1" applyAlignment="1" applyProtection="1">
      <alignment horizontal="left" vertical="center"/>
      <protection locked="0"/>
    </xf>
    <xf numFmtId="1" fontId="81" fillId="10" borderId="31" xfId="0" applyNumberFormat="1" applyFont="1" applyFill="1" applyBorder="1" applyAlignment="1" applyProtection="1">
      <alignment horizontal="left" vertical="center"/>
      <protection locked="0"/>
    </xf>
    <xf numFmtId="0" fontId="83" fillId="10" borderId="0" xfId="0" applyFont="1" applyFill="1" applyBorder="1" applyAlignment="1" applyProtection="1">
      <alignment horizontal="left" vertical="center"/>
      <protection locked="0"/>
    </xf>
    <xf numFmtId="0" fontId="83" fillId="10" borderId="31" xfId="0" applyFont="1" applyFill="1" applyBorder="1" applyAlignment="1" applyProtection="1">
      <alignment horizontal="left" vertical="center"/>
      <protection locked="0"/>
    </xf>
    <xf numFmtId="0" fontId="82" fillId="10" borderId="0" xfId="0" applyFont="1" applyFill="1" applyBorder="1" applyAlignment="1" applyProtection="1">
      <alignment horizontal="left" vertical="center"/>
      <protection locked="0"/>
    </xf>
    <xf numFmtId="0" fontId="82" fillId="10" borderId="31" xfId="0" applyFont="1" applyFill="1" applyBorder="1" applyAlignment="1" applyProtection="1">
      <alignment horizontal="left" vertical="center"/>
      <protection locked="0"/>
    </xf>
    <xf numFmtId="0" fontId="96" fillId="40" borderId="17" xfId="0" applyFont="1" applyFill="1" applyBorder="1" applyAlignment="1" applyProtection="1">
      <alignment horizontal="center"/>
    </xf>
    <xf numFmtId="0" fontId="96" fillId="40" borderId="18" xfId="0" applyFont="1" applyFill="1" applyBorder="1" applyAlignment="1" applyProtection="1">
      <alignment horizontal="center"/>
    </xf>
    <xf numFmtId="0" fontId="96" fillId="40" borderId="19" xfId="0" applyFont="1" applyFill="1" applyBorder="1" applyAlignment="1" applyProtection="1">
      <alignment horizontal="center"/>
    </xf>
    <xf numFmtId="0" fontId="6" fillId="8" borderId="17" xfId="0" applyFont="1" applyFill="1" applyBorder="1" applyAlignment="1" applyProtection="1">
      <alignment horizontal="left" vertical="center" wrapText="1"/>
    </xf>
    <xf numFmtId="0" fontId="6" fillId="8" borderId="18" xfId="0" applyFont="1" applyFill="1" applyBorder="1" applyAlignment="1" applyProtection="1">
      <alignment horizontal="left" vertical="center" wrapText="1"/>
    </xf>
    <xf numFmtId="0" fontId="6" fillId="8" borderId="19" xfId="0" applyFont="1" applyFill="1" applyBorder="1" applyAlignment="1" applyProtection="1">
      <alignment horizontal="left" vertical="center" wrapText="1"/>
    </xf>
    <xf numFmtId="0" fontId="6" fillId="8" borderId="26" xfId="0" applyFont="1" applyFill="1" applyBorder="1" applyAlignment="1" applyProtection="1">
      <alignment horizontal="left" vertical="center" wrapText="1"/>
    </xf>
    <xf numFmtId="0" fontId="6" fillId="8" borderId="0" xfId="0" applyFont="1" applyFill="1" applyBorder="1" applyAlignment="1" applyProtection="1">
      <alignment horizontal="left" vertical="center" wrapText="1"/>
    </xf>
    <xf numFmtId="0" fontId="6" fillId="8" borderId="31" xfId="0" applyFont="1" applyFill="1" applyBorder="1" applyAlignment="1" applyProtection="1">
      <alignment horizontal="left" vertical="center" wrapText="1"/>
    </xf>
    <xf numFmtId="0" fontId="78" fillId="30" borderId="26" xfId="0" applyFont="1" applyFill="1" applyBorder="1" applyAlignment="1" applyProtection="1">
      <alignment horizontal="center" vertical="center"/>
      <protection locked="0"/>
    </xf>
    <xf numFmtId="0" fontId="78" fillId="30" borderId="0" xfId="0" applyFont="1" applyFill="1" applyBorder="1" applyAlignment="1" applyProtection="1">
      <alignment horizontal="center" vertical="center"/>
      <protection locked="0"/>
    </xf>
    <xf numFmtId="0" fontId="78" fillId="30" borderId="31" xfId="0" applyFont="1" applyFill="1" applyBorder="1" applyAlignment="1" applyProtection="1">
      <alignment horizontal="center" vertical="center"/>
      <protection locked="0"/>
    </xf>
    <xf numFmtId="0" fontId="78" fillId="30" borderId="20" xfId="0" applyFont="1" applyFill="1" applyBorder="1" applyAlignment="1" applyProtection="1">
      <alignment horizontal="center" vertical="center"/>
      <protection locked="0"/>
    </xf>
    <xf numFmtId="0" fontId="78" fillId="30" borderId="21" xfId="0" applyFont="1" applyFill="1" applyBorder="1" applyAlignment="1" applyProtection="1">
      <alignment horizontal="center" vertical="center"/>
      <protection locked="0"/>
    </xf>
    <xf numFmtId="0" fontId="78" fillId="30" borderId="22" xfId="0" applyFont="1" applyFill="1" applyBorder="1" applyAlignment="1" applyProtection="1">
      <alignment horizontal="center" vertical="center"/>
      <protection locked="0"/>
    </xf>
    <xf numFmtId="0" fontId="89" fillId="36" borderId="18" xfId="0" applyFont="1" applyFill="1" applyBorder="1" applyAlignment="1" applyProtection="1">
      <alignment horizontal="center"/>
      <protection locked="0"/>
    </xf>
    <xf numFmtId="0" fontId="89" fillId="36" borderId="19" xfId="0" applyFont="1" applyFill="1" applyBorder="1" applyAlignment="1" applyProtection="1">
      <alignment horizontal="center"/>
      <protection locked="0"/>
    </xf>
    <xf numFmtId="0" fontId="77" fillId="27" borderId="17" xfId="0" applyFont="1" applyFill="1" applyBorder="1" applyAlignment="1" applyProtection="1">
      <alignment horizontal="center" vertical="center" wrapText="1"/>
      <protection locked="0"/>
    </xf>
    <xf numFmtId="0" fontId="77" fillId="27" borderId="18" xfId="0" applyFont="1" applyFill="1" applyBorder="1" applyAlignment="1" applyProtection="1">
      <alignment horizontal="center" vertical="center" wrapText="1"/>
      <protection locked="0"/>
    </xf>
    <xf numFmtId="0" fontId="77" fillId="27" borderId="19" xfId="0" applyFont="1" applyFill="1" applyBorder="1" applyAlignment="1" applyProtection="1">
      <alignment horizontal="center" vertical="center" wrapText="1"/>
      <protection locked="0"/>
    </xf>
    <xf numFmtId="0" fontId="77" fillId="27" borderId="26" xfId="0" applyFont="1" applyFill="1" applyBorder="1" applyAlignment="1" applyProtection="1">
      <alignment horizontal="center" vertical="center" wrapText="1"/>
      <protection locked="0"/>
    </xf>
    <xf numFmtId="0" fontId="77" fillId="27" borderId="0" xfId="0" applyFont="1" applyFill="1" applyBorder="1" applyAlignment="1" applyProtection="1">
      <alignment horizontal="center" vertical="center" wrapText="1"/>
      <protection locked="0"/>
    </xf>
    <xf numFmtId="0" fontId="77" fillId="27" borderId="31" xfId="0" applyFont="1" applyFill="1" applyBorder="1" applyAlignment="1" applyProtection="1">
      <alignment horizontal="center" vertical="center" wrapText="1"/>
      <protection locked="0"/>
    </xf>
    <xf numFmtId="0" fontId="60" fillId="5" borderId="0" xfId="0" applyFont="1" applyFill="1" applyBorder="1" applyAlignment="1" applyProtection="1">
      <alignment horizontal="center"/>
    </xf>
    <xf numFmtId="0" fontId="90" fillId="36" borderId="23" xfId="0" applyFont="1" applyFill="1" applyBorder="1" applyAlignment="1" applyProtection="1">
      <alignment horizontal="center" vertical="center"/>
    </xf>
    <xf numFmtId="0" fontId="90" fillId="36" borderId="24" xfId="0" applyFont="1" applyFill="1" applyBorder="1" applyAlignment="1" applyProtection="1">
      <alignment horizontal="center" vertical="center"/>
    </xf>
    <xf numFmtId="0" fontId="90" fillId="36" borderId="25" xfId="0" applyFont="1" applyFill="1" applyBorder="1" applyAlignment="1" applyProtection="1">
      <alignment horizontal="center" vertical="center"/>
    </xf>
    <xf numFmtId="0" fontId="84" fillId="8" borderId="17" xfId="0" applyFont="1" applyFill="1" applyBorder="1" applyAlignment="1" applyProtection="1">
      <alignment horizontal="center" vertical="center"/>
    </xf>
    <xf numFmtId="0" fontId="85" fillId="8" borderId="18" xfId="0" applyFont="1" applyFill="1" applyBorder="1"/>
    <xf numFmtId="0" fontId="85" fillId="8" borderId="19" xfId="0" applyFont="1" applyFill="1" applyBorder="1"/>
    <xf numFmtId="0" fontId="91" fillId="40" borderId="26" xfId="0" applyFont="1" applyFill="1" applyBorder="1" applyAlignment="1" applyProtection="1">
      <alignment horizontal="center" vertical="center"/>
    </xf>
    <xf numFmtId="0" fontId="91" fillId="40" borderId="0" xfId="0" applyFont="1" applyFill="1" applyBorder="1" applyAlignment="1" applyProtection="1">
      <alignment horizontal="center" vertical="center"/>
    </xf>
    <xf numFmtId="0" fontId="91" fillId="40" borderId="20" xfId="0" applyFont="1" applyFill="1" applyBorder="1" applyAlignment="1" applyProtection="1">
      <alignment horizontal="center" vertical="center"/>
    </xf>
    <xf numFmtId="0" fontId="91" fillId="40" borderId="21" xfId="0" applyFont="1" applyFill="1" applyBorder="1" applyAlignment="1" applyProtection="1">
      <alignment horizontal="center" vertical="center"/>
    </xf>
    <xf numFmtId="0" fontId="1" fillId="13" borderId="26" xfId="11" applyFill="1" applyBorder="1" applyAlignment="1">
      <alignment horizontal="center"/>
    </xf>
    <xf numFmtId="0" fontId="1" fillId="13" borderId="31" xfId="11" applyFill="1" applyBorder="1" applyAlignment="1">
      <alignment horizontal="center"/>
    </xf>
    <xf numFmtId="0" fontId="93" fillId="8" borderId="0" xfId="11" applyFont="1" applyFill="1" applyAlignment="1">
      <alignment horizontal="center" vertical="center"/>
    </xf>
    <xf numFmtId="0" fontId="94" fillId="13" borderId="26" xfId="11" applyFont="1" applyFill="1" applyBorder="1" applyAlignment="1">
      <alignment horizontal="center"/>
    </xf>
    <xf numFmtId="0" fontId="94" fillId="13" borderId="31" xfId="11" applyFont="1" applyFill="1" applyBorder="1" applyAlignment="1">
      <alignment horizontal="center"/>
    </xf>
    <xf numFmtId="0" fontId="0" fillId="8" borderId="13" xfId="0" applyFill="1" applyBorder="1" applyAlignment="1" applyProtection="1">
      <alignment horizontal="center"/>
    </xf>
    <xf numFmtId="0" fontId="0" fillId="15" borderId="13" xfId="0" applyFill="1" applyBorder="1" applyAlignment="1" applyProtection="1">
      <alignment horizontal="center"/>
    </xf>
    <xf numFmtId="0" fontId="0" fillId="24" borderId="13" xfId="0" applyFill="1" applyBorder="1" applyAlignment="1" applyProtection="1">
      <alignment horizontal="center"/>
    </xf>
    <xf numFmtId="0" fontId="5" fillId="3" borderId="13" xfId="0" applyFont="1" applyFill="1" applyBorder="1" applyAlignment="1" applyProtection="1">
      <alignment horizontal="center"/>
    </xf>
    <xf numFmtId="0" fontId="0" fillId="0" borderId="10" xfId="0" applyBorder="1" applyAlignment="1" applyProtection="1">
      <alignment horizontal="center" vertical="top" wrapText="1"/>
    </xf>
    <xf numFmtId="0" fontId="0" fillId="0" borderId="12" xfId="0" applyBorder="1" applyAlignment="1" applyProtection="1">
      <alignment horizontal="center" vertical="top" wrapText="1"/>
    </xf>
    <xf numFmtId="0" fontId="0" fillId="0" borderId="11" xfId="0" applyBorder="1" applyAlignment="1" applyProtection="1">
      <alignment horizontal="center" vertical="top" wrapText="1"/>
    </xf>
    <xf numFmtId="0" fontId="6" fillId="8" borderId="2" xfId="0" applyFont="1" applyFill="1" applyBorder="1" applyAlignment="1" applyProtection="1">
      <alignment horizontal="center" vertical="center"/>
      <protection locked="0"/>
    </xf>
    <xf numFmtId="0" fontId="6" fillId="8" borderId="4" xfId="0" applyFont="1" applyFill="1" applyBorder="1" applyAlignment="1" applyProtection="1">
      <alignment horizontal="center" vertical="center"/>
      <protection locked="0"/>
    </xf>
    <xf numFmtId="0" fontId="62" fillId="15" borderId="0" xfId="0" applyFont="1" applyFill="1" applyAlignment="1" applyProtection="1">
      <alignment horizontal="center" vertical="center"/>
      <protection locked="0"/>
    </xf>
    <xf numFmtId="0" fontId="73" fillId="8" borderId="0" xfId="0" applyFont="1" applyFill="1" applyAlignment="1" applyProtection="1">
      <alignment horizontal="center" vertical="center"/>
    </xf>
    <xf numFmtId="0" fontId="41" fillId="16" borderId="10" xfId="0" applyFont="1" applyFill="1" applyBorder="1" applyAlignment="1" applyProtection="1">
      <alignment horizontal="center" vertical="center"/>
      <protection locked="0"/>
    </xf>
    <xf numFmtId="0" fontId="41" fillId="16" borderId="12" xfId="0" applyFont="1" applyFill="1" applyBorder="1" applyAlignment="1" applyProtection="1">
      <alignment horizontal="center" vertical="center"/>
      <protection locked="0"/>
    </xf>
    <xf numFmtId="0" fontId="36" fillId="7" borderId="5" xfId="0" applyFont="1" applyFill="1" applyBorder="1" applyAlignment="1" applyProtection="1">
      <alignment horizontal="center" vertical="center"/>
      <protection locked="0"/>
    </xf>
    <xf numFmtId="0" fontId="36" fillId="7" borderId="15" xfId="0" applyFont="1" applyFill="1" applyBorder="1" applyAlignment="1" applyProtection="1">
      <alignment horizontal="center" vertical="center"/>
      <protection locked="0"/>
    </xf>
    <xf numFmtId="0" fontId="36" fillId="7" borderId="6" xfId="0" applyFont="1" applyFill="1" applyBorder="1" applyAlignment="1" applyProtection="1">
      <alignment horizontal="center" vertical="center"/>
      <protection locked="0"/>
    </xf>
    <xf numFmtId="0" fontId="36" fillId="7" borderId="13" xfId="0" applyFont="1" applyFill="1" applyBorder="1" applyAlignment="1" applyProtection="1">
      <alignment horizontal="center" vertical="center"/>
      <protection locked="0"/>
    </xf>
    <xf numFmtId="0" fontId="42" fillId="16" borderId="10" xfId="0" applyFont="1" applyFill="1" applyBorder="1" applyAlignment="1" applyProtection="1">
      <alignment horizontal="center" vertical="center" wrapText="1"/>
    </xf>
    <xf numFmtId="0" fontId="42" fillId="16" borderId="12" xfId="0" applyFont="1" applyFill="1" applyBorder="1" applyAlignment="1" applyProtection="1">
      <alignment wrapText="1"/>
    </xf>
    <xf numFmtId="0" fontId="42" fillId="16" borderId="11" xfId="0" applyFont="1" applyFill="1" applyBorder="1" applyAlignment="1" applyProtection="1">
      <alignment wrapText="1"/>
    </xf>
    <xf numFmtId="0" fontId="38" fillId="19" borderId="6" xfId="0" applyFont="1" applyFill="1" applyBorder="1" applyAlignment="1" applyProtection="1">
      <alignment horizontal="center" vertical="center"/>
      <protection locked="0"/>
    </xf>
    <xf numFmtId="0" fontId="38" fillId="19" borderId="11" xfId="0" applyFont="1" applyFill="1" applyBorder="1" applyAlignment="1" applyProtection="1">
      <alignment horizontal="center" vertical="center"/>
      <protection locked="0"/>
    </xf>
    <xf numFmtId="0" fontId="42" fillId="8" borderId="10" xfId="0" applyFont="1" applyFill="1" applyBorder="1" applyAlignment="1" applyProtection="1">
      <alignment horizontal="center" vertical="center" wrapText="1"/>
    </xf>
    <xf numFmtId="0" fontId="42" fillId="8" borderId="11" xfId="0" applyFont="1" applyFill="1" applyBorder="1" applyAlignment="1" applyProtection="1">
      <alignment horizontal="center" vertical="center" wrapText="1"/>
    </xf>
    <xf numFmtId="0" fontId="0" fillId="25" borderId="0" xfId="0" applyFill="1" applyAlignment="1" applyProtection="1">
      <alignment horizontal="center" vertical="center"/>
      <protection locked="0"/>
    </xf>
    <xf numFmtId="0" fontId="67" fillId="28" borderId="10" xfId="0" applyFont="1" applyFill="1" applyBorder="1" applyAlignment="1" applyProtection="1">
      <alignment horizontal="center" vertical="top" wrapText="1"/>
    </xf>
    <xf numFmtId="0" fontId="67" fillId="28" borderId="12" xfId="0" applyFont="1" applyFill="1" applyBorder="1" applyAlignment="1" applyProtection="1">
      <alignment horizontal="center" vertical="top" wrapText="1"/>
    </xf>
    <xf numFmtId="0" fontId="67" fillId="28" borderId="11" xfId="0" applyFont="1" applyFill="1" applyBorder="1" applyAlignment="1" applyProtection="1">
      <alignment horizontal="center" vertical="top" wrapText="1"/>
    </xf>
    <xf numFmtId="0" fontId="72" fillId="27" borderId="15" xfId="0" applyFont="1" applyFill="1" applyBorder="1" applyAlignment="1" applyProtection="1">
      <alignment horizontal="center" vertical="center"/>
      <protection locked="0"/>
    </xf>
    <xf numFmtId="0" fontId="72" fillId="27" borderId="8" xfId="0" applyFont="1" applyFill="1" applyBorder="1" applyAlignment="1" applyProtection="1">
      <alignment horizontal="center" vertical="center"/>
      <protection locked="0"/>
    </xf>
    <xf numFmtId="0" fontId="72" fillId="27" borderId="0" xfId="0" applyFont="1" applyFill="1" applyBorder="1" applyAlignment="1" applyProtection="1">
      <alignment horizontal="center" vertical="center"/>
      <protection locked="0"/>
    </xf>
    <xf numFmtId="0" fontId="72" fillId="27" borderId="16" xfId="0" applyFont="1" applyFill="1" applyBorder="1" applyAlignment="1" applyProtection="1">
      <alignment horizontal="center" vertical="center"/>
      <protection locked="0"/>
    </xf>
    <xf numFmtId="0" fontId="4" fillId="0" borderId="5" xfId="0" applyFont="1" applyFill="1" applyBorder="1" applyAlignment="1" applyProtection="1">
      <alignment horizontal="center" vertical="center" textRotation="90"/>
      <protection locked="0"/>
    </xf>
    <xf numFmtId="0" fontId="4" fillId="0" borderId="7" xfId="0" applyFont="1" applyFill="1" applyBorder="1" applyAlignment="1" applyProtection="1">
      <alignment horizontal="center" vertical="center" textRotation="90"/>
      <protection locked="0"/>
    </xf>
    <xf numFmtId="0" fontId="4" fillId="0" borderId="6" xfId="0" applyFont="1" applyFill="1" applyBorder="1" applyAlignment="1" applyProtection="1">
      <alignment horizontal="center" vertical="center" textRotation="90"/>
      <protection locked="0"/>
    </xf>
    <xf numFmtId="0" fontId="4" fillId="0" borderId="1" xfId="0" applyFont="1" applyFill="1" applyBorder="1" applyAlignment="1" applyProtection="1">
      <alignment horizontal="center" vertical="center" shrinkToFit="1"/>
      <protection locked="0"/>
    </xf>
    <xf numFmtId="0" fontId="4" fillId="0" borderId="1" xfId="0" applyFont="1" applyFill="1" applyBorder="1" applyAlignment="1" applyProtection="1">
      <alignment horizontal="center" vertical="center" wrapText="1"/>
      <protection locked="0"/>
    </xf>
    <xf numFmtId="0" fontId="4" fillId="0" borderId="2" xfId="0" applyFont="1" applyFill="1" applyBorder="1" applyAlignment="1" applyProtection="1">
      <alignment horizontal="center" vertical="center" textRotation="90" wrapText="1"/>
      <protection locked="0"/>
    </xf>
    <xf numFmtId="0" fontId="4" fillId="0" borderId="3" xfId="0" applyFont="1" applyFill="1" applyBorder="1" applyAlignment="1" applyProtection="1">
      <alignment horizontal="center" vertical="center" textRotation="90" wrapText="1"/>
      <protection locked="0"/>
    </xf>
    <xf numFmtId="0" fontId="4" fillId="0" borderId="4" xfId="0" applyFont="1" applyFill="1" applyBorder="1" applyAlignment="1" applyProtection="1">
      <alignment horizontal="center" vertical="center" textRotation="90" wrapText="1"/>
      <protection locked="0"/>
    </xf>
    <xf numFmtId="0" fontId="48" fillId="0" borderId="10" xfId="0" applyFont="1" applyBorder="1" applyAlignment="1" applyProtection="1">
      <alignment horizontal="center" vertical="center"/>
      <protection locked="0"/>
    </xf>
    <xf numFmtId="0" fontId="48" fillId="0" borderId="12" xfId="0" applyFont="1" applyBorder="1" applyAlignment="1" applyProtection="1">
      <alignment horizontal="center" vertical="center"/>
      <protection locked="0"/>
    </xf>
    <xf numFmtId="0" fontId="49" fillId="0" borderId="10" xfId="0" applyFont="1" applyBorder="1" applyAlignment="1" applyProtection="1">
      <alignment horizontal="center" vertical="center"/>
      <protection locked="0"/>
    </xf>
    <xf numFmtId="0" fontId="49" fillId="0" borderId="12" xfId="0" applyFont="1" applyBorder="1" applyAlignment="1" applyProtection="1">
      <alignment horizontal="center" vertical="center"/>
      <protection locked="0"/>
    </xf>
    <xf numFmtId="0" fontId="49" fillId="0" borderId="11" xfId="0" applyFont="1" applyBorder="1" applyAlignment="1" applyProtection="1">
      <alignment horizontal="center" vertical="center"/>
      <protection locked="0"/>
    </xf>
    <xf numFmtId="0" fontId="46" fillId="0" borderId="1" xfId="0" applyFont="1" applyBorder="1" applyAlignment="1" applyProtection="1">
      <alignment horizontal="center" vertical="center"/>
      <protection locked="0"/>
    </xf>
    <xf numFmtId="0" fontId="47" fillId="0" borderId="1" xfId="0" applyFont="1" applyBorder="1" applyAlignment="1" applyProtection="1">
      <alignment horizontal="center" vertical="center"/>
      <protection locked="0"/>
    </xf>
    <xf numFmtId="0" fontId="48" fillId="0" borderId="1" xfId="0" applyFont="1" applyBorder="1" applyAlignment="1" applyProtection="1">
      <alignment horizontal="center" vertical="center"/>
      <protection locked="0"/>
    </xf>
    <xf numFmtId="0" fontId="0" fillId="0" borderId="0" xfId="0" applyBorder="1" applyAlignment="1" applyProtection="1">
      <alignment horizontal="left"/>
      <protection locked="0"/>
    </xf>
    <xf numFmtId="0" fontId="5" fillId="0" borderId="1" xfId="0" applyFont="1" applyBorder="1" applyAlignment="1" applyProtection="1">
      <alignment horizontal="center" vertical="center"/>
      <protection locked="0"/>
    </xf>
    <xf numFmtId="0" fontId="5" fillId="20" borderId="10" xfId="0" applyFont="1" applyFill="1" applyBorder="1" applyAlignment="1" applyProtection="1">
      <alignment horizontal="center" vertical="center"/>
      <protection locked="0"/>
    </xf>
    <xf numFmtId="0" fontId="5" fillId="20" borderId="12" xfId="0" applyFont="1" applyFill="1" applyBorder="1" applyAlignment="1" applyProtection="1">
      <alignment horizontal="center" vertical="center"/>
      <protection locked="0"/>
    </xf>
    <xf numFmtId="0" fontId="5" fillId="20" borderId="11" xfId="0" applyFont="1" applyFill="1" applyBorder="1" applyAlignment="1" applyProtection="1">
      <alignment horizontal="center" vertical="center"/>
      <protection locked="0"/>
    </xf>
    <xf numFmtId="0" fontId="5" fillId="22" borderId="10" xfId="0" quotePrefix="1" applyFont="1" applyFill="1" applyBorder="1" applyAlignment="1" applyProtection="1">
      <alignment horizontal="center" vertical="center"/>
      <protection locked="0"/>
    </xf>
    <xf numFmtId="0" fontId="5" fillId="22" borderId="12" xfId="0" quotePrefix="1" applyFont="1" applyFill="1" applyBorder="1" applyAlignment="1" applyProtection="1">
      <alignment horizontal="center" vertical="center"/>
      <protection locked="0"/>
    </xf>
    <xf numFmtId="0" fontId="5" fillId="22" borderId="11" xfId="0" quotePrefix="1" applyFont="1" applyFill="1" applyBorder="1" applyAlignment="1" applyProtection="1">
      <alignment horizontal="center" vertical="center"/>
      <protection locked="0"/>
    </xf>
    <xf numFmtId="0" fontId="4" fillId="0" borderId="2" xfId="0" applyFont="1" applyFill="1" applyBorder="1" applyAlignment="1" applyProtection="1">
      <alignment horizontal="center" vertical="center"/>
      <protection locked="0"/>
    </xf>
    <xf numFmtId="0" fontId="4" fillId="0" borderId="3" xfId="0" applyFont="1" applyFill="1" applyBorder="1" applyAlignment="1" applyProtection="1">
      <alignment horizontal="center" vertical="center"/>
      <protection locked="0"/>
    </xf>
    <xf numFmtId="0" fontId="5" fillId="22" borderId="10" xfId="0" applyFont="1" applyFill="1" applyBorder="1" applyAlignment="1" applyProtection="1">
      <alignment horizontal="center" vertical="center"/>
      <protection locked="0"/>
    </xf>
    <xf numFmtId="0" fontId="5" fillId="22" borderId="11" xfId="0" applyFont="1" applyFill="1" applyBorder="1" applyAlignment="1" applyProtection="1">
      <alignment horizontal="center" vertical="center"/>
      <protection locked="0"/>
    </xf>
    <xf numFmtId="0" fontId="5" fillId="0" borderId="5" xfId="0" applyFont="1" applyBorder="1" applyAlignment="1" applyProtection="1">
      <alignment horizontal="center"/>
      <protection locked="0"/>
    </xf>
    <xf numFmtId="0" fontId="5" fillId="0" borderId="15" xfId="0" applyFont="1" applyBorder="1" applyAlignment="1" applyProtection="1">
      <alignment horizontal="center"/>
      <protection locked="0"/>
    </xf>
    <xf numFmtId="0" fontId="5" fillId="0" borderId="8" xfId="0" applyFont="1" applyBorder="1" applyAlignment="1" applyProtection="1">
      <alignment horizontal="center"/>
      <protection locked="0"/>
    </xf>
    <xf numFmtId="0" fontId="6" fillId="0" borderId="7" xfId="0" applyFont="1" applyBorder="1" applyAlignment="1" applyProtection="1">
      <alignment horizontal="center"/>
    </xf>
    <xf numFmtId="0" fontId="6" fillId="0" borderId="0" xfId="0" applyFont="1" applyBorder="1" applyAlignment="1" applyProtection="1">
      <alignment horizontal="center"/>
    </xf>
    <xf numFmtId="0" fontId="6" fillId="0" borderId="16" xfId="0" applyFont="1" applyBorder="1" applyAlignment="1" applyProtection="1">
      <alignment horizontal="center"/>
    </xf>
    <xf numFmtId="0" fontId="36" fillId="0" borderId="6" xfId="0" applyFont="1" applyBorder="1" applyAlignment="1" applyProtection="1">
      <alignment horizontal="center"/>
    </xf>
    <xf numFmtId="0" fontId="36" fillId="0" borderId="13" xfId="0" applyFont="1" applyBorder="1" applyAlignment="1" applyProtection="1">
      <alignment horizontal="center"/>
    </xf>
    <xf numFmtId="0" fontId="36" fillId="0" borderId="9" xfId="0" applyFont="1" applyBorder="1" applyAlignment="1" applyProtection="1">
      <alignment horizontal="center"/>
    </xf>
    <xf numFmtId="0" fontId="37" fillId="0" borderId="5" xfId="0" applyFont="1" applyFill="1" applyBorder="1" applyAlignment="1" applyProtection="1">
      <alignment horizontal="center" vertical="center"/>
      <protection locked="0"/>
    </xf>
    <xf numFmtId="0" fontId="37" fillId="0" borderId="15" xfId="0" applyFont="1" applyFill="1" applyBorder="1" applyAlignment="1" applyProtection="1">
      <alignment horizontal="center" vertical="center"/>
      <protection locked="0"/>
    </xf>
    <xf numFmtId="0" fontId="37" fillId="0" borderId="8" xfId="0" applyFont="1" applyFill="1" applyBorder="1" applyAlignment="1" applyProtection="1">
      <alignment horizontal="center" vertical="center"/>
      <protection locked="0"/>
    </xf>
    <xf numFmtId="0" fontId="37" fillId="0" borderId="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16" xfId="0" applyFont="1" applyFill="1" applyBorder="1" applyAlignment="1" applyProtection="1">
      <alignment horizontal="center" vertical="center"/>
      <protection locked="0"/>
    </xf>
    <xf numFmtId="0" fontId="37" fillId="0" borderId="6" xfId="0" applyFont="1" applyFill="1" applyBorder="1" applyAlignment="1" applyProtection="1">
      <alignment horizontal="center" vertical="center"/>
      <protection locked="0"/>
    </xf>
    <xf numFmtId="0" fontId="37" fillId="0" borderId="13" xfId="0" applyFont="1" applyFill="1" applyBorder="1" applyAlignment="1" applyProtection="1">
      <alignment horizontal="center" vertical="center"/>
      <protection locked="0"/>
    </xf>
    <xf numFmtId="0" fontId="37" fillId="0" borderId="9" xfId="0" applyFont="1" applyFill="1" applyBorder="1" applyAlignment="1" applyProtection="1">
      <alignment horizontal="center" vertical="center"/>
      <protection locked="0"/>
    </xf>
    <xf numFmtId="1" fontId="5" fillId="0" borderId="0" xfId="0" applyNumberFormat="1" applyFont="1" applyBorder="1" applyAlignment="1" applyProtection="1">
      <alignment horizontal="left"/>
    </xf>
    <xf numFmtId="0" fontId="7" fillId="0" borderId="0" xfId="0" applyFont="1" applyAlignment="1" applyProtection="1">
      <alignment horizontal="left"/>
      <protection locked="0"/>
    </xf>
    <xf numFmtId="0" fontId="64" fillId="0" borderId="1" xfId="0" applyFont="1" applyFill="1" applyBorder="1" applyAlignment="1" applyProtection="1">
      <alignment horizontal="center" vertical="center" wrapText="1"/>
    </xf>
    <xf numFmtId="0" fontId="4" fillId="0" borderId="1" xfId="0" applyFont="1" applyFill="1" applyBorder="1" applyAlignment="1" applyProtection="1">
      <alignment horizontal="center" vertical="center" wrapText="1"/>
    </xf>
    <xf numFmtId="0" fontId="4" fillId="13" borderId="1" xfId="0" applyFont="1" applyFill="1" applyBorder="1" applyAlignment="1" applyProtection="1">
      <alignment horizontal="center" vertical="center" wrapText="1"/>
      <protection locked="0"/>
    </xf>
    <xf numFmtId="0" fontId="4" fillId="35" borderId="1" xfId="0" applyFont="1" applyFill="1" applyBorder="1" applyAlignment="1" applyProtection="1">
      <alignment horizontal="center" vertical="center" wrapText="1"/>
    </xf>
    <xf numFmtId="0" fontId="4" fillId="34" borderId="1" xfId="0" applyFont="1" applyFill="1" applyBorder="1" applyAlignment="1" applyProtection="1">
      <alignment horizontal="center" vertical="center" wrapText="1"/>
    </xf>
    <xf numFmtId="0" fontId="4" fillId="33" borderId="1" xfId="0" applyFont="1" applyFill="1" applyBorder="1" applyAlignment="1" applyProtection="1">
      <alignment horizontal="center" vertical="center" wrapText="1"/>
    </xf>
    <xf numFmtId="0" fontId="4" fillId="31" borderId="1" xfId="0" applyFont="1" applyFill="1" applyBorder="1" applyAlignment="1" applyProtection="1">
      <alignment horizontal="center" vertical="center" wrapText="1"/>
    </xf>
    <xf numFmtId="0" fontId="4" fillId="4" borderId="2" xfId="0" applyFont="1" applyFill="1" applyBorder="1" applyAlignment="1" applyProtection="1">
      <alignment horizontal="center" vertical="center"/>
      <protection locked="0"/>
    </xf>
    <xf numFmtId="0" fontId="4" fillId="4"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66" fillId="30" borderId="1" xfId="0" applyFont="1" applyFill="1" applyBorder="1" applyAlignment="1" applyProtection="1">
      <alignment horizontal="center" vertical="center" wrapText="1"/>
      <protection locked="0"/>
    </xf>
    <xf numFmtId="0" fontId="4" fillId="8" borderId="1" xfId="0" applyFont="1" applyFill="1" applyBorder="1" applyAlignment="1" applyProtection="1">
      <alignment horizontal="center" vertical="center" wrapText="1"/>
    </xf>
    <xf numFmtId="0" fontId="4" fillId="4" borderId="2" xfId="0" applyFont="1" applyFill="1" applyBorder="1" applyAlignment="1" applyProtection="1">
      <alignment horizontal="center" vertical="center" wrapText="1"/>
      <protection locked="0"/>
    </xf>
    <xf numFmtId="0" fontId="4" fillId="4" borderId="4" xfId="0" applyFont="1" applyFill="1" applyBorder="1" applyAlignment="1" applyProtection="1">
      <alignment horizontal="center" vertical="center" wrapText="1"/>
      <protection locked="0"/>
    </xf>
    <xf numFmtId="0" fontId="4" fillId="17" borderId="1" xfId="0" applyFont="1" applyFill="1" applyBorder="1" applyAlignment="1" applyProtection="1">
      <alignment horizontal="center" vertical="center" wrapText="1"/>
    </xf>
    <xf numFmtId="0" fontId="66" fillId="7" borderId="2" xfId="0" applyFont="1" applyFill="1" applyBorder="1" applyAlignment="1" applyProtection="1">
      <alignment horizontal="center" vertical="center" wrapText="1"/>
      <protection locked="0"/>
    </xf>
    <xf numFmtId="0" fontId="66" fillId="7" borderId="3" xfId="0" applyFont="1" applyFill="1" applyBorder="1" applyAlignment="1" applyProtection="1">
      <alignment horizontal="center" vertical="center" wrapText="1"/>
      <protection locked="0"/>
    </xf>
    <xf numFmtId="0" fontId="66" fillId="7" borderId="4" xfId="0" applyFont="1" applyFill="1" applyBorder="1" applyAlignment="1" applyProtection="1">
      <alignment horizontal="center" vertical="center" wrapText="1"/>
      <protection locked="0"/>
    </xf>
    <xf numFmtId="0" fontId="4" fillId="6" borderId="2" xfId="0" applyFont="1" applyFill="1" applyBorder="1" applyAlignment="1" applyProtection="1">
      <alignment horizontal="left" vertical="center" textRotation="90" wrapText="1"/>
      <protection locked="0"/>
    </xf>
    <xf numFmtId="0" fontId="4" fillId="6" borderId="3" xfId="0" applyFont="1" applyFill="1" applyBorder="1" applyAlignment="1" applyProtection="1">
      <alignment horizontal="left" vertical="center" textRotation="90" wrapText="1"/>
      <protection locked="0"/>
    </xf>
    <xf numFmtId="0" fontId="4" fillId="6" borderId="4" xfId="0" applyFont="1" applyFill="1" applyBorder="1" applyAlignment="1" applyProtection="1">
      <alignment horizontal="left" vertical="center" textRotation="90" wrapText="1"/>
      <protection locked="0"/>
    </xf>
    <xf numFmtId="0" fontId="4" fillId="6" borderId="2" xfId="0" applyFont="1" applyFill="1" applyBorder="1" applyAlignment="1" applyProtection="1">
      <alignment horizontal="center" vertical="center" textRotation="90" wrapText="1"/>
      <protection locked="0"/>
    </xf>
    <xf numFmtId="0" fontId="4" fillId="6" borderId="3" xfId="0" applyFont="1" applyFill="1" applyBorder="1" applyAlignment="1" applyProtection="1">
      <alignment horizontal="center" vertical="center" textRotation="90" wrapText="1"/>
      <protection locked="0"/>
    </xf>
    <xf numFmtId="0" fontId="4" fillId="6" borderId="4" xfId="0" applyFont="1" applyFill="1" applyBorder="1" applyAlignment="1" applyProtection="1">
      <alignment horizontal="center" vertical="center" textRotation="90" wrapText="1"/>
      <protection locked="0"/>
    </xf>
    <xf numFmtId="0" fontId="4" fillId="17" borderId="5" xfId="0" applyFont="1" applyFill="1" applyBorder="1" applyAlignment="1" applyProtection="1">
      <alignment horizontal="center" vertical="center" textRotation="90"/>
      <protection locked="0"/>
    </xf>
    <xf numFmtId="0" fontId="4" fillId="17" borderId="7" xfId="0" applyFont="1" applyFill="1" applyBorder="1" applyAlignment="1" applyProtection="1">
      <alignment horizontal="center" vertical="center" textRotation="90"/>
      <protection locked="0"/>
    </xf>
    <xf numFmtId="0" fontId="4" fillId="17" borderId="6" xfId="0" applyFont="1" applyFill="1" applyBorder="1" applyAlignment="1" applyProtection="1">
      <alignment horizontal="center" vertical="center" textRotation="90"/>
      <protection locked="0"/>
    </xf>
    <xf numFmtId="0" fontId="4" fillId="17" borderId="2" xfId="0" applyFont="1" applyFill="1" applyBorder="1" applyAlignment="1" applyProtection="1">
      <alignment horizontal="center" vertical="center" textRotation="90" wrapText="1"/>
      <protection locked="0"/>
    </xf>
    <xf numFmtId="0" fontId="4" fillId="17" borderId="3" xfId="0" applyFont="1" applyFill="1" applyBorder="1" applyAlignment="1" applyProtection="1">
      <alignment horizontal="center" vertical="center" textRotation="90" wrapText="1"/>
      <protection locked="0"/>
    </xf>
    <xf numFmtId="0" fontId="4" fillId="17" borderId="4" xfId="0" applyFont="1" applyFill="1" applyBorder="1" applyAlignment="1" applyProtection="1">
      <alignment horizontal="center" vertical="center" textRotation="90" wrapText="1"/>
      <protection locked="0"/>
    </xf>
    <xf numFmtId="0" fontId="4" fillId="16" borderId="1" xfId="0" applyFont="1" applyFill="1" applyBorder="1" applyAlignment="1" applyProtection="1">
      <alignment horizontal="center" vertical="center" wrapText="1"/>
    </xf>
    <xf numFmtId="0" fontId="4" fillId="17" borderId="1" xfId="0" applyFont="1" applyFill="1" applyBorder="1" applyAlignment="1" applyProtection="1">
      <alignment horizontal="center" vertical="center" shrinkToFit="1"/>
      <protection locked="0"/>
    </xf>
    <xf numFmtId="0" fontId="4" fillId="17" borderId="1" xfId="0" applyFont="1" applyFill="1" applyBorder="1" applyAlignment="1" applyProtection="1">
      <alignment horizontal="center" vertical="center" wrapText="1"/>
      <protection locked="0"/>
    </xf>
    <xf numFmtId="0" fontId="64" fillId="31" borderId="1" xfId="0" applyFont="1" applyFill="1" applyBorder="1" applyAlignment="1" applyProtection="1">
      <alignment horizontal="center" vertical="center" wrapText="1"/>
    </xf>
    <xf numFmtId="0" fontId="4" fillId="32" borderId="1" xfId="0" applyFont="1" applyFill="1" applyBorder="1" applyAlignment="1" applyProtection="1">
      <alignment horizontal="center" vertical="center" wrapText="1"/>
    </xf>
    <xf numFmtId="0" fontId="66" fillId="27" borderId="2" xfId="0" applyFont="1" applyFill="1" applyBorder="1" applyAlignment="1" applyProtection="1">
      <alignment horizontal="center" vertical="center" wrapText="1"/>
      <protection locked="0"/>
    </xf>
    <xf numFmtId="0" fontId="66" fillId="27" borderId="3" xfId="0" applyFont="1" applyFill="1" applyBorder="1" applyAlignment="1" applyProtection="1">
      <alignment horizontal="center" vertical="center" wrapText="1"/>
      <protection locked="0"/>
    </xf>
    <xf numFmtId="0" fontId="66" fillId="27" borderId="4" xfId="0" applyFont="1" applyFill="1" applyBorder="1" applyAlignment="1" applyProtection="1">
      <alignment horizontal="center" vertical="center" wrapText="1"/>
      <protection locked="0"/>
    </xf>
    <xf numFmtId="2" fontId="4" fillId="6" borderId="2" xfId="0" applyNumberFormat="1" applyFont="1" applyFill="1" applyBorder="1" applyAlignment="1" applyProtection="1">
      <alignment horizontal="center" vertical="center" textRotation="90"/>
      <protection locked="0"/>
    </xf>
    <xf numFmtId="2" fontId="4" fillId="6" borderId="3" xfId="0" applyNumberFormat="1" applyFont="1" applyFill="1" applyBorder="1" applyAlignment="1" applyProtection="1">
      <alignment horizontal="center" vertical="center" textRotation="90"/>
      <protection locked="0"/>
    </xf>
    <xf numFmtId="2" fontId="4" fillId="6" borderId="4" xfId="0" applyNumberFormat="1" applyFont="1" applyFill="1" applyBorder="1" applyAlignment="1" applyProtection="1">
      <alignment horizontal="center" vertical="center" textRotation="90"/>
      <protection locked="0"/>
    </xf>
    <xf numFmtId="0" fontId="4" fillId="6" borderId="2" xfId="0" applyFont="1" applyFill="1" applyBorder="1" applyAlignment="1" applyProtection="1">
      <alignment horizontal="center" vertical="center" textRotation="90"/>
      <protection locked="0"/>
    </xf>
    <xf numFmtId="0" fontId="4" fillId="6" borderId="3" xfId="0" applyFont="1" applyFill="1" applyBorder="1" applyAlignment="1" applyProtection="1">
      <alignment horizontal="center" vertical="center" textRotation="90"/>
      <protection locked="0"/>
    </xf>
    <xf numFmtId="0" fontId="4" fillId="6" borderId="4" xfId="0" applyFont="1" applyFill="1" applyBorder="1" applyAlignment="1" applyProtection="1">
      <alignment horizontal="center" vertical="center" textRotation="90"/>
      <protection locked="0"/>
    </xf>
    <xf numFmtId="2" fontId="60" fillId="7" borderId="1" xfId="0" applyNumberFormat="1" applyFont="1" applyFill="1" applyBorder="1" applyAlignment="1" applyProtection="1">
      <alignment horizontal="center" vertical="center"/>
    </xf>
    <xf numFmtId="2" fontId="4" fillId="16" borderId="10" xfId="0" applyNumberFormat="1" applyFont="1" applyFill="1" applyBorder="1" applyAlignment="1" applyProtection="1">
      <alignment horizontal="center" vertical="center"/>
      <protection locked="0"/>
    </xf>
    <xf numFmtId="2" fontId="4" fillId="16" borderId="11" xfId="0" applyNumberFormat="1" applyFont="1" applyFill="1" applyBorder="1" applyAlignment="1" applyProtection="1">
      <alignment horizontal="center" vertical="center"/>
      <protection locked="0"/>
    </xf>
    <xf numFmtId="0" fontId="66" fillId="30" borderId="5" xfId="0" applyFont="1" applyFill="1" applyBorder="1" applyAlignment="1" applyProtection="1">
      <alignment horizontal="center" vertical="center"/>
      <protection locked="0"/>
    </xf>
    <xf numFmtId="0" fontId="66" fillId="30" borderId="15" xfId="0" applyFont="1" applyFill="1" applyBorder="1" applyAlignment="1" applyProtection="1">
      <alignment horizontal="center" vertical="center"/>
      <protection locked="0"/>
    </xf>
    <xf numFmtId="0" fontId="66" fillId="30" borderId="8" xfId="0" applyFont="1" applyFill="1" applyBorder="1" applyAlignment="1" applyProtection="1">
      <alignment horizontal="center" vertical="center"/>
      <protection locked="0"/>
    </xf>
    <xf numFmtId="0" fontId="0" fillId="16" borderId="1" xfId="0" applyFill="1" applyBorder="1" applyAlignment="1" applyProtection="1">
      <alignment horizontal="center"/>
    </xf>
    <xf numFmtId="0" fontId="0" fillId="0" borderId="1" xfId="0" applyBorder="1" applyAlignment="1" applyProtection="1">
      <alignment horizontal="center"/>
    </xf>
    <xf numFmtId="0" fontId="4" fillId="3" borderId="1" xfId="0" applyFont="1" applyFill="1" applyBorder="1" applyAlignment="1" applyProtection="1">
      <alignment horizontal="center" vertical="center" wrapText="1"/>
      <protection locked="0"/>
    </xf>
    <xf numFmtId="0" fontId="4" fillId="13" borderId="2" xfId="0" applyFont="1" applyFill="1" applyBorder="1" applyAlignment="1" applyProtection="1">
      <alignment horizontal="center" vertical="center" textRotation="90"/>
      <protection locked="0"/>
    </xf>
    <xf numFmtId="0" fontId="4" fillId="13" borderId="3" xfId="0" applyFont="1" applyFill="1" applyBorder="1" applyAlignment="1" applyProtection="1">
      <alignment horizontal="center" vertical="center" textRotation="90"/>
      <protection locked="0"/>
    </xf>
    <xf numFmtId="0" fontId="4" fillId="13" borderId="4" xfId="0" applyFont="1" applyFill="1" applyBorder="1" applyAlignment="1" applyProtection="1">
      <alignment horizontal="center" vertical="center" textRotation="90"/>
      <protection locked="0"/>
    </xf>
    <xf numFmtId="0" fontId="4" fillId="3" borderId="2" xfId="0" applyFont="1" applyFill="1" applyBorder="1" applyAlignment="1" applyProtection="1">
      <alignment horizontal="center" vertical="center" wrapText="1"/>
      <protection locked="0"/>
    </xf>
    <xf numFmtId="0" fontId="4" fillId="3" borderId="3" xfId="0" applyFont="1" applyFill="1" applyBorder="1" applyAlignment="1" applyProtection="1">
      <alignment horizontal="center" vertical="center" wrapText="1"/>
      <protection locked="0"/>
    </xf>
    <xf numFmtId="0" fontId="4" fillId="3" borderId="4" xfId="0" applyFont="1" applyFill="1" applyBorder="1" applyAlignment="1" applyProtection="1">
      <alignment horizontal="center" vertical="center" wrapText="1"/>
      <protection locked="0"/>
    </xf>
    <xf numFmtId="0" fontId="31" fillId="0" borderId="23" xfId="0" applyFont="1" applyFill="1" applyBorder="1" applyAlignment="1" applyProtection="1">
      <alignment horizontal="center" vertical="center"/>
      <protection locked="0"/>
    </xf>
    <xf numFmtId="0" fontId="31" fillId="0" borderId="24" xfId="0" applyFont="1" applyFill="1" applyBorder="1" applyAlignment="1" applyProtection="1">
      <alignment horizontal="center" vertical="center"/>
      <protection locked="0"/>
    </xf>
    <xf numFmtId="0" fontId="31" fillId="0" borderId="25" xfId="0" applyFont="1" applyFill="1" applyBorder="1" applyAlignment="1" applyProtection="1">
      <alignment horizontal="center" vertical="center"/>
      <protection locked="0"/>
    </xf>
    <xf numFmtId="0" fontId="86" fillId="3" borderId="1" xfId="0" applyFont="1" applyFill="1" applyBorder="1" applyAlignment="1" applyProtection="1">
      <alignment horizontal="center" vertical="center" wrapText="1"/>
      <protection locked="0"/>
    </xf>
    <xf numFmtId="0" fontId="58" fillId="0" borderId="1" xfId="0" applyFont="1" applyFill="1" applyBorder="1" applyAlignment="1" applyProtection="1">
      <alignment horizontal="center" vertical="center" wrapText="1"/>
    </xf>
    <xf numFmtId="2" fontId="4" fillId="24" borderId="2" xfId="0" applyNumberFormat="1" applyFont="1" applyFill="1" applyBorder="1" applyAlignment="1" applyProtection="1">
      <alignment horizontal="center" vertical="center" textRotation="90"/>
      <protection locked="0"/>
    </xf>
    <xf numFmtId="2" fontId="4" fillId="24" borderId="3" xfId="0" applyNumberFormat="1" applyFont="1" applyFill="1" applyBorder="1" applyAlignment="1" applyProtection="1">
      <alignment horizontal="center" vertical="center" textRotation="90"/>
      <protection locked="0"/>
    </xf>
    <xf numFmtId="2" fontId="4" fillId="24" borderId="4" xfId="0" applyNumberFormat="1" applyFont="1" applyFill="1" applyBorder="1" applyAlignment="1" applyProtection="1">
      <alignment horizontal="center" vertical="center" textRotation="90"/>
      <protection locked="0"/>
    </xf>
    <xf numFmtId="0" fontId="4" fillId="8" borderId="2" xfId="0" applyFont="1" applyFill="1" applyBorder="1" applyAlignment="1" applyProtection="1">
      <alignment horizontal="center" vertical="center" textRotation="90"/>
      <protection locked="0"/>
    </xf>
    <xf numFmtId="0" fontId="4" fillId="8" borderId="3" xfId="0" applyFont="1" applyFill="1" applyBorder="1" applyAlignment="1" applyProtection="1">
      <alignment horizontal="center" vertical="center" textRotation="90"/>
      <protection locked="0"/>
    </xf>
    <xf numFmtId="0" fontId="4" fillId="8" borderId="4" xfId="0" applyFont="1" applyFill="1" applyBorder="1" applyAlignment="1" applyProtection="1">
      <alignment horizontal="center" vertical="center" textRotation="90"/>
      <protection locked="0"/>
    </xf>
    <xf numFmtId="0" fontId="4" fillId="4" borderId="3" xfId="0" applyFont="1" applyFill="1" applyBorder="1" applyAlignment="1" applyProtection="1">
      <alignment horizontal="center" vertical="center" wrapText="1"/>
      <protection locked="0"/>
    </xf>
    <xf numFmtId="0" fontId="4" fillId="3" borderId="2" xfId="0" applyFont="1" applyFill="1" applyBorder="1" applyAlignment="1" applyProtection="1">
      <alignment horizontal="center" vertical="center" textRotation="90" wrapText="1"/>
      <protection locked="0"/>
    </xf>
    <xf numFmtId="0" fontId="4" fillId="3" borderId="3" xfId="0" applyFont="1" applyFill="1" applyBorder="1" applyAlignment="1" applyProtection="1">
      <alignment horizontal="center" vertical="center" textRotation="90" wrapText="1"/>
      <protection locked="0"/>
    </xf>
    <xf numFmtId="0" fontId="4" fillId="3" borderId="4" xfId="0" applyFont="1" applyFill="1" applyBorder="1" applyAlignment="1" applyProtection="1">
      <alignment horizontal="center" vertical="center" textRotation="90" wrapText="1"/>
      <protection locked="0"/>
    </xf>
    <xf numFmtId="0" fontId="14" fillId="5" borderId="1" xfId="0" applyFont="1" applyFill="1" applyBorder="1" applyAlignment="1" applyProtection="1">
      <alignment horizontal="center" vertical="center"/>
      <protection hidden="1"/>
    </xf>
    <xf numFmtId="0" fontId="25" fillId="12" borderId="1" xfId="9" applyNumberFormat="1" applyFont="1" applyFill="1" applyBorder="1" applyAlignment="1" applyProtection="1">
      <alignment horizontal="center" vertical="center" textRotation="90" wrapText="1"/>
      <protection locked="0"/>
    </xf>
    <xf numFmtId="0" fontId="24" fillId="11" borderId="1" xfId="9" applyNumberFormat="1" applyFont="1" applyFill="1" applyBorder="1" applyAlignment="1" applyProtection="1">
      <alignment horizontal="center" vertical="center" textRotation="90" wrapText="1"/>
      <protection locked="0"/>
    </xf>
    <xf numFmtId="0" fontId="25" fillId="12" borderId="4" xfId="9" applyNumberFormat="1" applyFont="1" applyFill="1" applyBorder="1" applyAlignment="1" applyProtection="1">
      <alignment horizontal="center" vertical="center" textRotation="90" wrapText="1"/>
      <protection locked="0"/>
    </xf>
    <xf numFmtId="0" fontId="4" fillId="14" borderId="1" xfId="0" applyFont="1" applyFill="1" applyBorder="1" applyAlignment="1" applyProtection="1">
      <alignment horizontal="center" vertical="center" wrapText="1"/>
      <protection locked="0"/>
    </xf>
    <xf numFmtId="0" fontId="59" fillId="0" borderId="26" xfId="0" applyFont="1" applyFill="1" applyBorder="1" applyAlignment="1" applyProtection="1">
      <alignment horizontal="center" vertical="center"/>
      <protection locked="0"/>
    </xf>
    <xf numFmtId="0" fontId="59" fillId="0" borderId="0" xfId="0" applyFont="1" applyFill="1" applyBorder="1" applyAlignment="1" applyProtection="1">
      <alignment horizontal="center" vertical="center"/>
      <protection locked="0"/>
    </xf>
    <xf numFmtId="0" fontId="4" fillId="14" borderId="5" xfId="0" applyFont="1" applyFill="1" applyBorder="1" applyAlignment="1" applyProtection="1">
      <alignment horizontal="center" vertical="center" wrapText="1"/>
      <protection locked="0"/>
    </xf>
    <xf numFmtId="0" fontId="4" fillId="14" borderId="15" xfId="0" applyFont="1" applyFill="1" applyBorder="1" applyAlignment="1" applyProtection="1">
      <alignment horizontal="center" vertical="center" wrapText="1"/>
      <protection locked="0"/>
    </xf>
    <xf numFmtId="0" fontId="4" fillId="14" borderId="8" xfId="0" applyFont="1" applyFill="1" applyBorder="1" applyAlignment="1" applyProtection="1">
      <alignment horizontal="center" vertical="center" wrapText="1"/>
      <protection locked="0"/>
    </xf>
    <xf numFmtId="0" fontId="4" fillId="14" borderId="7" xfId="0" applyFont="1" applyFill="1" applyBorder="1" applyAlignment="1" applyProtection="1">
      <alignment horizontal="center" vertical="center" wrapText="1"/>
      <protection locked="0"/>
    </xf>
    <xf numFmtId="0" fontId="4" fillId="14" borderId="0" xfId="0" applyFont="1" applyFill="1" applyBorder="1" applyAlignment="1" applyProtection="1">
      <alignment horizontal="center" vertical="center" wrapText="1"/>
      <protection locked="0"/>
    </xf>
    <xf numFmtId="0" fontId="4" fillId="14" borderId="16" xfId="0" applyFont="1" applyFill="1" applyBorder="1" applyAlignment="1" applyProtection="1">
      <alignment horizontal="center" vertical="center" wrapText="1"/>
      <protection locked="0"/>
    </xf>
    <xf numFmtId="0" fontId="4" fillId="14" borderId="4" xfId="0" applyFont="1" applyFill="1" applyBorder="1" applyAlignment="1" applyProtection="1">
      <alignment horizontal="center" vertical="center" wrapText="1"/>
      <protection locked="0"/>
    </xf>
    <xf numFmtId="0" fontId="75" fillId="0" borderId="0" xfId="0" applyFont="1" applyFill="1" applyBorder="1" applyAlignment="1" applyProtection="1">
      <alignment horizontal="center" vertical="top" wrapText="1"/>
    </xf>
    <xf numFmtId="0" fontId="75" fillId="0" borderId="16" xfId="0" applyFont="1" applyFill="1" applyBorder="1" applyAlignment="1" applyProtection="1">
      <alignment horizontal="center" vertical="top" wrapText="1"/>
    </xf>
    <xf numFmtId="0" fontId="0" fillId="0" borderId="5" xfId="0" applyFont="1" applyFill="1" applyBorder="1" applyAlignment="1" applyProtection="1">
      <alignment horizontal="center" vertical="center" wrapText="1"/>
    </xf>
    <xf numFmtId="0" fontId="0" fillId="0" borderId="15" xfId="0" applyFont="1" applyFill="1" applyBorder="1" applyAlignment="1" applyProtection="1">
      <alignment horizontal="center" vertical="center" wrapText="1"/>
    </xf>
    <xf numFmtId="0" fontId="0" fillId="0" borderId="8" xfId="0" applyFont="1" applyFill="1" applyBorder="1" applyAlignment="1" applyProtection="1">
      <alignment horizontal="center" vertical="center" wrapText="1"/>
    </xf>
    <xf numFmtId="0" fontId="0" fillId="0" borderId="6" xfId="0" applyFont="1" applyFill="1" applyBorder="1" applyAlignment="1" applyProtection="1">
      <alignment horizontal="center" vertical="center" wrapText="1"/>
    </xf>
    <xf numFmtId="0" fontId="0" fillId="0" borderId="13" xfId="0" applyFont="1" applyFill="1" applyBorder="1" applyAlignment="1" applyProtection="1">
      <alignment horizontal="center" vertical="center" wrapText="1"/>
    </xf>
    <xf numFmtId="0" fontId="0" fillId="0" borderId="9" xfId="0" applyFont="1" applyFill="1" applyBorder="1" applyAlignment="1" applyProtection="1">
      <alignment horizontal="center" vertical="center" wrapText="1"/>
    </xf>
    <xf numFmtId="0" fontId="4" fillId="13" borderId="3" xfId="0" applyFont="1" applyFill="1" applyBorder="1" applyAlignment="1" applyProtection="1">
      <alignment horizontal="center" vertical="center" textRotation="90" wrapText="1"/>
      <protection locked="0"/>
    </xf>
    <xf numFmtId="0" fontId="4" fillId="13" borderId="4" xfId="0" applyFont="1" applyFill="1" applyBorder="1" applyAlignment="1" applyProtection="1">
      <alignment horizontal="center" vertical="center" textRotation="90" wrapText="1"/>
      <protection locked="0"/>
    </xf>
    <xf numFmtId="0" fontId="25" fillId="12" borderId="1" xfId="9" applyNumberFormat="1" applyFont="1" applyFill="1" applyBorder="1" applyAlignment="1" applyProtection="1">
      <alignment horizontal="center" vertical="center" textRotation="90" wrapText="1"/>
      <protection hidden="1"/>
    </xf>
    <xf numFmtId="0" fontId="24" fillId="11" borderId="1" xfId="9" applyNumberFormat="1" applyFont="1" applyFill="1" applyBorder="1" applyAlignment="1" applyProtection="1">
      <alignment horizontal="center" vertical="center" textRotation="90" wrapText="1"/>
      <protection hidden="1"/>
    </xf>
    <xf numFmtId="0" fontId="25" fillId="12" borderId="4" xfId="9" applyNumberFormat="1" applyFont="1" applyFill="1" applyBorder="1" applyAlignment="1" applyProtection="1">
      <alignment horizontal="center" vertical="center" textRotation="90" wrapText="1"/>
      <protection hidden="1"/>
    </xf>
    <xf numFmtId="0" fontId="88" fillId="0" borderId="1" xfId="0" applyFont="1" applyFill="1" applyBorder="1" applyAlignment="1" applyProtection="1">
      <alignment horizontal="center" vertical="center" wrapText="1"/>
      <protection locked="0"/>
    </xf>
    <xf numFmtId="0" fontId="4" fillId="0" borderId="5" xfId="0" applyFont="1" applyFill="1" applyBorder="1" applyAlignment="1" applyProtection="1">
      <alignment horizontal="center" vertical="center" textRotation="90" wrapText="1"/>
      <protection locked="0"/>
    </xf>
    <xf numFmtId="0" fontId="4" fillId="0" borderId="7" xfId="0" applyFont="1" applyFill="1" applyBorder="1" applyAlignment="1" applyProtection="1">
      <alignment horizontal="center" vertical="center" textRotation="90" wrapText="1"/>
      <protection locked="0"/>
    </xf>
    <xf numFmtId="0" fontId="4" fillId="0" borderId="6" xfId="0" applyFont="1" applyFill="1" applyBorder="1" applyAlignment="1" applyProtection="1">
      <alignment horizontal="center" vertical="center" textRotation="90" wrapText="1"/>
      <protection locked="0"/>
    </xf>
    <xf numFmtId="0" fontId="5" fillId="0" borderId="0" xfId="0" applyFont="1" applyBorder="1" applyAlignment="1" applyProtection="1">
      <alignment horizontal="left" vertical="center"/>
    </xf>
    <xf numFmtId="0" fontId="32" fillId="0" borderId="0" xfId="0" applyFont="1" applyAlignment="1" applyProtection="1">
      <alignment horizontal="right"/>
      <protection locked="0"/>
    </xf>
    <xf numFmtId="0" fontId="5" fillId="0" borderId="0" xfId="0" applyFont="1" applyBorder="1" applyAlignment="1" applyProtection="1">
      <alignment horizontal="left"/>
    </xf>
    <xf numFmtId="0" fontId="0" fillId="0" borderId="0" xfId="0" applyAlignment="1" applyProtection="1">
      <alignment horizontal="right"/>
      <protection locked="0"/>
    </xf>
    <xf numFmtId="0" fontId="0" fillId="0" borderId="16" xfId="0" applyBorder="1" applyAlignment="1" applyProtection="1">
      <alignment horizontal="right"/>
      <protection locked="0"/>
    </xf>
    <xf numFmtId="16" fontId="5" fillId="0" borderId="0" xfId="0" applyNumberFormat="1" applyFont="1" applyBorder="1" applyAlignment="1" applyProtection="1">
      <alignment horizontal="left" vertical="center"/>
    </xf>
    <xf numFmtId="0" fontId="5" fillId="0" borderId="0" xfId="0" applyFont="1" applyAlignment="1" applyProtection="1">
      <alignment horizontal="left"/>
    </xf>
    <xf numFmtId="0" fontId="5" fillId="0" borderId="0" xfId="0" applyFont="1" applyBorder="1" applyAlignment="1" applyProtection="1">
      <alignment horizontal="left"/>
      <protection locked="0"/>
    </xf>
    <xf numFmtId="0" fontId="0" fillId="0" borderId="0" xfId="0" applyFill="1" applyBorder="1" applyAlignment="1" applyProtection="1">
      <alignment horizontal="right"/>
      <protection locked="0"/>
    </xf>
    <xf numFmtId="0" fontId="5" fillId="0" borderId="15" xfId="0" applyFont="1" applyFill="1" applyBorder="1" applyAlignment="1" applyProtection="1">
      <alignment horizontal="left" vertical="center"/>
      <protection locked="0"/>
    </xf>
    <xf numFmtId="0" fontId="5" fillId="8" borderId="0" xfId="0" applyFont="1" applyFill="1" applyAlignment="1" applyProtection="1">
      <alignment horizontal="left" vertical="center"/>
      <protection locked="0"/>
    </xf>
    <xf numFmtId="0" fontId="5" fillId="18" borderId="10" xfId="0" applyFont="1" applyFill="1" applyBorder="1" applyAlignment="1" applyProtection="1">
      <alignment horizontal="center"/>
      <protection locked="0"/>
    </xf>
    <xf numFmtId="0" fontId="5" fillId="18" borderId="12" xfId="0" applyFont="1" applyFill="1" applyBorder="1" applyAlignment="1" applyProtection="1">
      <alignment horizontal="center"/>
      <protection locked="0"/>
    </xf>
    <xf numFmtId="0" fontId="5" fillId="18" borderId="11" xfId="0" applyFont="1" applyFill="1" applyBorder="1" applyAlignment="1" applyProtection="1">
      <alignment horizontal="center"/>
      <protection locked="0"/>
    </xf>
    <xf numFmtId="0" fontId="5" fillId="19" borderId="10" xfId="0" applyFont="1" applyFill="1" applyBorder="1" applyAlignment="1" applyProtection="1">
      <alignment horizontal="left" vertical="center"/>
      <protection locked="0"/>
    </xf>
    <xf numFmtId="0" fontId="5" fillId="19" borderId="12" xfId="0" applyFont="1" applyFill="1" applyBorder="1" applyAlignment="1" applyProtection="1">
      <alignment horizontal="left" vertical="center"/>
      <protection locked="0"/>
    </xf>
    <xf numFmtId="0" fontId="5" fillId="19" borderId="11" xfId="0" applyFont="1" applyFill="1" applyBorder="1" applyAlignment="1" applyProtection="1">
      <alignment horizontal="left" vertical="center"/>
      <protection locked="0"/>
    </xf>
    <xf numFmtId="0" fontId="5" fillId="20" borderId="10" xfId="0" applyFont="1" applyFill="1" applyBorder="1" applyAlignment="1" applyProtection="1">
      <alignment horizontal="left" vertical="center"/>
      <protection locked="0"/>
    </xf>
    <xf numFmtId="0" fontId="5" fillId="20" borderId="12" xfId="0" applyFont="1" applyFill="1" applyBorder="1" applyAlignment="1" applyProtection="1">
      <alignment horizontal="left" vertical="center"/>
      <protection locked="0"/>
    </xf>
    <xf numFmtId="0" fontId="5" fillId="20" borderId="11" xfId="0" applyFont="1" applyFill="1" applyBorder="1" applyAlignment="1" applyProtection="1">
      <alignment horizontal="left" vertical="center"/>
      <protection locked="0"/>
    </xf>
    <xf numFmtId="0" fontId="5" fillId="0" borderId="2" xfId="0" applyFont="1" applyBorder="1" applyAlignment="1" applyProtection="1">
      <alignment horizontal="center" vertical="center"/>
      <protection locked="0"/>
    </xf>
    <xf numFmtId="0" fontId="5" fillId="0" borderId="3"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34" fillId="0" borderId="4" xfId="0" applyFont="1" applyFill="1" applyBorder="1" applyAlignment="1" applyProtection="1">
      <alignment horizontal="center" textRotation="90" wrapText="1"/>
      <protection locked="0"/>
    </xf>
    <xf numFmtId="0" fontId="34" fillId="0" borderId="1" xfId="0" applyFont="1" applyFill="1" applyBorder="1" applyAlignment="1" applyProtection="1">
      <alignment horizontal="center" textRotation="90" wrapText="1"/>
      <protection locked="0"/>
    </xf>
    <xf numFmtId="0" fontId="34" fillId="0" borderId="3" xfId="0" applyFont="1" applyFill="1" applyBorder="1" applyAlignment="1" applyProtection="1">
      <alignment horizontal="center" textRotation="90" wrapText="1"/>
      <protection locked="0"/>
    </xf>
    <xf numFmtId="0" fontId="34" fillId="0" borderId="1" xfId="0" quotePrefix="1" applyFont="1" applyFill="1" applyBorder="1" applyAlignment="1" applyProtection="1">
      <alignment horizontal="center" textRotation="90" wrapText="1"/>
      <protection locked="0"/>
    </xf>
    <xf numFmtId="0" fontId="6" fillId="20" borderId="3" xfId="0" applyFont="1" applyFill="1" applyBorder="1" applyAlignment="1" applyProtection="1">
      <alignment horizontal="center" vertical="center"/>
      <protection locked="0"/>
    </xf>
    <xf numFmtId="0" fontId="6" fillId="20" borderId="4" xfId="0" applyFont="1" applyFill="1" applyBorder="1" applyAlignment="1" applyProtection="1">
      <alignment horizontal="center" vertical="center"/>
      <protection locked="0"/>
    </xf>
    <xf numFmtId="0" fontId="0" fillId="8" borderId="23" xfId="0" applyFill="1" applyBorder="1" applyAlignment="1" applyProtection="1">
      <alignment horizontal="center"/>
    </xf>
    <xf numFmtId="0" fontId="0" fillId="8" borderId="24" xfId="0" applyFill="1" applyBorder="1" applyAlignment="1" applyProtection="1">
      <alignment horizontal="center"/>
    </xf>
    <xf numFmtId="0" fontId="0" fillId="8" borderId="25" xfId="0" applyFill="1" applyBorder="1" applyAlignment="1" applyProtection="1">
      <alignment horizontal="center"/>
    </xf>
    <xf numFmtId="0" fontId="34" fillId="20" borderId="3" xfId="0" applyFont="1" applyFill="1" applyBorder="1" applyAlignment="1" applyProtection="1">
      <alignment horizontal="center" textRotation="90" wrapText="1"/>
      <protection locked="0"/>
    </xf>
    <xf numFmtId="0" fontId="34" fillId="20" borderId="4" xfId="0" applyFont="1" applyFill="1" applyBorder="1" applyAlignment="1" applyProtection="1">
      <alignment horizontal="center" textRotation="90" wrapText="1"/>
      <protection locked="0"/>
    </xf>
    <xf numFmtId="0" fontId="5" fillId="20" borderId="3" xfId="0" quotePrefix="1" applyFont="1" applyFill="1" applyBorder="1" applyAlignment="1" applyProtection="1">
      <alignment horizontal="center" vertical="center" wrapText="1"/>
      <protection locked="0"/>
    </xf>
    <xf numFmtId="0" fontId="5" fillId="20" borderId="4" xfId="0" applyFont="1" applyFill="1" applyBorder="1" applyAlignment="1" applyProtection="1">
      <alignment horizontal="center" vertical="center" wrapText="1"/>
      <protection locked="0"/>
    </xf>
    <xf numFmtId="0" fontId="5" fillId="20" borderId="4" xfId="0" applyFont="1" applyFill="1" applyBorder="1" applyAlignment="1" applyProtection="1">
      <alignment horizontal="center" vertical="center"/>
      <protection locked="0"/>
    </xf>
    <xf numFmtId="0" fontId="6" fillId="20" borderId="2" xfId="0" applyFont="1" applyFill="1" applyBorder="1" applyAlignment="1" applyProtection="1">
      <alignment horizontal="center" vertical="center"/>
    </xf>
    <xf numFmtId="0" fontId="6" fillId="20" borderId="4" xfId="0" applyFont="1" applyFill="1" applyBorder="1" applyAlignment="1" applyProtection="1">
      <alignment horizontal="center" vertical="center"/>
    </xf>
    <xf numFmtId="0" fontId="34" fillId="0" borderId="1" xfId="0" applyFont="1" applyFill="1" applyBorder="1" applyAlignment="1" applyProtection="1">
      <alignment horizontal="center" textRotation="90" wrapText="1"/>
    </xf>
    <xf numFmtId="0" fontId="34" fillId="0" borderId="2" xfId="0" applyFont="1" applyFill="1" applyBorder="1" applyAlignment="1" applyProtection="1">
      <alignment horizontal="center" textRotation="90" wrapText="1"/>
    </xf>
    <xf numFmtId="0" fontId="34" fillId="0" borderId="4" xfId="0" applyFont="1" applyFill="1" applyBorder="1" applyAlignment="1" applyProtection="1">
      <alignment horizontal="center" textRotation="90" wrapText="1"/>
    </xf>
    <xf numFmtId="0" fontId="34" fillId="20" borderId="2" xfId="0" applyFont="1" applyFill="1" applyBorder="1" applyAlignment="1" applyProtection="1">
      <alignment horizontal="center" textRotation="90" wrapText="1"/>
    </xf>
    <xf numFmtId="0" fontId="34" fillId="20" borderId="4" xfId="0" applyFont="1" applyFill="1" applyBorder="1" applyAlignment="1" applyProtection="1">
      <alignment horizontal="center" textRotation="90" wrapText="1"/>
    </xf>
    <xf numFmtId="0" fontId="5" fillId="20" borderId="2" xfId="0" quotePrefix="1" applyFont="1" applyFill="1" applyBorder="1" applyAlignment="1" applyProtection="1">
      <alignment horizontal="center" vertical="center" wrapText="1"/>
    </xf>
    <xf numFmtId="0" fontId="5" fillId="20" borderId="4" xfId="0" applyFont="1" applyFill="1" applyBorder="1" applyAlignment="1" applyProtection="1">
      <alignment horizontal="center" vertical="center" wrapText="1"/>
    </xf>
    <xf numFmtId="0" fontId="5" fillId="19" borderId="1" xfId="0" applyFont="1" applyFill="1" applyBorder="1" applyAlignment="1" applyProtection="1">
      <alignment horizontal="left" vertical="center"/>
      <protection locked="0"/>
    </xf>
    <xf numFmtId="0" fontId="5" fillId="0" borderId="0" xfId="0" applyFont="1" applyFill="1" applyAlignment="1" applyProtection="1">
      <alignment horizontal="left" vertical="center"/>
    </xf>
    <xf numFmtId="0" fontId="5" fillId="0" borderId="2" xfId="0" applyFont="1" applyBorder="1" applyAlignment="1" applyProtection="1">
      <alignment horizontal="center" vertical="center"/>
    </xf>
    <xf numFmtId="0" fontId="5" fillId="0" borderId="3" xfId="0" applyFont="1" applyBorder="1" applyAlignment="1" applyProtection="1">
      <alignment horizontal="center" vertical="center"/>
    </xf>
    <xf numFmtId="0" fontId="5" fillId="0" borderId="4" xfId="0" applyFont="1" applyBorder="1" applyAlignment="1" applyProtection="1">
      <alignment horizontal="center" vertical="center"/>
    </xf>
    <xf numFmtId="0" fontId="34" fillId="0" borderId="1" xfId="0" quotePrefix="1" applyFont="1" applyFill="1" applyBorder="1" applyAlignment="1" applyProtection="1">
      <alignment horizontal="center" textRotation="90" wrapText="1"/>
    </xf>
    <xf numFmtId="0" fontId="5" fillId="20" borderId="1" xfId="0" applyFont="1" applyFill="1" applyBorder="1" applyAlignment="1" applyProtection="1">
      <alignment horizontal="left" vertical="center"/>
      <protection locked="0"/>
    </xf>
    <xf numFmtId="0" fontId="5" fillId="18" borderId="1" xfId="0" applyFont="1" applyFill="1" applyBorder="1" applyAlignment="1" applyProtection="1">
      <alignment horizontal="center"/>
    </xf>
    <xf numFmtId="0" fontId="32" fillId="0" borderId="0" xfId="0" applyFont="1" applyAlignment="1" applyProtection="1">
      <alignment horizontal="right"/>
    </xf>
    <xf numFmtId="0" fontId="31" fillId="0" borderId="17" xfId="0" applyFont="1" applyFill="1" applyBorder="1" applyAlignment="1" applyProtection="1">
      <alignment horizontal="center" vertical="center"/>
    </xf>
    <xf numFmtId="0" fontId="31" fillId="0" borderId="18" xfId="0" applyFont="1" applyFill="1" applyBorder="1" applyAlignment="1" applyProtection="1">
      <alignment horizontal="center" vertical="center"/>
    </xf>
    <xf numFmtId="0" fontId="31" fillId="0" borderId="19" xfId="0" applyFont="1" applyFill="1" applyBorder="1" applyAlignment="1" applyProtection="1">
      <alignment horizontal="center" vertical="center"/>
    </xf>
    <xf numFmtId="0" fontId="31" fillId="0" borderId="20" xfId="0" applyFont="1" applyFill="1" applyBorder="1" applyAlignment="1" applyProtection="1">
      <alignment horizontal="center" vertical="center"/>
    </xf>
    <xf numFmtId="0" fontId="31" fillId="0" borderId="21" xfId="0" applyFont="1" applyFill="1" applyBorder="1" applyAlignment="1" applyProtection="1">
      <alignment horizontal="center" vertical="center"/>
    </xf>
    <xf numFmtId="0" fontId="31" fillId="0" borderId="22" xfId="0" applyFont="1" applyFill="1" applyBorder="1" applyAlignment="1" applyProtection="1">
      <alignment horizontal="center" vertical="center"/>
    </xf>
  </cellXfs>
  <cellStyles count="12">
    <cellStyle name="Hyperlink" xfId="10" builtinId="8"/>
    <cellStyle name="Normal" xfId="0" builtinId="0"/>
    <cellStyle name="Normal 10" xfId="3"/>
    <cellStyle name="Normal 11" xfId="4"/>
    <cellStyle name="Normal 12" xfId="1"/>
    <cellStyle name="Normal 13" xfId="7"/>
    <cellStyle name="Normal 14" xfId="5"/>
    <cellStyle name="Normal 2" xfId="9"/>
    <cellStyle name="Normal 2 2" xfId="8"/>
    <cellStyle name="Normal 3" xfId="11"/>
    <cellStyle name="Normal 8" xfId="6"/>
    <cellStyle name="Normal 9" xfId="2"/>
  </cellStyles>
  <dxfs count="73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s>
</file>

<file path=xl/ctrlProps/ctrlProp1.xml><?xml version="1.0" encoding="utf-8"?>
<formControlPr xmlns="http://schemas.microsoft.com/office/spreadsheetml/2009/9/main" objectType="Spin" dx="16" fmlaLink="$B$1" max="48" min="1" page="10"/>
</file>

<file path=xl/drawings/_rels/drawing1.xml.rels><?xml version="1.0" encoding="UTF-8" standalone="yes"?>
<Relationships xmlns="http://schemas.openxmlformats.org/package/2006/relationships"><Relationship Id="rId8" Type="http://schemas.openxmlformats.org/officeDocument/2006/relationships/hyperlink" Target="#LIHAT!A1"/><Relationship Id="rId13" Type="http://schemas.openxmlformats.org/officeDocument/2006/relationships/hyperlink" Target="#'form penilaian diri'!A1"/><Relationship Id="rId3" Type="http://schemas.openxmlformats.org/officeDocument/2006/relationships/hyperlink" Target="#'DATA SISWA'!A1"/><Relationship Id="rId7" Type="http://schemas.openxmlformats.org/officeDocument/2006/relationships/hyperlink" Target="#'Form NilKet'!A1"/><Relationship Id="rId12" Type="http://schemas.openxmlformats.org/officeDocument/2006/relationships/image" Target="../media/image1.png"/><Relationship Id="rId2" Type="http://schemas.openxmlformats.org/officeDocument/2006/relationships/hyperlink" Target="#'Input Nilai Ketrampilan'!A1"/><Relationship Id="rId1" Type="http://schemas.openxmlformats.org/officeDocument/2006/relationships/hyperlink" Target="#'Input Nilai Sikap'!A1"/><Relationship Id="rId6" Type="http://schemas.openxmlformats.org/officeDocument/2006/relationships/hyperlink" Target="#'Form Nilai Pengetahuan'!A1"/><Relationship Id="rId11" Type="http://schemas.openxmlformats.org/officeDocument/2006/relationships/hyperlink" Target="#UTSangka!A1"/><Relationship Id="rId5" Type="http://schemas.openxmlformats.org/officeDocument/2006/relationships/hyperlink" Target="#NILAI_JADI!A1"/><Relationship Id="rId15" Type="http://schemas.openxmlformats.org/officeDocument/2006/relationships/hyperlink" Target="#jurnal!A1"/><Relationship Id="rId10" Type="http://schemas.openxmlformats.org/officeDocument/2006/relationships/hyperlink" Target="#'FORM PORTOFOLIO'!A1"/><Relationship Id="rId4" Type="http://schemas.openxmlformats.org/officeDocument/2006/relationships/hyperlink" Target="#'Input Nilai Pengetahuan'!A1"/><Relationship Id="rId9" Type="http://schemas.openxmlformats.org/officeDocument/2006/relationships/hyperlink" Target="#KDOKE!A1"/><Relationship Id="rId14" Type="http://schemas.openxmlformats.org/officeDocument/2006/relationships/hyperlink" Target="#'form penilaian teman'!A1"/></Relationships>
</file>

<file path=xl/drawings/_rels/drawing2.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hyperlink" Target="#menu!A1"/></Relationships>
</file>

<file path=xl/drawings/_rels/drawing4.xml.rels><?xml version="1.0" encoding="UTF-8" standalone="yes"?>
<Relationships xmlns="http://schemas.openxmlformats.org/package/2006/relationships"><Relationship Id="rId1" Type="http://schemas.openxmlformats.org/officeDocument/2006/relationships/hyperlink" Target="#menu!A1"/></Relationships>
</file>

<file path=xl/drawings/_rels/drawing5.xml.rels><?xml version="1.0" encoding="UTF-8" standalone="yes"?>
<Relationships xmlns="http://schemas.openxmlformats.org/package/2006/relationships"><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1" Type="http://schemas.openxmlformats.org/officeDocument/2006/relationships/hyperlink" Target="#menu!A1"/></Relationships>
</file>

<file path=xl/drawings/_rels/drawing11.xml.rels><?xml version="1.0" encoding="UTF-8" standalone="yes"?>
<Relationships xmlns="http://schemas.openxmlformats.org/package/2006/relationships"><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2" Type="http://schemas.openxmlformats.org/officeDocument/2006/relationships/hyperlink" Target="#'Input Nilai Ketrampilan'!A1"/><Relationship Id="rId1" Type="http://schemas.openxmlformats.org/officeDocument/2006/relationships/hyperlink" Target="#menu!A1"/></Relationships>
</file>

<file path=xl/drawings/_rels/drawing14.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hyperlink" Target="#'Input Nilai Ketrampilan'!A1"/></Relationships>
</file>

<file path=xl/drawings/_rels/drawing15.xml.rels><?xml version="1.0" encoding="UTF-8" standalone="yes"?>
<Relationships xmlns="http://schemas.openxmlformats.org/package/2006/relationships"><Relationship Id="rId1" Type="http://schemas.openxmlformats.org/officeDocument/2006/relationships/hyperlink" Target="#menu!A1"/></Relationships>
</file>

<file path=xl/drawings/_rels/drawing16.xml.rels><?xml version="1.0" encoding="UTF-8" standalone="yes"?>
<Relationships xmlns="http://schemas.openxmlformats.org/package/2006/relationships"><Relationship Id="rId1" Type="http://schemas.openxmlformats.org/officeDocument/2006/relationships/hyperlink" Target="#menu!A1"/></Relationships>
</file>

<file path=xl/drawings/_rels/drawing17.xml.rels><?xml version="1.0" encoding="UTF-8" standalone="yes"?>
<Relationships xmlns="http://schemas.openxmlformats.org/package/2006/relationships"><Relationship Id="rId8" Type="http://schemas.openxmlformats.org/officeDocument/2006/relationships/hyperlink" Target="#'Input Nilai Sikap'!A1"/><Relationship Id="rId3" Type="http://schemas.openxmlformats.org/officeDocument/2006/relationships/hyperlink" Target="#'Menu Utama'!C3"/><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form penilaian teman'!A1"/><Relationship Id="rId5" Type="http://schemas.openxmlformats.org/officeDocument/2006/relationships/image" Target="../media/image4.png"/><Relationship Id="rId4" Type="http://schemas.openxmlformats.org/officeDocument/2006/relationships/hyperlink" Target="#Sikap!D5"/><Relationship Id="rId9" Type="http://schemas.openxmlformats.org/officeDocument/2006/relationships/hyperlink" Target="#menu!A1"/></Relationships>
</file>

<file path=xl/drawings/_rels/drawing18.xml.rels><?xml version="1.0" encoding="UTF-8" standalone="yes"?>
<Relationships xmlns="http://schemas.openxmlformats.org/package/2006/relationships"><Relationship Id="rId1" Type="http://schemas.openxmlformats.org/officeDocument/2006/relationships/hyperlink" Target="#menu!A1"/></Relationships>
</file>

<file path=xl/drawings/_rels/drawing19.xml.rels><?xml version="1.0" encoding="UTF-8" standalone="yes"?>
<Relationships xmlns="http://schemas.openxmlformats.org/package/2006/relationships"><Relationship Id="rId1" Type="http://schemas.openxmlformats.org/officeDocument/2006/relationships/hyperlink" Target="#menu!A1"/></Relationships>
</file>

<file path=xl/drawings/_rels/drawing20.xml.rels><?xml version="1.0" encoding="UTF-8" standalone="yes"?>
<Relationships xmlns="http://schemas.openxmlformats.org/package/2006/relationships"><Relationship Id="rId8" Type="http://schemas.openxmlformats.org/officeDocument/2006/relationships/hyperlink" Target="#'Menu Utama'!C3"/><Relationship Id="rId13" Type="http://schemas.openxmlformats.org/officeDocument/2006/relationships/hyperlink" Target="#menu!A1"/><Relationship Id="rId3" Type="http://schemas.openxmlformats.org/officeDocument/2006/relationships/hyperlink" Target="#'Menu Utama'!C3"/><Relationship Id="rId7" Type="http://schemas.openxmlformats.org/officeDocument/2006/relationships/hyperlink" Target="#'rekap observasi'!A1"/><Relationship Id="rId12"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observasi1!A1"/><Relationship Id="rId11" Type="http://schemas.openxmlformats.org/officeDocument/2006/relationships/hyperlink" Target="#'form penilaian diri'!A1"/><Relationship Id="rId5" Type="http://schemas.openxmlformats.org/officeDocument/2006/relationships/image" Target="../media/image4.png"/><Relationship Id="rId15" Type="http://schemas.openxmlformats.org/officeDocument/2006/relationships/hyperlink" Target="#menu!A1"/><Relationship Id="rId10" Type="http://schemas.openxmlformats.org/officeDocument/2006/relationships/hyperlink" Target="#Sikap!D5"/><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image" Target="../media/image6.png"/></Relationships>
</file>

<file path=xl/drawings/_rels/drawing21.xml.rels><?xml version="1.0" encoding="UTF-8" standalone="yes"?>
<Relationships xmlns="http://schemas.openxmlformats.org/package/2006/relationships"><Relationship Id="rId8" Type="http://schemas.openxmlformats.org/officeDocument/2006/relationships/hyperlink" Target="#'Menu Utama'!C3"/><Relationship Id="rId13" Type="http://schemas.openxmlformats.org/officeDocument/2006/relationships/hyperlink" Target="#menu!A1"/><Relationship Id="rId3" Type="http://schemas.openxmlformats.org/officeDocument/2006/relationships/hyperlink" Target="#'Menu Utama'!C3"/><Relationship Id="rId7" Type="http://schemas.openxmlformats.org/officeDocument/2006/relationships/hyperlink" Target="#'rekap observasi'!A1"/><Relationship Id="rId12"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observasi2!A1"/><Relationship Id="rId11" Type="http://schemas.openxmlformats.org/officeDocument/2006/relationships/hyperlink" Target="#'form penilaian diri'!A1"/><Relationship Id="rId5" Type="http://schemas.openxmlformats.org/officeDocument/2006/relationships/image" Target="../media/image4.png"/><Relationship Id="rId15" Type="http://schemas.openxmlformats.org/officeDocument/2006/relationships/hyperlink" Target="#menu!A1"/><Relationship Id="rId10" Type="http://schemas.openxmlformats.org/officeDocument/2006/relationships/hyperlink" Target="#Sikap!D5"/><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image" Target="../media/image6.png"/></Relationships>
</file>

<file path=xl/drawings/_rels/drawing22.xml.rels><?xml version="1.0" encoding="UTF-8" standalone="yes"?>
<Relationships xmlns="http://schemas.openxmlformats.org/package/2006/relationships"><Relationship Id="rId8" Type="http://schemas.openxmlformats.org/officeDocument/2006/relationships/hyperlink" Target="#'Input Nilai Sikap'!A1"/><Relationship Id="rId13" Type="http://schemas.openxmlformats.org/officeDocument/2006/relationships/image" Target="../media/image5.png"/><Relationship Id="rId3" Type="http://schemas.openxmlformats.org/officeDocument/2006/relationships/hyperlink" Target="#'Menu Utama'!C3"/><Relationship Id="rId7" Type="http://schemas.openxmlformats.org/officeDocument/2006/relationships/hyperlink" Target="#observasi2!A1"/><Relationship Id="rId12" Type="http://schemas.openxmlformats.org/officeDocument/2006/relationships/hyperlink" Target="#'form penilaian diri'!A1"/><Relationship Id="rId2" Type="http://schemas.openxmlformats.org/officeDocument/2006/relationships/image" Target="../media/image3.png"/><Relationship Id="rId16" Type="http://schemas.openxmlformats.org/officeDocument/2006/relationships/hyperlink" Target="#menu!A1"/><Relationship Id="rId1" Type="http://schemas.openxmlformats.org/officeDocument/2006/relationships/hyperlink" Target="#'Menu Utama'!C3"/><Relationship Id="rId6" Type="http://schemas.openxmlformats.org/officeDocument/2006/relationships/hyperlink" Target="#observasi1!A1"/><Relationship Id="rId11" Type="http://schemas.openxmlformats.org/officeDocument/2006/relationships/hyperlink" Target="#Sikap!D5"/><Relationship Id="rId5" Type="http://schemas.openxmlformats.org/officeDocument/2006/relationships/image" Target="../media/image4.png"/><Relationship Id="rId15" Type="http://schemas.openxmlformats.org/officeDocument/2006/relationships/image" Target="../media/image6.png"/><Relationship Id="rId10" Type="http://schemas.openxmlformats.org/officeDocument/2006/relationships/hyperlink" Target="#'Menu Utama'!C3"/><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hyperlink" Target="#menu!A1"/></Relationships>
</file>

<file path=xl/drawings/_rels/drawing23.xml.rels><?xml version="1.0" encoding="UTF-8" standalone="yes"?>
<Relationships xmlns="http://schemas.openxmlformats.org/package/2006/relationships"><Relationship Id="rId8" Type="http://schemas.openxmlformats.org/officeDocument/2006/relationships/hyperlink" Target="#menu!A1"/><Relationship Id="rId3" Type="http://schemas.openxmlformats.org/officeDocument/2006/relationships/hyperlink" Target="#'Menu Utama'!C3"/><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form penilaian diri'!A1"/><Relationship Id="rId11" Type="http://schemas.openxmlformats.org/officeDocument/2006/relationships/hyperlink" Target="#'form penilaian diri'!A1"/><Relationship Id="rId5" Type="http://schemas.openxmlformats.org/officeDocument/2006/relationships/image" Target="../media/image4.png"/><Relationship Id="rId10" Type="http://schemas.openxmlformats.org/officeDocument/2006/relationships/hyperlink" Target="#menu!A1"/><Relationship Id="rId4" Type="http://schemas.openxmlformats.org/officeDocument/2006/relationships/hyperlink" Target="#Sikap!D5"/><Relationship Id="rId9" Type="http://schemas.openxmlformats.org/officeDocument/2006/relationships/image" Target="../media/image6.png"/></Relationships>
</file>

<file path=xl/drawings/_rels/drawing24.xml.rels><?xml version="1.0" encoding="UTF-8" standalone="yes"?>
<Relationships xmlns="http://schemas.openxmlformats.org/package/2006/relationships"><Relationship Id="rId8" Type="http://schemas.openxmlformats.org/officeDocument/2006/relationships/hyperlink" Target="#'Menu Utama'!C3"/><Relationship Id="rId13" Type="http://schemas.openxmlformats.org/officeDocument/2006/relationships/image" Target="../media/image6.png"/><Relationship Id="rId3" Type="http://schemas.openxmlformats.org/officeDocument/2006/relationships/hyperlink" Target="#'Menu Utama'!C3"/><Relationship Id="rId7" Type="http://schemas.openxmlformats.org/officeDocument/2006/relationships/image" Target="../media/image5.png"/><Relationship Id="rId12" Type="http://schemas.openxmlformats.org/officeDocument/2006/relationships/hyperlink" Target="#menu!A1"/><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form penilaian diri'!A1"/><Relationship Id="rId11" Type="http://schemas.openxmlformats.org/officeDocument/2006/relationships/hyperlink" Target="#'form penilaian diri'!A1"/><Relationship Id="rId5" Type="http://schemas.openxmlformats.org/officeDocument/2006/relationships/image" Target="../media/image4.png"/><Relationship Id="rId15" Type="http://schemas.openxmlformats.org/officeDocument/2006/relationships/hyperlink" Target="#menu!A1"/><Relationship Id="rId10" Type="http://schemas.openxmlformats.org/officeDocument/2006/relationships/hyperlink" Target="#Sikap!D5"/><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hyperlink" Target="#'Input Nilai Sikap'!A1"/></Relationships>
</file>

<file path=xl/drawings/_rels/drawing25.xml.rels><?xml version="1.0" encoding="UTF-8" standalone="yes"?>
<Relationships xmlns="http://schemas.openxmlformats.org/package/2006/relationships"><Relationship Id="rId1" Type="http://schemas.openxmlformats.org/officeDocument/2006/relationships/hyperlink" Target="#menu!A1"/></Relationships>
</file>

<file path=xl/drawings/_rels/drawing26.xml.rels><?xml version="1.0" encoding="UTF-8" standalone="yes"?>
<Relationships xmlns="http://schemas.openxmlformats.org/package/2006/relationships"><Relationship Id="rId8" Type="http://schemas.openxmlformats.org/officeDocument/2006/relationships/hyperlink" Target="#menu!A1"/><Relationship Id="rId3" Type="http://schemas.openxmlformats.org/officeDocument/2006/relationships/hyperlink" Target="#menu!A1"/><Relationship Id="rId7" Type="http://schemas.openxmlformats.org/officeDocument/2006/relationships/hyperlink" Target="#menu!A1"/><Relationship Id="rId12" Type="http://schemas.openxmlformats.org/officeDocument/2006/relationships/hyperlink" Target="#menu!A1"/><Relationship Id="rId2" Type="http://schemas.openxmlformats.org/officeDocument/2006/relationships/hyperlink" Target="#'Input Nilai Ketrampilan'!A1"/><Relationship Id="rId1" Type="http://schemas.openxmlformats.org/officeDocument/2006/relationships/hyperlink" Target="#menu!A1"/><Relationship Id="rId6" Type="http://schemas.openxmlformats.org/officeDocument/2006/relationships/hyperlink" Target="#menu!A1"/><Relationship Id="rId11" Type="http://schemas.openxmlformats.org/officeDocument/2006/relationships/hyperlink" Target="#menu!A1"/><Relationship Id="rId5" Type="http://schemas.openxmlformats.org/officeDocument/2006/relationships/hyperlink" Target="#menu!A1"/><Relationship Id="rId10" Type="http://schemas.openxmlformats.org/officeDocument/2006/relationships/hyperlink" Target="#menu!A1"/><Relationship Id="rId4" Type="http://schemas.openxmlformats.org/officeDocument/2006/relationships/hyperlink" Target="#menu!A1"/><Relationship Id="rId9" Type="http://schemas.openxmlformats.org/officeDocument/2006/relationships/hyperlink" Target="#menu!A1"/></Relationships>
</file>

<file path=xl/drawings/_rels/drawing27.xml.rels><?xml version="1.0" encoding="UTF-8" standalone="yes"?>
<Relationships xmlns="http://schemas.openxmlformats.org/package/2006/relationships"><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261936</xdr:colOff>
      <xdr:row>13</xdr:row>
      <xdr:rowOff>260237</xdr:rowOff>
    </xdr:from>
    <xdr:to>
      <xdr:col>13</xdr:col>
      <xdr:colOff>71437</xdr:colOff>
      <xdr:row>15</xdr:row>
      <xdr:rowOff>168362</xdr:rowOff>
    </xdr:to>
    <xdr:sp macro="" textlink="">
      <xdr:nvSpPr>
        <xdr:cNvPr id="2" name="Rounded Rectangle 1">
          <a:hlinkClick xmlns:r="http://schemas.openxmlformats.org/officeDocument/2006/relationships" r:id="rId1"/>
        </xdr:cNvPr>
        <xdr:cNvSpPr/>
      </xdr:nvSpPr>
      <xdr:spPr>
        <a:xfrm>
          <a:off x="4774405" y="3105831"/>
          <a:ext cx="4036220" cy="432000"/>
        </a:xfrm>
        <a:prstGeom prst="roundRect">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600" b="1" baseline="0">
              <a:solidFill>
                <a:schemeClr val="bg2">
                  <a:lumMod val="10000"/>
                </a:schemeClr>
              </a:solidFill>
            </a:rPr>
            <a:t>INPUT NILAI SIKAP SPIRITUAL DAN SOSIAL</a:t>
          </a:r>
          <a:endParaRPr lang="en-US" sz="1100" b="1" baseline="0">
            <a:solidFill>
              <a:schemeClr val="bg2">
                <a:lumMod val="10000"/>
              </a:schemeClr>
            </a:solidFill>
          </a:endParaRPr>
        </a:p>
      </xdr:txBody>
    </xdr:sp>
    <xdr:clientData/>
  </xdr:twoCellAnchor>
  <xdr:twoCellAnchor>
    <xdr:from>
      <xdr:col>10</xdr:col>
      <xdr:colOff>35718</xdr:colOff>
      <xdr:row>11</xdr:row>
      <xdr:rowOff>252414</xdr:rowOff>
    </xdr:from>
    <xdr:to>
      <xdr:col>13</xdr:col>
      <xdr:colOff>38101</xdr:colOff>
      <xdr:row>13</xdr:row>
      <xdr:rowOff>160539</xdr:rowOff>
    </xdr:to>
    <xdr:sp macro="" textlink="">
      <xdr:nvSpPr>
        <xdr:cNvPr id="9" name="Rounded Rectangle 8">
          <a:hlinkClick xmlns:r="http://schemas.openxmlformats.org/officeDocument/2006/relationships" r:id="rId2"/>
        </xdr:cNvPr>
        <xdr:cNvSpPr/>
      </xdr:nvSpPr>
      <xdr:spPr>
        <a:xfrm>
          <a:off x="6917531" y="2574133"/>
          <a:ext cx="1859758" cy="432000"/>
        </a:xfrm>
        <a:prstGeom prst="roundRect">
          <a:avLst/>
        </a:prstGeom>
      </xdr:spPr>
      <xdr:style>
        <a:lnRef idx="0">
          <a:schemeClr val="accent4"/>
        </a:lnRef>
        <a:fillRef idx="3">
          <a:schemeClr val="accent4"/>
        </a:fillRef>
        <a:effectRef idx="3">
          <a:schemeClr val="accent4"/>
        </a:effectRef>
        <a:fontRef idx="minor">
          <a:schemeClr val="lt1"/>
        </a:fontRef>
      </xdr:style>
      <xdr:txBody>
        <a:bodyPr rtlCol="0" anchor="ctr"/>
        <a:lstStyle/>
        <a:p>
          <a:pPr algn="ctr"/>
          <a:r>
            <a:rPr lang="en-US" sz="1100" b="1"/>
            <a:t>INPUT  NILAI KETRAMPILAN</a:t>
          </a:r>
        </a:p>
      </xdr:txBody>
    </xdr:sp>
    <xdr:clientData/>
  </xdr:twoCellAnchor>
  <xdr:twoCellAnchor>
    <xdr:from>
      <xdr:col>6</xdr:col>
      <xdr:colOff>233361</xdr:colOff>
      <xdr:row>5</xdr:row>
      <xdr:rowOff>170597</xdr:rowOff>
    </xdr:from>
    <xdr:to>
      <xdr:col>9</xdr:col>
      <xdr:colOff>440532</xdr:colOff>
      <xdr:row>9</xdr:row>
      <xdr:rowOff>95250</xdr:rowOff>
    </xdr:to>
    <xdr:sp macro="" textlink="">
      <xdr:nvSpPr>
        <xdr:cNvPr id="10" name="Rounded Rectangle 9">
          <a:hlinkClick xmlns:r="http://schemas.openxmlformats.org/officeDocument/2006/relationships" r:id="rId3"/>
        </xdr:cNvPr>
        <xdr:cNvSpPr/>
      </xdr:nvSpPr>
      <xdr:spPr>
        <a:xfrm>
          <a:off x="4710111" y="1742222"/>
          <a:ext cx="1969296" cy="972403"/>
        </a:xfrm>
        <a:prstGeom prst="roundRect">
          <a:avLst/>
        </a:prstGeom>
      </xdr:spPr>
      <xdr:style>
        <a:lnRef idx="3">
          <a:schemeClr val="lt1"/>
        </a:lnRef>
        <a:fillRef idx="1">
          <a:schemeClr val="dk1"/>
        </a:fillRef>
        <a:effectRef idx="1">
          <a:schemeClr val="dk1"/>
        </a:effectRef>
        <a:fontRef idx="minor">
          <a:schemeClr val="lt1"/>
        </a:fontRef>
      </xdr:style>
      <xdr:txBody>
        <a:bodyPr rtlCol="0" anchor="ctr"/>
        <a:lstStyle/>
        <a:p>
          <a:pPr algn="ctr"/>
          <a:r>
            <a:rPr lang="en-US" sz="2000"/>
            <a:t>INPUT</a:t>
          </a:r>
        </a:p>
        <a:p>
          <a:pPr algn="ctr"/>
          <a:r>
            <a:rPr lang="en-US" sz="2000"/>
            <a:t>DATA</a:t>
          </a:r>
          <a:r>
            <a:rPr lang="en-US" sz="2000" baseline="0"/>
            <a:t> SISWA</a:t>
          </a:r>
        </a:p>
      </xdr:txBody>
    </xdr:sp>
    <xdr:clientData/>
  </xdr:twoCellAnchor>
  <xdr:twoCellAnchor>
    <xdr:from>
      <xdr:col>6</xdr:col>
      <xdr:colOff>260318</xdr:colOff>
      <xdr:row>12</xdr:row>
      <xdr:rowOff>4084</xdr:rowOff>
    </xdr:from>
    <xdr:to>
      <xdr:col>9</xdr:col>
      <xdr:colOff>362018</xdr:colOff>
      <xdr:row>13</xdr:row>
      <xdr:rowOff>174146</xdr:rowOff>
    </xdr:to>
    <xdr:sp macro="" textlink="">
      <xdr:nvSpPr>
        <xdr:cNvPr id="12" name="Rounded Rectangle 11">
          <a:hlinkClick xmlns:r="http://schemas.openxmlformats.org/officeDocument/2006/relationships" r:id="rId4"/>
        </xdr:cNvPr>
        <xdr:cNvSpPr/>
      </xdr:nvSpPr>
      <xdr:spPr>
        <a:xfrm>
          <a:off x="4880654" y="3216994"/>
          <a:ext cx="1878752" cy="42595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b="1"/>
            <a:t>INPUT  NILAI PENGETAHUAN</a:t>
          </a:r>
        </a:p>
      </xdr:txBody>
    </xdr:sp>
    <xdr:clientData/>
  </xdr:twoCellAnchor>
  <xdr:twoCellAnchor>
    <xdr:from>
      <xdr:col>10</xdr:col>
      <xdr:colOff>620144</xdr:colOff>
      <xdr:row>18</xdr:row>
      <xdr:rowOff>54429</xdr:rowOff>
    </xdr:from>
    <xdr:to>
      <xdr:col>13</xdr:col>
      <xdr:colOff>0</xdr:colOff>
      <xdr:row>21</xdr:row>
      <xdr:rowOff>122465</xdr:rowOff>
    </xdr:to>
    <xdr:sp macro="" textlink="">
      <xdr:nvSpPr>
        <xdr:cNvPr id="17" name="Rounded Rectangle 16">
          <a:hlinkClick xmlns:r="http://schemas.openxmlformats.org/officeDocument/2006/relationships" r:id="rId5"/>
        </xdr:cNvPr>
        <xdr:cNvSpPr/>
      </xdr:nvSpPr>
      <xdr:spPr>
        <a:xfrm>
          <a:off x="7532573" y="4163786"/>
          <a:ext cx="1230427" cy="76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solidFill>
                <a:schemeClr val="tx1">
                  <a:lumMod val="95000"/>
                  <a:lumOff val="5000"/>
                </a:schemeClr>
              </a:solidFill>
            </a:rPr>
            <a:t>SETOR UNTUK </a:t>
          </a:r>
          <a:r>
            <a:rPr lang="en-US" sz="1100" b="1" baseline="0">
              <a:solidFill>
                <a:schemeClr val="tx1">
                  <a:lumMod val="95000"/>
                  <a:lumOff val="5000"/>
                </a:schemeClr>
              </a:solidFill>
            </a:rPr>
            <a:t>RAPORT SEMESTER</a:t>
          </a:r>
          <a:endParaRPr lang="id-ID" sz="1100" b="1">
            <a:solidFill>
              <a:schemeClr val="tx1">
                <a:lumMod val="95000"/>
                <a:lumOff val="5000"/>
              </a:schemeClr>
            </a:solidFill>
          </a:endParaRPr>
        </a:p>
      </xdr:txBody>
    </xdr:sp>
    <xdr:clientData/>
  </xdr:twoCellAnchor>
  <xdr:twoCellAnchor>
    <xdr:from>
      <xdr:col>16</xdr:col>
      <xdr:colOff>432028</xdr:colOff>
      <xdr:row>10</xdr:row>
      <xdr:rowOff>214312</xdr:rowOff>
    </xdr:from>
    <xdr:to>
      <xdr:col>17</xdr:col>
      <xdr:colOff>1488282</xdr:colOff>
      <xdr:row>13</xdr:row>
      <xdr:rowOff>130969</xdr:rowOff>
    </xdr:to>
    <xdr:sp macro="" textlink="">
      <xdr:nvSpPr>
        <xdr:cNvPr id="23" name="Rounded Rectangle 22">
          <a:hlinkClick xmlns:r="http://schemas.openxmlformats.org/officeDocument/2006/relationships" r:id="rId6"/>
        </xdr:cNvPr>
        <xdr:cNvSpPr/>
      </xdr:nvSpPr>
      <xdr:spPr>
        <a:xfrm>
          <a:off x="10742841" y="3095625"/>
          <a:ext cx="1663472" cy="702469"/>
        </a:xfrm>
        <a:prstGeom prst="roundRect">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a:t>FORM PENILAIAN PENGETAHUAN  </a:t>
          </a:r>
          <a:endParaRPr lang="en-US" sz="1400"/>
        </a:p>
      </xdr:txBody>
    </xdr:sp>
    <xdr:clientData/>
  </xdr:twoCellAnchor>
  <xdr:twoCellAnchor>
    <xdr:from>
      <xdr:col>17</xdr:col>
      <xdr:colOff>1726407</xdr:colOff>
      <xdr:row>10</xdr:row>
      <xdr:rowOff>187439</xdr:rowOff>
    </xdr:from>
    <xdr:to>
      <xdr:col>17</xdr:col>
      <xdr:colOff>3417094</xdr:colOff>
      <xdr:row>13</xdr:row>
      <xdr:rowOff>130969</xdr:rowOff>
    </xdr:to>
    <xdr:sp macro="" textlink="">
      <xdr:nvSpPr>
        <xdr:cNvPr id="24" name="Rounded Rectangle 23">
          <a:hlinkClick xmlns:r="http://schemas.openxmlformats.org/officeDocument/2006/relationships" r:id="rId7"/>
        </xdr:cNvPr>
        <xdr:cNvSpPr/>
      </xdr:nvSpPr>
      <xdr:spPr>
        <a:xfrm>
          <a:off x="12644438" y="3068752"/>
          <a:ext cx="1690687" cy="729342"/>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400"/>
            <a:t>FORM PENILAIAN KETRAMPILAN  </a:t>
          </a:r>
          <a:endParaRPr lang="en-US" sz="1400"/>
        </a:p>
      </xdr:txBody>
    </xdr:sp>
    <xdr:clientData/>
  </xdr:twoCellAnchor>
  <xdr:twoCellAnchor>
    <xdr:from>
      <xdr:col>7</xdr:col>
      <xdr:colOff>18709</xdr:colOff>
      <xdr:row>18</xdr:row>
      <xdr:rowOff>27215</xdr:rowOff>
    </xdr:from>
    <xdr:to>
      <xdr:col>8</xdr:col>
      <xdr:colOff>313634</xdr:colOff>
      <xdr:row>21</xdr:row>
      <xdr:rowOff>95253</xdr:rowOff>
    </xdr:to>
    <xdr:sp macro="" textlink="">
      <xdr:nvSpPr>
        <xdr:cNvPr id="26" name="Rounded Rectangle 25">
          <a:hlinkClick xmlns:r="http://schemas.openxmlformats.org/officeDocument/2006/relationships" r:id="rId8"/>
        </xdr:cNvPr>
        <xdr:cNvSpPr/>
      </xdr:nvSpPr>
      <xdr:spPr>
        <a:xfrm>
          <a:off x="4808423" y="4136572"/>
          <a:ext cx="1192997" cy="762002"/>
        </a:xfrm>
        <a:prstGeom prst="roundRect">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b="1"/>
            <a:t>LIHAT</a:t>
          </a:r>
          <a:r>
            <a:rPr lang="id-ID" sz="1400" b="1" baseline="0"/>
            <a:t> NILAI </a:t>
          </a:r>
          <a:r>
            <a:rPr lang="en-US" sz="1400" b="1" baseline="0"/>
            <a:t>TIAP SISWA</a:t>
          </a:r>
          <a:endParaRPr lang="id-ID" sz="1400" b="1"/>
        </a:p>
      </xdr:txBody>
    </xdr:sp>
    <xdr:clientData/>
  </xdr:twoCellAnchor>
  <xdr:twoCellAnchor>
    <xdr:from>
      <xdr:col>10</xdr:col>
      <xdr:colOff>212610</xdr:colOff>
      <xdr:row>5</xdr:row>
      <xdr:rowOff>186255</xdr:rowOff>
    </xdr:from>
    <xdr:to>
      <xdr:col>12</xdr:col>
      <xdr:colOff>593610</xdr:colOff>
      <xdr:row>9</xdr:row>
      <xdr:rowOff>97049</xdr:rowOff>
    </xdr:to>
    <xdr:sp macro="" textlink="">
      <xdr:nvSpPr>
        <xdr:cNvPr id="18" name="Round Diagonal Corner Rectangle 17">
          <a:hlinkClick xmlns:r="http://schemas.openxmlformats.org/officeDocument/2006/relationships" r:id="rId9"/>
        </xdr:cNvPr>
        <xdr:cNvSpPr/>
      </xdr:nvSpPr>
      <xdr:spPr>
        <a:xfrm>
          <a:off x="7221304" y="1607897"/>
          <a:ext cx="1617828" cy="934376"/>
        </a:xfrm>
        <a:prstGeom prst="round2DiagRect">
          <a:avLst/>
        </a:prstGeom>
        <a:solidFill>
          <a:schemeClr val="tx2"/>
        </a:solidFill>
        <a:effectLst>
          <a:outerShdw blurRad="50800" dist="50800" dir="5400000" sx="106000" sy="106000" algn="ctr" rotWithShape="0">
            <a:schemeClr val="tx1"/>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400" b="1"/>
            <a:t>ISIAN</a:t>
          </a:r>
          <a:r>
            <a:rPr lang="en-US" sz="1400" b="1" baseline="0"/>
            <a:t> KOMPETENSI DASAR SESUAI MAPEL</a:t>
          </a:r>
          <a:endParaRPr lang="en-US" sz="1400" b="1"/>
        </a:p>
      </xdr:txBody>
    </xdr:sp>
    <xdr:clientData/>
  </xdr:twoCellAnchor>
  <xdr:twoCellAnchor>
    <xdr:from>
      <xdr:col>16</xdr:col>
      <xdr:colOff>428625</xdr:colOff>
      <xdr:row>13</xdr:row>
      <xdr:rowOff>220778</xdr:rowOff>
    </xdr:from>
    <xdr:to>
      <xdr:col>17</xdr:col>
      <xdr:colOff>1512095</xdr:colOff>
      <xdr:row>16</xdr:row>
      <xdr:rowOff>142875</xdr:rowOff>
    </xdr:to>
    <xdr:sp macro="" textlink="">
      <xdr:nvSpPr>
        <xdr:cNvPr id="15" name="Rounded Rectangle 14">
          <a:hlinkClick xmlns:r="http://schemas.openxmlformats.org/officeDocument/2006/relationships" r:id="rId10"/>
        </xdr:cNvPr>
        <xdr:cNvSpPr/>
      </xdr:nvSpPr>
      <xdr:spPr>
        <a:xfrm>
          <a:off x="10739438" y="3887903"/>
          <a:ext cx="1690688" cy="707910"/>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400"/>
            <a:t>FORM PENILAIAN </a:t>
          </a:r>
          <a:r>
            <a:rPr lang="en-US" sz="1400"/>
            <a:t>PORTOFOLIO</a:t>
          </a:r>
          <a:r>
            <a:rPr lang="id-ID" sz="1400"/>
            <a:t>  </a:t>
          </a:r>
          <a:endParaRPr lang="en-US" sz="1400"/>
        </a:p>
      </xdr:txBody>
    </xdr:sp>
    <xdr:clientData/>
  </xdr:twoCellAnchor>
  <xdr:oneCellAnchor>
    <xdr:from>
      <xdr:col>6</xdr:col>
      <xdr:colOff>231585</xdr:colOff>
      <xdr:row>3</xdr:row>
      <xdr:rowOff>80168</xdr:rowOff>
    </xdr:from>
    <xdr:ext cx="4112024" cy="342786"/>
    <xdr:sp macro="" textlink="">
      <xdr:nvSpPr>
        <xdr:cNvPr id="25" name="Rectangle 24"/>
        <xdr:cNvSpPr/>
      </xdr:nvSpPr>
      <xdr:spPr>
        <a:xfrm>
          <a:off x="4851921" y="1117967"/>
          <a:ext cx="4112024" cy="342786"/>
        </a:xfrm>
        <a:prstGeom prst="rect">
          <a:avLst/>
        </a:prstGeom>
        <a:solidFill>
          <a:schemeClr val="bg2">
            <a:lumMod val="25000"/>
          </a:schemeClr>
        </a:solidFill>
        <a:ln w="28575">
          <a:solidFill>
            <a:schemeClr val="accent6">
              <a:lumMod val="20000"/>
              <a:lumOff val="80000"/>
            </a:schemeClr>
          </a:solidFill>
        </a:ln>
      </xdr:spPr>
      <xdr:txBody>
        <a:bodyPr wrap="none" lIns="91440" tIns="45720" rIns="91440" bIns="45720">
          <a:spAutoFit/>
          <a:scene3d>
            <a:camera prst="orthographicFront"/>
            <a:lightRig rig="glow" dir="tl">
              <a:rot lat="0" lon="0" rev="5400000"/>
            </a:lightRig>
          </a:scene3d>
          <a:sp3d contourW="12700">
            <a:bevelT w="25400" h="25400"/>
            <a:contourClr>
              <a:schemeClr val="accent6">
                <a:shade val="73000"/>
              </a:schemeClr>
            </a:contourClr>
          </a:sp3d>
        </a:bodyPr>
        <a:lstStyle/>
        <a:p>
          <a:pPr algn="ctr"/>
          <a:r>
            <a:rPr lang="en-US" sz="1600" b="1" cap="none" spc="0">
              <a:ln w="11430"/>
              <a:gradFill>
                <a:gsLst>
                  <a:gs pos="0">
                    <a:schemeClr val="accent6">
                      <a:tint val="90000"/>
                      <a:satMod val="120000"/>
                    </a:schemeClr>
                  </a:gs>
                  <a:gs pos="25000">
                    <a:schemeClr val="accent6">
                      <a:tint val="93000"/>
                      <a:satMod val="120000"/>
                    </a:schemeClr>
                  </a:gs>
                  <a:gs pos="50000">
                    <a:schemeClr val="accent6">
                      <a:shade val="89000"/>
                      <a:satMod val="110000"/>
                    </a:schemeClr>
                  </a:gs>
                  <a:gs pos="75000">
                    <a:schemeClr val="accent6">
                      <a:tint val="93000"/>
                      <a:satMod val="120000"/>
                    </a:schemeClr>
                  </a:gs>
                  <a:gs pos="100000">
                    <a:schemeClr val="accent6">
                      <a:tint val="90000"/>
                      <a:satMod val="120000"/>
                    </a:schemeClr>
                  </a:gs>
                </a:gsLst>
                <a:lin ang="5400000"/>
              </a:gradFill>
              <a:effectLst>
                <a:outerShdw blurRad="80000" dist="40000" dir="5040000" algn="tl">
                  <a:srgbClr val="000000">
                    <a:alpha val="30000"/>
                  </a:srgbClr>
                </a:outerShdw>
              </a:effectLst>
            </a:rPr>
            <a:t>ISIAN NAMA SISWA DAN KOMPETENSI DASAR</a:t>
          </a:r>
        </a:p>
      </xdr:txBody>
    </xdr:sp>
    <xdr:clientData/>
  </xdr:oneCellAnchor>
  <xdr:oneCellAnchor>
    <xdr:from>
      <xdr:col>6</xdr:col>
      <xdr:colOff>227464</xdr:colOff>
      <xdr:row>10</xdr:row>
      <xdr:rowOff>75550</xdr:rowOff>
    </xdr:from>
    <xdr:ext cx="4032802" cy="311496"/>
    <xdr:sp macro="" textlink="">
      <xdr:nvSpPr>
        <xdr:cNvPr id="27" name="Rectangle 26"/>
        <xdr:cNvSpPr/>
      </xdr:nvSpPr>
      <xdr:spPr>
        <a:xfrm>
          <a:off x="4847800" y="2776669"/>
          <a:ext cx="4032802" cy="311496"/>
        </a:xfrm>
        <a:prstGeom prst="rect">
          <a:avLst/>
        </a:prstGeom>
        <a:ln w="28575">
          <a:solidFill>
            <a:schemeClr val="tx1"/>
          </a:solidFill>
        </a:ln>
      </xdr:spPr>
      <xdr:style>
        <a:lnRef idx="2">
          <a:schemeClr val="accent6"/>
        </a:lnRef>
        <a:fillRef idx="1002">
          <a:schemeClr val="dk2"/>
        </a:fillRef>
        <a:effectRef idx="0">
          <a:schemeClr val="accent6"/>
        </a:effectRef>
        <a:fontRef idx="minor">
          <a:schemeClr val="dk1"/>
        </a:fontRef>
      </xdr:style>
      <xdr:txBody>
        <a:bodyPr wrap="square" lIns="91440" tIns="45720" rIns="91440" bIns="45720">
          <a:spAutoFit/>
        </a:bodyPr>
        <a:lstStyle/>
        <a:p>
          <a:pPr algn="ctr"/>
          <a:r>
            <a:rPr lang="en-US" sz="1400" b="1" cap="none" spc="0">
              <a:ln>
                <a:noFill/>
              </a:ln>
              <a:solidFill>
                <a:srgbClr val="FF0000"/>
              </a:solidFill>
              <a:effectLst/>
            </a:rPr>
            <a:t>ISIAN NILAI</a:t>
          </a:r>
        </a:p>
      </xdr:txBody>
    </xdr:sp>
    <xdr:clientData/>
  </xdr:oneCellAnchor>
  <xdr:twoCellAnchor>
    <xdr:from>
      <xdr:col>8</xdr:col>
      <xdr:colOff>477267</xdr:colOff>
      <xdr:row>18</xdr:row>
      <xdr:rowOff>54429</xdr:rowOff>
    </xdr:from>
    <xdr:to>
      <xdr:col>10</xdr:col>
      <xdr:colOff>462642</xdr:colOff>
      <xdr:row>21</xdr:row>
      <xdr:rowOff>108857</xdr:rowOff>
    </xdr:to>
    <xdr:sp macro="" textlink="">
      <xdr:nvSpPr>
        <xdr:cNvPr id="28" name="Rounded Rectangle 27">
          <a:hlinkClick xmlns:r="http://schemas.openxmlformats.org/officeDocument/2006/relationships" r:id="rId11"/>
        </xdr:cNvPr>
        <xdr:cNvSpPr/>
      </xdr:nvSpPr>
      <xdr:spPr>
        <a:xfrm>
          <a:off x="6165053" y="4163786"/>
          <a:ext cx="1210018" cy="748392"/>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solidFill>
                <a:srgbClr val="FFFF00"/>
              </a:solidFill>
            </a:rPr>
            <a:t>SETOR </a:t>
          </a:r>
          <a:r>
            <a:rPr lang="en-US" sz="1200" b="1" baseline="0">
              <a:solidFill>
                <a:srgbClr val="FFFF00"/>
              </a:solidFill>
            </a:rPr>
            <a:t>UNTUK RAPORT UTS</a:t>
          </a:r>
          <a:endParaRPr lang="id-ID" sz="1200" b="1">
            <a:solidFill>
              <a:srgbClr val="FFFF00"/>
            </a:solidFill>
          </a:endParaRPr>
        </a:p>
      </xdr:txBody>
    </xdr:sp>
    <xdr:clientData/>
  </xdr:twoCellAnchor>
  <xdr:oneCellAnchor>
    <xdr:from>
      <xdr:col>6</xdr:col>
      <xdr:colOff>258537</xdr:colOff>
      <xdr:row>16</xdr:row>
      <xdr:rowOff>102762</xdr:rowOff>
    </xdr:from>
    <xdr:ext cx="3973286" cy="342786"/>
    <xdr:sp macro="" textlink="">
      <xdr:nvSpPr>
        <xdr:cNvPr id="29" name="Rectangle 28"/>
        <xdr:cNvSpPr/>
      </xdr:nvSpPr>
      <xdr:spPr>
        <a:xfrm>
          <a:off x="4776108" y="3695048"/>
          <a:ext cx="3973286" cy="342786"/>
        </a:xfrm>
        <a:prstGeom prst="rect">
          <a:avLst/>
        </a:prstGeom>
        <a:ln/>
      </xdr:spPr>
      <xdr:style>
        <a:lnRef idx="3">
          <a:schemeClr val="lt1"/>
        </a:lnRef>
        <a:fillRef idx="1">
          <a:schemeClr val="accent4"/>
        </a:fillRef>
        <a:effectRef idx="1">
          <a:schemeClr val="accent4"/>
        </a:effectRef>
        <a:fontRef idx="minor">
          <a:schemeClr val="lt1"/>
        </a:fontRef>
      </xdr:style>
      <xdr:txBody>
        <a:bodyPr wrap="square" lIns="91440" tIns="45720" rIns="91440" bIns="45720">
          <a:spAutoFit/>
        </a:bodyPr>
        <a:lstStyle/>
        <a:p>
          <a:pPr algn="ctr"/>
          <a:r>
            <a:rPr lang="en-US" sz="1600" b="1" cap="none" spc="0">
              <a:ln>
                <a:noFill/>
              </a:ln>
              <a:solidFill>
                <a:schemeClr val="bg1"/>
              </a:solidFill>
              <a:effectLst/>
            </a:rPr>
            <a:t>SETORAN,</a:t>
          </a:r>
          <a:r>
            <a:rPr lang="en-US" sz="1600" b="1" cap="none" spc="0" baseline="0">
              <a:ln>
                <a:noFill/>
              </a:ln>
              <a:solidFill>
                <a:schemeClr val="bg1"/>
              </a:solidFill>
              <a:effectLst/>
            </a:rPr>
            <a:t> </a:t>
          </a:r>
          <a:r>
            <a:rPr lang="en-US" sz="1600" b="1" cap="none" spc="0">
              <a:ln>
                <a:noFill/>
              </a:ln>
              <a:solidFill>
                <a:schemeClr val="bg1"/>
              </a:solidFill>
              <a:effectLst/>
            </a:rPr>
            <a:t>CHECKING NILAI UTS DAN UAS</a:t>
          </a:r>
        </a:p>
      </xdr:txBody>
    </xdr:sp>
    <xdr:clientData/>
  </xdr:oneCellAnchor>
  <xdr:twoCellAnchor editAs="oneCell">
    <xdr:from>
      <xdr:col>1</xdr:col>
      <xdr:colOff>120196</xdr:colOff>
      <xdr:row>0</xdr:row>
      <xdr:rowOff>2268</xdr:rowOff>
    </xdr:from>
    <xdr:to>
      <xdr:col>1</xdr:col>
      <xdr:colOff>1154339</xdr:colOff>
      <xdr:row>2</xdr:row>
      <xdr:rowOff>83911</xdr:rowOff>
    </xdr:to>
    <xdr:pic>
      <xdr:nvPicPr>
        <xdr:cNvPr id="31" name="Picture 30" descr="logo_kementerian_agama.png"/>
        <xdr:cNvPicPr>
          <a:picLocks noChangeAspect="1"/>
        </xdr:cNvPicPr>
      </xdr:nvPicPr>
      <xdr:blipFill>
        <a:blip xmlns:r="http://schemas.openxmlformats.org/officeDocument/2006/relationships" r:embed="rId12" cstate="print"/>
        <a:stretch>
          <a:fillRect/>
        </a:stretch>
      </xdr:blipFill>
      <xdr:spPr>
        <a:xfrm>
          <a:off x="326571" y="2268"/>
          <a:ext cx="1034143" cy="1031875"/>
        </a:xfrm>
        <a:prstGeom prst="rect">
          <a:avLst/>
        </a:prstGeom>
        <a:effectLst>
          <a:glow rad="228600">
            <a:schemeClr val="accent3">
              <a:satMod val="175000"/>
              <a:alpha val="40000"/>
            </a:schemeClr>
          </a:glow>
        </a:effectLst>
      </xdr:spPr>
    </xdr:pic>
    <xdr:clientData/>
  </xdr:twoCellAnchor>
  <xdr:oneCellAnchor>
    <xdr:from>
      <xdr:col>14</xdr:col>
      <xdr:colOff>130968</xdr:colOff>
      <xdr:row>10</xdr:row>
      <xdr:rowOff>238126</xdr:rowOff>
    </xdr:from>
    <xdr:ext cx="1333501" cy="2547936"/>
    <xdr:sp macro="" textlink="">
      <xdr:nvSpPr>
        <xdr:cNvPr id="19" name="Rectangle 18"/>
        <xdr:cNvSpPr/>
      </xdr:nvSpPr>
      <xdr:spPr>
        <a:xfrm>
          <a:off x="9227343" y="3119439"/>
          <a:ext cx="1333501" cy="2547936"/>
        </a:xfrm>
        <a:prstGeom prst="rect">
          <a:avLst/>
        </a:prstGeom>
        <a:ln/>
      </xdr:spPr>
      <xdr:style>
        <a:lnRef idx="3">
          <a:schemeClr val="lt1"/>
        </a:lnRef>
        <a:fillRef idx="1">
          <a:schemeClr val="accent4"/>
        </a:fillRef>
        <a:effectRef idx="1">
          <a:schemeClr val="accent4"/>
        </a:effectRef>
        <a:fontRef idx="minor">
          <a:schemeClr val="lt1"/>
        </a:fontRef>
      </xdr:style>
      <xdr:txBody>
        <a:bodyPr wrap="square" lIns="91440" tIns="45720" rIns="91440" bIns="45720" anchor="ctr">
          <a:noAutofit/>
        </a:bodyPr>
        <a:lstStyle/>
        <a:p>
          <a:pPr algn="ctr"/>
          <a:r>
            <a:rPr lang="en-US" sz="2000" b="1" cap="none" spc="0">
              <a:ln>
                <a:noFill/>
              </a:ln>
              <a:solidFill>
                <a:schemeClr val="bg1"/>
              </a:solidFill>
              <a:effectLst/>
            </a:rPr>
            <a:t>CONTOH</a:t>
          </a:r>
          <a:r>
            <a:rPr lang="en-US" sz="2000" b="1" cap="none" spc="0" baseline="0">
              <a:ln>
                <a:noFill/>
              </a:ln>
              <a:solidFill>
                <a:schemeClr val="bg1"/>
              </a:solidFill>
              <a:effectLst/>
            </a:rPr>
            <a:t> FORM UNTUK CETAK</a:t>
          </a:r>
          <a:endParaRPr lang="en-US" sz="2000" b="1" cap="none" spc="0">
            <a:ln>
              <a:noFill/>
            </a:ln>
            <a:solidFill>
              <a:schemeClr val="bg1"/>
            </a:solidFill>
            <a:effectLst/>
          </a:endParaRPr>
        </a:p>
      </xdr:txBody>
    </xdr:sp>
    <xdr:clientData/>
  </xdr:oneCellAnchor>
  <xdr:twoCellAnchor>
    <xdr:from>
      <xdr:col>17</xdr:col>
      <xdr:colOff>1738313</xdr:colOff>
      <xdr:row>13</xdr:row>
      <xdr:rowOff>241942</xdr:rowOff>
    </xdr:from>
    <xdr:to>
      <xdr:col>17</xdr:col>
      <xdr:colOff>3422601</xdr:colOff>
      <xdr:row>16</xdr:row>
      <xdr:rowOff>154780</xdr:rowOff>
    </xdr:to>
    <xdr:sp macro="" textlink="">
      <xdr:nvSpPr>
        <xdr:cNvPr id="21" name="Rounded Rectangle 20">
          <a:hlinkClick xmlns:r="http://schemas.openxmlformats.org/officeDocument/2006/relationships" r:id="rId13"/>
        </xdr:cNvPr>
        <xdr:cNvSpPr/>
      </xdr:nvSpPr>
      <xdr:spPr>
        <a:xfrm>
          <a:off x="12656344" y="3909067"/>
          <a:ext cx="1684288" cy="698651"/>
        </a:xfrm>
        <a:prstGeom prst="roundRect">
          <a:avLst/>
        </a:prstGeom>
      </xdr:spPr>
      <xdr:style>
        <a:lnRef idx="0">
          <a:schemeClr val="dk1"/>
        </a:lnRef>
        <a:fillRef idx="3">
          <a:schemeClr val="dk1"/>
        </a:fillRef>
        <a:effectRef idx="3">
          <a:schemeClr val="dk1"/>
        </a:effectRef>
        <a:fontRef idx="minor">
          <a:schemeClr val="lt1"/>
        </a:fontRef>
      </xdr:style>
      <xdr:txBody>
        <a:bodyPr rtlCol="0" anchor="ctr"/>
        <a:lstStyle/>
        <a:p>
          <a:pPr algn="ctr"/>
          <a:r>
            <a:rPr lang="id-ID" sz="1400"/>
            <a:t>FORM PENILAIAN DIRI  </a:t>
          </a:r>
          <a:endParaRPr lang="en-US" sz="1400"/>
        </a:p>
      </xdr:txBody>
    </xdr:sp>
    <xdr:clientData/>
  </xdr:twoCellAnchor>
  <xdr:twoCellAnchor>
    <xdr:from>
      <xdr:col>16</xdr:col>
      <xdr:colOff>447146</xdr:colOff>
      <xdr:row>17</xdr:row>
      <xdr:rowOff>9110</xdr:rowOff>
    </xdr:from>
    <xdr:to>
      <xdr:col>17</xdr:col>
      <xdr:colOff>1547814</xdr:colOff>
      <xdr:row>20</xdr:row>
      <xdr:rowOff>130968</xdr:rowOff>
    </xdr:to>
    <xdr:sp macro="" textlink="">
      <xdr:nvSpPr>
        <xdr:cNvPr id="22" name="Rounded Rectangle 21">
          <a:hlinkClick xmlns:r="http://schemas.openxmlformats.org/officeDocument/2006/relationships" r:id="rId14"/>
        </xdr:cNvPr>
        <xdr:cNvSpPr/>
      </xdr:nvSpPr>
      <xdr:spPr>
        <a:xfrm>
          <a:off x="10757959" y="4723985"/>
          <a:ext cx="1707886" cy="860046"/>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id-ID" sz="1400"/>
            <a:t>FORM PENILAIAN  ANTAR TEMAN  </a:t>
          </a:r>
          <a:endParaRPr lang="en-US" sz="1400"/>
        </a:p>
      </xdr:txBody>
    </xdr:sp>
    <xdr:clientData/>
  </xdr:twoCellAnchor>
  <xdr:twoCellAnchor>
    <xdr:from>
      <xdr:col>17</xdr:col>
      <xdr:colOff>1709209</xdr:colOff>
      <xdr:row>17</xdr:row>
      <xdr:rowOff>9110</xdr:rowOff>
    </xdr:from>
    <xdr:to>
      <xdr:col>17</xdr:col>
      <xdr:colOff>3417095</xdr:colOff>
      <xdr:row>20</xdr:row>
      <xdr:rowOff>130968</xdr:rowOff>
    </xdr:to>
    <xdr:sp macro="" textlink="">
      <xdr:nvSpPr>
        <xdr:cNvPr id="30" name="Rounded Rectangle 29">
          <a:hlinkClick xmlns:r="http://schemas.openxmlformats.org/officeDocument/2006/relationships" r:id="rId15"/>
        </xdr:cNvPr>
        <xdr:cNvSpPr/>
      </xdr:nvSpPr>
      <xdr:spPr>
        <a:xfrm>
          <a:off x="12627240" y="4723985"/>
          <a:ext cx="1707886" cy="860046"/>
        </a:xfrm>
        <a:prstGeom prst="roundRect">
          <a:avLst/>
        </a:prstGeom>
        <a:solidFill>
          <a:srgbClr val="7030A0"/>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400"/>
            <a:t>FORM JURNAL PERKEMBANGAN SISWA  </a:t>
          </a:r>
          <a:endParaRPr lang="en-US" sz="14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117963</xdr:colOff>
      <xdr:row>0</xdr:row>
      <xdr:rowOff>110907</xdr:rowOff>
    </xdr:from>
    <xdr:to>
      <xdr:col>1</xdr:col>
      <xdr:colOff>1076325</xdr:colOff>
      <xdr:row>16</xdr:row>
      <xdr:rowOff>384119</xdr:rowOff>
    </xdr:to>
    <xdr:pic>
      <xdr:nvPicPr>
        <xdr:cNvPr id="2" name="Picture 1" descr="5-s-potrait.png"/>
        <xdr:cNvPicPr>
          <a:picLocks noChangeAspect="1"/>
        </xdr:cNvPicPr>
      </xdr:nvPicPr>
      <xdr:blipFill>
        <a:blip xmlns:r="http://schemas.openxmlformats.org/officeDocument/2006/relationships" r:embed="rId1" cstate="print"/>
        <a:stretch>
          <a:fillRect/>
        </a:stretch>
      </xdr:blipFill>
      <xdr:spPr>
        <a:xfrm>
          <a:off x="117963" y="110907"/>
          <a:ext cx="3215787" cy="3664112"/>
        </a:xfrm>
        <a:prstGeom prst="snip2DiagRect">
          <a:avLst/>
        </a:prstGeom>
        <a:solidFill>
          <a:srgbClr val="FFFFFF">
            <a:shade val="85000"/>
          </a:srgbClr>
        </a:solidFill>
        <a:ln w="88900" cap="sq">
          <a:solidFill>
            <a:srgbClr val="FFFFFF"/>
          </a:solidFill>
          <a:miter lim="800000"/>
        </a:ln>
        <a:effectLst>
          <a:outerShdw blurRad="88900" algn="tl" rotWithShape="0">
            <a:srgbClr val="000000">
              <a:alpha val="45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1</xdr:col>
      <xdr:colOff>1276350</xdr:colOff>
      <xdr:row>16</xdr:row>
      <xdr:rowOff>9525</xdr:rowOff>
    </xdr:from>
    <xdr:to>
      <xdr:col>3</xdr:col>
      <xdr:colOff>2057400</xdr:colOff>
      <xdr:row>16</xdr:row>
      <xdr:rowOff>428625</xdr:rowOff>
    </xdr:to>
    <xdr:sp macro="" textlink="">
      <xdr:nvSpPr>
        <xdr:cNvPr id="3" name="Rounded Rectangle 2">
          <a:hlinkClick xmlns:r="http://schemas.openxmlformats.org/officeDocument/2006/relationships" r:id="rId2"/>
        </xdr:cNvPr>
        <xdr:cNvSpPr/>
      </xdr:nvSpPr>
      <xdr:spPr>
        <a:xfrm>
          <a:off x="3533775" y="3400425"/>
          <a:ext cx="3248025" cy="4191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d-ID" sz="2000" b="1"/>
            <a:t>BACK TO MENU</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7010400</xdr:colOff>
      <xdr:row>3</xdr:row>
      <xdr:rowOff>9525</xdr:rowOff>
    </xdr:from>
    <xdr:to>
      <xdr:col>3</xdr:col>
      <xdr:colOff>49212</xdr:colOff>
      <xdr:row>5</xdr:row>
      <xdr:rowOff>160338</xdr:rowOff>
    </xdr:to>
    <xdr:sp macro="" textlink="">
      <xdr:nvSpPr>
        <xdr:cNvPr id="2" name="Rounded Rectangle 1">
          <a:hlinkClick xmlns:r="http://schemas.openxmlformats.org/officeDocument/2006/relationships" r:id="rId1"/>
        </xdr:cNvPr>
        <xdr:cNvSpPr/>
      </xdr:nvSpPr>
      <xdr:spPr>
        <a:xfrm>
          <a:off x="7620000" y="1152525"/>
          <a:ext cx="1468437" cy="5318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twoCellAnchor>
    <xdr:from>
      <xdr:col>1</xdr:col>
      <xdr:colOff>7210425</xdr:colOff>
      <xdr:row>24</xdr:row>
      <xdr:rowOff>161925</xdr:rowOff>
    </xdr:from>
    <xdr:to>
      <xdr:col>3</xdr:col>
      <xdr:colOff>249237</xdr:colOff>
      <xdr:row>27</xdr:row>
      <xdr:rowOff>122238</xdr:rowOff>
    </xdr:to>
    <xdr:sp macro="" textlink="">
      <xdr:nvSpPr>
        <xdr:cNvPr id="3" name="Rounded Rectangle 2">
          <a:hlinkClick xmlns:r="http://schemas.openxmlformats.org/officeDocument/2006/relationships" r:id="rId2"/>
        </xdr:cNvPr>
        <xdr:cNvSpPr/>
      </xdr:nvSpPr>
      <xdr:spPr>
        <a:xfrm>
          <a:off x="7820025" y="6467475"/>
          <a:ext cx="1468437" cy="5318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190499</xdr:colOff>
      <xdr:row>7</xdr:row>
      <xdr:rowOff>190499</xdr:rowOff>
    </xdr:from>
    <xdr:to>
      <xdr:col>15</xdr:col>
      <xdr:colOff>250031</xdr:colOff>
      <xdr:row>10</xdr:row>
      <xdr:rowOff>535780</xdr:rowOff>
    </xdr:to>
    <xdr:sp macro="" textlink="">
      <xdr:nvSpPr>
        <xdr:cNvPr id="2" name="Rounded Rectangle 1">
          <a:hlinkClick xmlns:r="http://schemas.openxmlformats.org/officeDocument/2006/relationships" r:id="rId1"/>
        </xdr:cNvPr>
        <xdr:cNvSpPr/>
      </xdr:nvSpPr>
      <xdr:spPr>
        <a:xfrm>
          <a:off x="11037093" y="1904999"/>
          <a:ext cx="666751" cy="916781"/>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000" b="1"/>
            <a:t>MENU</a:t>
          </a:r>
          <a:r>
            <a:rPr lang="id-ID" sz="1000" b="1" baseline="0"/>
            <a:t> UTAMA</a:t>
          </a:r>
          <a:endParaRPr lang="id-ID" sz="10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182563</xdr:colOff>
      <xdr:row>0</xdr:row>
      <xdr:rowOff>111125</xdr:rowOff>
    </xdr:from>
    <xdr:to>
      <xdr:col>2</xdr:col>
      <xdr:colOff>1897063</xdr:colOff>
      <xdr:row>2</xdr:row>
      <xdr:rowOff>149225</xdr:rowOff>
    </xdr:to>
    <xdr:sp macro="" textlink="">
      <xdr:nvSpPr>
        <xdr:cNvPr id="3" name="Rounded Rectangle 2">
          <a:hlinkClick xmlns:r="http://schemas.openxmlformats.org/officeDocument/2006/relationships" r:id="rId1"/>
        </xdr:cNvPr>
        <xdr:cNvSpPr/>
      </xdr:nvSpPr>
      <xdr:spPr>
        <a:xfrm>
          <a:off x="984251" y="1111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142875</xdr:colOff>
      <xdr:row>1</xdr:row>
      <xdr:rowOff>57150</xdr:rowOff>
    </xdr:from>
    <xdr:to>
      <xdr:col>1</xdr:col>
      <xdr:colOff>1857375</xdr:colOff>
      <xdr:row>2</xdr:row>
      <xdr:rowOff>238125</xdr:rowOff>
    </xdr:to>
    <xdr:sp macro="" textlink="">
      <xdr:nvSpPr>
        <xdr:cNvPr id="3" name="Rounded Rectangle 2">
          <a:hlinkClick xmlns:r="http://schemas.openxmlformats.org/officeDocument/2006/relationships" r:id="rId1"/>
        </xdr:cNvPr>
        <xdr:cNvSpPr/>
      </xdr:nvSpPr>
      <xdr:spPr>
        <a:xfrm>
          <a:off x="428625" y="32385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16</xdr:col>
      <xdr:colOff>39461</xdr:colOff>
      <xdr:row>0</xdr:row>
      <xdr:rowOff>63955</xdr:rowOff>
    </xdr:from>
    <xdr:to>
      <xdr:col>21</xdr:col>
      <xdr:colOff>155122</xdr:colOff>
      <xdr:row>3</xdr:row>
      <xdr:rowOff>171450</xdr:rowOff>
    </xdr:to>
    <xdr:sp macro="[0]!raportcopyuts" textlink="">
      <xdr:nvSpPr>
        <xdr:cNvPr id="4" name="Oval 3"/>
        <xdr:cNvSpPr/>
      </xdr:nvSpPr>
      <xdr:spPr>
        <a:xfrm>
          <a:off x="8564336" y="63955"/>
          <a:ext cx="2115911" cy="8790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id-ID"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KLIK</a:t>
          </a:r>
          <a:r>
            <a:rPr lang="id-ID"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UNTUK MENGCOPY NILAI UTS</a:t>
          </a:r>
          <a:endParaRPr lang="id-ID"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66675</xdr:colOff>
      <xdr:row>0</xdr:row>
      <xdr:rowOff>47625</xdr:rowOff>
    </xdr:from>
    <xdr:to>
      <xdr:col>2</xdr:col>
      <xdr:colOff>257625</xdr:colOff>
      <xdr:row>2</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66675" y="47625"/>
          <a:ext cx="972000" cy="3885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0</xdr:col>
      <xdr:colOff>57151</xdr:colOff>
      <xdr:row>5</xdr:row>
      <xdr:rowOff>104774</xdr:rowOff>
    </xdr:from>
    <xdr:to>
      <xdr:col>2</xdr:col>
      <xdr:colOff>2114551</xdr:colOff>
      <xdr:row>10</xdr:row>
      <xdr:rowOff>76199</xdr:rowOff>
    </xdr:to>
    <xdr:sp macro="[0]!raportcopy" textlink="">
      <xdr:nvSpPr>
        <xdr:cNvPr id="3" name="Rounded Rectangle 2"/>
        <xdr:cNvSpPr/>
      </xdr:nvSpPr>
      <xdr:spPr>
        <a:xfrm>
          <a:off x="57151" y="819149"/>
          <a:ext cx="2838450" cy="84772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2000"/>
            <a:t>KLIK UNTUK MENGCOPY NILAI RAPORT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301625</xdr:colOff>
      <xdr:row>3</xdr:row>
      <xdr:rowOff>190501</xdr:rowOff>
    </xdr:from>
    <xdr:to>
      <xdr:col>2</xdr:col>
      <xdr:colOff>1770062</xdr:colOff>
      <xdr:row>4</xdr:row>
      <xdr:rowOff>150814</xdr:rowOff>
    </xdr:to>
    <xdr:sp macro="" textlink="">
      <xdr:nvSpPr>
        <xdr:cNvPr id="2" name="Rounded Rectangle 1">
          <a:hlinkClick xmlns:r="http://schemas.openxmlformats.org/officeDocument/2006/relationships" r:id="rId1"/>
        </xdr:cNvPr>
        <xdr:cNvSpPr/>
      </xdr:nvSpPr>
      <xdr:spPr>
        <a:xfrm>
          <a:off x="1101725" y="190501"/>
          <a:ext cx="1468437" cy="2270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301625</xdr:colOff>
      <xdr:row>0</xdr:row>
      <xdr:rowOff>190501</xdr:rowOff>
    </xdr:from>
    <xdr:to>
      <xdr:col>2</xdr:col>
      <xdr:colOff>1770062</xdr:colOff>
      <xdr:row>1</xdr:row>
      <xdr:rowOff>150814</xdr:rowOff>
    </xdr:to>
    <xdr:sp macro="" textlink="">
      <xdr:nvSpPr>
        <xdr:cNvPr id="2" name="Rounded Rectangle 1">
          <a:hlinkClick xmlns:r="http://schemas.openxmlformats.org/officeDocument/2006/relationships" r:id="rId1"/>
        </xdr:cNvPr>
        <xdr:cNvSpPr/>
      </xdr:nvSpPr>
      <xdr:spPr>
        <a:xfrm>
          <a:off x="1103313" y="190501"/>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365124</xdr:colOff>
      <xdr:row>0</xdr:row>
      <xdr:rowOff>127000</xdr:rowOff>
    </xdr:from>
    <xdr:to>
      <xdr:col>2</xdr:col>
      <xdr:colOff>1833561</xdr:colOff>
      <xdr:row>1</xdr:row>
      <xdr:rowOff>166688</xdr:rowOff>
    </xdr:to>
    <xdr:sp macro="" textlink="">
      <xdr:nvSpPr>
        <xdr:cNvPr id="2" name="Rounded Rectangle 1">
          <a:hlinkClick xmlns:r="http://schemas.openxmlformats.org/officeDocument/2006/relationships" r:id="rId1"/>
        </xdr:cNvPr>
        <xdr:cNvSpPr/>
      </xdr:nvSpPr>
      <xdr:spPr>
        <a:xfrm>
          <a:off x="1165224" y="127000"/>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365124</xdr:colOff>
      <xdr:row>3</xdr:row>
      <xdr:rowOff>127000</xdr:rowOff>
    </xdr:from>
    <xdr:to>
      <xdr:col>2</xdr:col>
      <xdr:colOff>1833561</xdr:colOff>
      <xdr:row>4</xdr:row>
      <xdr:rowOff>166688</xdr:rowOff>
    </xdr:to>
    <xdr:sp macro="" textlink="">
      <xdr:nvSpPr>
        <xdr:cNvPr id="2" name="Rounded Rectangle 1">
          <a:hlinkClick xmlns:r="http://schemas.openxmlformats.org/officeDocument/2006/relationships" r:id="rId1"/>
        </xdr:cNvPr>
        <xdr:cNvSpPr/>
      </xdr:nvSpPr>
      <xdr:spPr>
        <a:xfrm>
          <a:off x="1165224" y="127000"/>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365124</xdr:colOff>
      <xdr:row>0</xdr:row>
      <xdr:rowOff>127000</xdr:rowOff>
    </xdr:from>
    <xdr:to>
      <xdr:col>2</xdr:col>
      <xdr:colOff>1833561</xdr:colOff>
      <xdr:row>0</xdr:row>
      <xdr:rowOff>658813</xdr:rowOff>
    </xdr:to>
    <xdr:sp macro="" textlink="">
      <xdr:nvSpPr>
        <xdr:cNvPr id="2" name="Rounded Rectangle 1">
          <a:hlinkClick xmlns:r="http://schemas.openxmlformats.org/officeDocument/2006/relationships" r:id="rId1"/>
        </xdr:cNvPr>
        <xdr:cNvSpPr/>
      </xdr:nvSpPr>
      <xdr:spPr>
        <a:xfrm>
          <a:off x="1166812" y="127000"/>
          <a:ext cx="1468437" cy="5318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371475</xdr:colOff>
      <xdr:row>0</xdr:row>
      <xdr:rowOff>104775</xdr:rowOff>
    </xdr:from>
    <xdr:to>
      <xdr:col>2</xdr:col>
      <xdr:colOff>1839912</xdr:colOff>
      <xdr:row>1</xdr:row>
      <xdr:rowOff>144463</xdr:rowOff>
    </xdr:to>
    <xdr:sp macro="" textlink="">
      <xdr:nvSpPr>
        <xdr:cNvPr id="2" name="Rounded Rectangle 1">
          <a:hlinkClick xmlns:r="http://schemas.openxmlformats.org/officeDocument/2006/relationships" r:id="rId1"/>
        </xdr:cNvPr>
        <xdr:cNvSpPr/>
      </xdr:nvSpPr>
      <xdr:spPr>
        <a:xfrm>
          <a:off x="1171575" y="104775"/>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twoCellAnchor>
    <xdr:from>
      <xdr:col>2</xdr:col>
      <xdr:colOff>400050</xdr:colOff>
      <xdr:row>2</xdr:row>
      <xdr:rowOff>771525</xdr:rowOff>
    </xdr:from>
    <xdr:to>
      <xdr:col>2</xdr:col>
      <xdr:colOff>1647825</xdr:colOff>
      <xdr:row>2</xdr:row>
      <xdr:rowOff>1162050</xdr:rowOff>
    </xdr:to>
    <xdr:sp macro="" textlink="">
      <xdr:nvSpPr>
        <xdr:cNvPr id="3" name="Rounded Rectangle 2">
          <a:hlinkClick xmlns:r="http://schemas.openxmlformats.org/officeDocument/2006/relationships" r:id="rId2"/>
        </xdr:cNvPr>
        <xdr:cNvSpPr/>
      </xdr:nvSpPr>
      <xdr:spPr>
        <a:xfrm>
          <a:off x="1200150" y="1152525"/>
          <a:ext cx="1247775" cy="390525"/>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a:t>REKAP NILAI KETRAMPILAN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485775</xdr:colOff>
      <xdr:row>2</xdr:row>
      <xdr:rowOff>723900</xdr:rowOff>
    </xdr:from>
    <xdr:to>
      <xdr:col>2</xdr:col>
      <xdr:colOff>1733550</xdr:colOff>
      <xdr:row>2</xdr:row>
      <xdr:rowOff>1114425</xdr:rowOff>
    </xdr:to>
    <xdr:sp macro="" textlink="">
      <xdr:nvSpPr>
        <xdr:cNvPr id="2" name="Rounded Rectangle 1">
          <a:hlinkClick xmlns:r="http://schemas.openxmlformats.org/officeDocument/2006/relationships" r:id="rId1"/>
        </xdr:cNvPr>
        <xdr:cNvSpPr/>
      </xdr:nvSpPr>
      <xdr:spPr>
        <a:xfrm>
          <a:off x="1285875" y="1104900"/>
          <a:ext cx="1247775" cy="390525"/>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a:t>REKAP NILAI KETRAMPILAN</a:t>
          </a:r>
        </a:p>
      </xdr:txBody>
    </xdr:sp>
    <xdr:clientData/>
  </xdr:twoCellAnchor>
  <xdr:twoCellAnchor>
    <xdr:from>
      <xdr:col>2</xdr:col>
      <xdr:colOff>447675</xdr:colOff>
      <xdr:row>0</xdr:row>
      <xdr:rowOff>114300</xdr:rowOff>
    </xdr:from>
    <xdr:to>
      <xdr:col>2</xdr:col>
      <xdr:colOff>1916112</xdr:colOff>
      <xdr:row>2</xdr:row>
      <xdr:rowOff>76200</xdr:rowOff>
    </xdr:to>
    <xdr:sp macro="" textlink="">
      <xdr:nvSpPr>
        <xdr:cNvPr id="3" name="Rounded Rectangle 2">
          <a:hlinkClick xmlns:r="http://schemas.openxmlformats.org/officeDocument/2006/relationships" r:id="rId2"/>
        </xdr:cNvPr>
        <xdr:cNvSpPr/>
      </xdr:nvSpPr>
      <xdr:spPr>
        <a:xfrm>
          <a:off x="1247775" y="114300"/>
          <a:ext cx="1468437" cy="342900"/>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76200</xdr:colOff>
      <xdr:row>0</xdr:row>
      <xdr:rowOff>276224</xdr:rowOff>
    </xdr:from>
    <xdr:to>
      <xdr:col>2</xdr:col>
      <xdr:colOff>304799</xdr:colOff>
      <xdr:row>6</xdr:row>
      <xdr:rowOff>106349</xdr:rowOff>
    </xdr:to>
    <xdr:sp macro="" textlink="">
      <xdr:nvSpPr>
        <xdr:cNvPr id="2" name="TextBox 1"/>
        <xdr:cNvSpPr txBox="1"/>
      </xdr:nvSpPr>
      <xdr:spPr>
        <a:xfrm>
          <a:off x="76200" y="276224"/>
          <a:ext cx="5200649" cy="11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baseline="0">
              <a:latin typeface="Times New Roman" pitchFamily="18" charset="0"/>
              <a:cs typeface="Times New Roman" pitchFamily="18" charset="0"/>
            </a:rPr>
            <a:t>Nama Siswa Yang Dinilai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Kelas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Mata Pelajaran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Tanggal Penilaian	: ................................................................................</a:t>
          </a:r>
          <a:endParaRPr lang="id-ID" sz="1100">
            <a:latin typeface="Times New Roman" pitchFamily="18" charset="0"/>
            <a:cs typeface="Times New Roman" pitchFamily="18" charset="0"/>
          </a:endParaRPr>
        </a:p>
      </xdr:txBody>
    </xdr:sp>
    <xdr:clientData/>
  </xdr:twoCellAnchor>
  <xdr:twoCellAnchor>
    <xdr:from>
      <xdr:col>6</xdr:col>
      <xdr:colOff>95250</xdr:colOff>
      <xdr:row>1</xdr:row>
      <xdr:rowOff>38100</xdr:rowOff>
    </xdr:from>
    <xdr:to>
      <xdr:col>8</xdr:col>
      <xdr:colOff>590550</xdr:colOff>
      <xdr:row>3</xdr:row>
      <xdr:rowOff>57150</xdr:rowOff>
    </xdr:to>
    <xdr:sp macro="" textlink="">
      <xdr:nvSpPr>
        <xdr:cNvPr id="4" name="Rounded Rectangle 3">
          <a:hlinkClick xmlns:r="http://schemas.openxmlformats.org/officeDocument/2006/relationships" r:id="rId1"/>
        </xdr:cNvPr>
        <xdr:cNvSpPr/>
      </xdr:nvSpPr>
      <xdr:spPr>
        <a:xfrm>
          <a:off x="6477000" y="32385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134937</xdr:colOff>
      <xdr:row>1</xdr:row>
      <xdr:rowOff>71438</xdr:rowOff>
    </xdr:from>
    <xdr:to>
      <xdr:col>6</xdr:col>
      <xdr:colOff>166687</xdr:colOff>
      <xdr:row>6</xdr:row>
      <xdr:rowOff>127001</xdr:rowOff>
    </xdr:to>
    <xdr:sp macro="" textlink="">
      <xdr:nvSpPr>
        <xdr:cNvPr id="2" name="TextBox 1"/>
        <xdr:cNvSpPr txBox="1"/>
      </xdr:nvSpPr>
      <xdr:spPr>
        <a:xfrm>
          <a:off x="134937" y="365126"/>
          <a:ext cx="5230813" cy="1111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baseline="0">
              <a:latin typeface="Times New Roman" pitchFamily="18" charset="0"/>
              <a:cs typeface="Times New Roman" pitchFamily="18" charset="0"/>
            </a:rPr>
            <a:t>Nama Siswa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Kelas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Mata Pelajaran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Tanggal Penilaian	: ................................................................................</a:t>
          </a:r>
          <a:endParaRPr lang="id-ID" sz="1100">
            <a:latin typeface="Times New Roman" pitchFamily="18" charset="0"/>
            <a:cs typeface="Times New Roman" pitchFamily="18" charset="0"/>
          </a:endParaRPr>
        </a:p>
      </xdr:txBody>
    </xdr:sp>
    <xdr:clientData/>
  </xdr:twoCellAnchor>
  <xdr:twoCellAnchor>
    <xdr:from>
      <xdr:col>7</xdr:col>
      <xdr:colOff>95250</xdr:colOff>
      <xdr:row>3</xdr:row>
      <xdr:rowOff>47625</xdr:rowOff>
    </xdr:from>
    <xdr:to>
      <xdr:col>9</xdr:col>
      <xdr:colOff>590550</xdr:colOff>
      <xdr:row>5</xdr:row>
      <xdr:rowOff>85725</xdr:rowOff>
    </xdr:to>
    <xdr:sp macro="" textlink="">
      <xdr:nvSpPr>
        <xdr:cNvPr id="5" name="Rounded Rectangle 4">
          <a:hlinkClick xmlns:r="http://schemas.openxmlformats.org/officeDocument/2006/relationships" r:id="rId1"/>
        </xdr:cNvPr>
        <xdr:cNvSpPr/>
      </xdr:nvSpPr>
      <xdr:spPr>
        <a:xfrm>
          <a:off x="6858000" y="82867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editAs="oneCell">
    <xdr:from>
      <xdr:col>2</xdr:col>
      <xdr:colOff>2257426</xdr:colOff>
      <xdr:row>0</xdr:row>
      <xdr:rowOff>476250</xdr:rowOff>
    </xdr:from>
    <xdr:to>
      <xdr:col>2</xdr:col>
      <xdr:colOff>3398889</xdr:colOff>
      <xdr:row>0</xdr:row>
      <xdr:rowOff>836250</xdr:rowOff>
    </xdr:to>
    <xdr:pic>
      <xdr:nvPicPr>
        <xdr:cNvPr id="6" name="Picture 5" descr="Cetak Formulir.png">
          <a:hlinkClick xmlns:r="http://schemas.openxmlformats.org/officeDocument/2006/relationships" r:id="rId6"/>
        </xdr:cNvPr>
        <xdr:cNvPicPr>
          <a:picLocks noChangeAspect="1"/>
        </xdr:cNvPicPr>
      </xdr:nvPicPr>
      <xdr:blipFill>
        <a:blip xmlns:r="http://schemas.openxmlformats.org/officeDocument/2006/relationships" r:embed="rId7" cstate="print"/>
        <a:stretch>
          <a:fillRect/>
        </a:stretch>
      </xdr:blipFill>
      <xdr:spPr>
        <a:xfrm>
          <a:off x="3057526" y="476250"/>
          <a:ext cx="1141463" cy="360000"/>
        </a:xfrm>
        <a:prstGeom prst="rect">
          <a:avLst/>
        </a:prstGeom>
      </xdr:spPr>
    </xdr:pic>
    <xdr:clientData/>
  </xdr:twoCellAnchor>
  <xdr:twoCellAnchor>
    <xdr:from>
      <xdr:col>2</xdr:col>
      <xdr:colOff>647700</xdr:colOff>
      <xdr:row>0</xdr:row>
      <xdr:rowOff>847726</xdr:rowOff>
    </xdr:from>
    <xdr:to>
      <xdr:col>2</xdr:col>
      <xdr:colOff>2076450</xdr:colOff>
      <xdr:row>0</xdr:row>
      <xdr:rowOff>1209676</xdr:rowOff>
    </xdr:to>
    <xdr:sp macro="" textlink="">
      <xdr:nvSpPr>
        <xdr:cNvPr id="8" name="Rounded Rectangle 7">
          <a:hlinkClick xmlns:r="http://schemas.openxmlformats.org/officeDocument/2006/relationships" r:id="rId8"/>
        </xdr:cNvPr>
        <xdr:cNvSpPr/>
      </xdr:nvSpPr>
      <xdr:spPr>
        <a:xfrm>
          <a:off x="1447800" y="847726"/>
          <a:ext cx="1428750" cy="361950"/>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600" b="1"/>
            <a:t>REKAP</a:t>
          </a:r>
          <a:r>
            <a:rPr lang="en-US" sz="1600" b="1" baseline="0"/>
            <a:t> SIKAP</a:t>
          </a:r>
          <a:endParaRPr lang="en-US" sz="1600" b="1"/>
        </a:p>
      </xdr:txBody>
    </xdr:sp>
    <xdr:clientData/>
  </xdr:twoCellAnchor>
  <xdr:twoCellAnchor>
    <xdr:from>
      <xdr:col>0</xdr:col>
      <xdr:colOff>85725</xdr:colOff>
      <xdr:row>0</xdr:row>
      <xdr:rowOff>371475</xdr:rowOff>
    </xdr:from>
    <xdr:to>
      <xdr:col>2</xdr:col>
      <xdr:colOff>1000125</xdr:colOff>
      <xdr:row>0</xdr:row>
      <xdr:rowOff>790575</xdr:rowOff>
    </xdr:to>
    <xdr:sp macro="" textlink="">
      <xdr:nvSpPr>
        <xdr:cNvPr id="9" name="Rounded Rectangle 8">
          <a:hlinkClick xmlns:r="http://schemas.openxmlformats.org/officeDocument/2006/relationships" r:id="rId9"/>
        </xdr:cNvPr>
        <xdr:cNvSpPr/>
      </xdr:nvSpPr>
      <xdr:spPr>
        <a:xfrm>
          <a:off x="85725" y="37147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161925</xdr:colOff>
      <xdr:row>4</xdr:row>
      <xdr:rowOff>114300</xdr:rowOff>
    </xdr:from>
    <xdr:to>
      <xdr:col>2</xdr:col>
      <xdr:colOff>2038350</xdr:colOff>
      <xdr:row>6</xdr:row>
      <xdr:rowOff>219075</xdr:rowOff>
    </xdr:to>
    <xdr:sp macro="" textlink="">
      <xdr:nvSpPr>
        <xdr:cNvPr id="3" name="Rounded Rectangle 2">
          <a:hlinkClick xmlns:r="http://schemas.openxmlformats.org/officeDocument/2006/relationships" r:id="rId1"/>
        </xdr:cNvPr>
        <xdr:cNvSpPr/>
      </xdr:nvSpPr>
      <xdr:spPr>
        <a:xfrm>
          <a:off x="962025" y="1123950"/>
          <a:ext cx="1876425" cy="485775"/>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n-US" sz="1600"/>
            <a:t>MENU UTAMA</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111125</xdr:colOff>
      <xdr:row>2</xdr:row>
      <xdr:rowOff>17463</xdr:rowOff>
    </xdr:from>
    <xdr:to>
      <xdr:col>2</xdr:col>
      <xdr:colOff>1987550</xdr:colOff>
      <xdr:row>4</xdr:row>
      <xdr:rowOff>261937</xdr:rowOff>
    </xdr:to>
    <xdr:sp macro="" textlink="">
      <xdr:nvSpPr>
        <xdr:cNvPr id="3" name="Rounded Rectangle 2">
          <a:hlinkClick xmlns:r="http://schemas.openxmlformats.org/officeDocument/2006/relationships" r:id="rId1"/>
        </xdr:cNvPr>
        <xdr:cNvSpPr/>
      </xdr:nvSpPr>
      <xdr:spPr>
        <a:xfrm>
          <a:off x="912813" y="612776"/>
          <a:ext cx="1876425" cy="625474"/>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n-US" sz="1600"/>
            <a:t>MENU UTAMA</a:t>
          </a: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xdr:from>
      <xdr:col>2</xdr:col>
      <xdr:colOff>1114425</xdr:colOff>
      <xdr:row>0</xdr:row>
      <xdr:rowOff>361950</xdr:rowOff>
    </xdr:from>
    <xdr:to>
      <xdr:col>2</xdr:col>
      <xdr:colOff>2314575</xdr:colOff>
      <xdr:row>0</xdr:row>
      <xdr:rowOff>657225</xdr:rowOff>
    </xdr:to>
    <xdr:sp macro="" textlink="">
      <xdr:nvSpPr>
        <xdr:cNvPr id="6" name="Rounded Rectangle 5">
          <a:hlinkClick xmlns:r="http://schemas.openxmlformats.org/officeDocument/2006/relationships" r:id="rId6"/>
        </xdr:cNvPr>
        <xdr:cNvSpPr/>
      </xdr:nvSpPr>
      <xdr:spPr>
        <a:xfrm>
          <a:off x="1914525" y="361950"/>
          <a:ext cx="12001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1</a:t>
          </a:r>
        </a:p>
      </xdr:txBody>
    </xdr:sp>
    <xdr:clientData/>
  </xdr:twoCellAnchor>
  <xdr:twoCellAnchor>
    <xdr:from>
      <xdr:col>2</xdr:col>
      <xdr:colOff>1123950</xdr:colOff>
      <xdr:row>0</xdr:row>
      <xdr:rowOff>790575</xdr:rowOff>
    </xdr:from>
    <xdr:to>
      <xdr:col>2</xdr:col>
      <xdr:colOff>2381250</xdr:colOff>
      <xdr:row>0</xdr:row>
      <xdr:rowOff>1143000</xdr:rowOff>
    </xdr:to>
    <xdr:sp macro="" textlink="">
      <xdr:nvSpPr>
        <xdr:cNvPr id="8" name="Rounded Rectangle 7">
          <a:hlinkClick xmlns:r="http://schemas.openxmlformats.org/officeDocument/2006/relationships" r:id="rId7"/>
        </xdr:cNvPr>
        <xdr:cNvSpPr/>
      </xdr:nvSpPr>
      <xdr:spPr>
        <a:xfrm>
          <a:off x="1924050" y="790575"/>
          <a:ext cx="1257300" cy="352425"/>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100"/>
            <a:t>REKAP</a:t>
          </a:r>
          <a:r>
            <a:rPr lang="en-US" sz="1100" baseline="0"/>
            <a:t> OBSERVASI</a:t>
          </a:r>
          <a:endParaRPr lang="en-US" sz="1100"/>
        </a:p>
      </xdr:txBody>
    </xdr:sp>
    <xdr:clientData/>
  </xdr:twoCellAnchor>
  <xdr:twoCellAnchor editAs="oneCell">
    <xdr:from>
      <xdr:col>2</xdr:col>
      <xdr:colOff>161925</xdr:colOff>
      <xdr:row>0</xdr:row>
      <xdr:rowOff>0</xdr:rowOff>
    </xdr:from>
    <xdr:to>
      <xdr:col>2</xdr:col>
      <xdr:colOff>161925</xdr:colOff>
      <xdr:row>0</xdr:row>
      <xdr:rowOff>190500</xdr:rowOff>
    </xdr:to>
    <xdr:pic>
      <xdr:nvPicPr>
        <xdr:cNvPr id="9" name="Picture 8" descr="Button Menu Utama.png">
          <a:hlinkClick xmlns:r="http://schemas.openxmlformats.org/officeDocument/2006/relationships" r:id="rId8"/>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0" name="Picture 9"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1" name="Picture 10" descr="Button Daftar Nilai Sikap.png">
          <a:hlinkClick xmlns:r="http://schemas.openxmlformats.org/officeDocument/2006/relationships" r:id="rId10"/>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12" name="Picture 11" descr="Cetak Formulir.png">
          <a:hlinkClick xmlns:r="http://schemas.openxmlformats.org/officeDocument/2006/relationships" r:id="rId11"/>
        </xdr:cNvPr>
        <xdr:cNvPicPr>
          <a:picLocks noChangeAspect="1"/>
        </xdr:cNvPicPr>
      </xdr:nvPicPr>
      <xdr:blipFill>
        <a:blip xmlns:r="http://schemas.openxmlformats.org/officeDocument/2006/relationships" r:embed="rId12"/>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13" name="Picture 12" descr="Button Menu Utama-2.png">
          <a:hlinkClick xmlns:r="http://schemas.openxmlformats.org/officeDocument/2006/relationships" r:id="rId13"/>
        </xdr:cNvPr>
        <xdr:cNvPicPr>
          <a:picLocks noChangeAspect="1"/>
        </xdr:cNvPicPr>
      </xdr:nvPicPr>
      <xdr:blipFill>
        <a:blip xmlns:r="http://schemas.openxmlformats.org/officeDocument/2006/relationships" r:embed="rId14" cstate="print"/>
        <a:stretch>
          <a:fillRect/>
        </a:stretch>
      </xdr:blipFill>
      <xdr:spPr>
        <a:xfrm>
          <a:off x="304800" y="590550"/>
          <a:ext cx="1166400" cy="1950"/>
        </a:xfrm>
        <a:prstGeom prst="rect">
          <a:avLst/>
        </a:prstGeom>
      </xdr:spPr>
    </xdr:pic>
    <xdr:clientData/>
  </xdr:twoCellAnchor>
  <xdr:twoCellAnchor>
    <xdr:from>
      <xdr:col>0</xdr:col>
      <xdr:colOff>0</xdr:colOff>
      <xdr:row>0</xdr:row>
      <xdr:rowOff>781050</xdr:rowOff>
    </xdr:from>
    <xdr:to>
      <xdr:col>2</xdr:col>
      <xdr:colOff>914400</xdr:colOff>
      <xdr:row>0</xdr:row>
      <xdr:rowOff>1200150</xdr:rowOff>
    </xdr:to>
    <xdr:sp macro="" textlink="">
      <xdr:nvSpPr>
        <xdr:cNvPr id="14" name="Rounded Rectangle 13">
          <a:hlinkClick xmlns:r="http://schemas.openxmlformats.org/officeDocument/2006/relationships" r:id="rId15"/>
        </xdr:cNvPr>
        <xdr:cNvSpPr/>
      </xdr:nvSpPr>
      <xdr:spPr>
        <a:xfrm>
          <a:off x="0" y="78105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xdr:from>
      <xdr:col>2</xdr:col>
      <xdr:colOff>1114424</xdr:colOff>
      <xdr:row>0</xdr:row>
      <xdr:rowOff>361950</xdr:rowOff>
    </xdr:from>
    <xdr:to>
      <xdr:col>2</xdr:col>
      <xdr:colOff>2362199</xdr:colOff>
      <xdr:row>0</xdr:row>
      <xdr:rowOff>752475</xdr:rowOff>
    </xdr:to>
    <xdr:sp macro="" textlink="">
      <xdr:nvSpPr>
        <xdr:cNvPr id="6" name="Rounded Rectangle 5">
          <a:hlinkClick xmlns:r="http://schemas.openxmlformats.org/officeDocument/2006/relationships" r:id="rId6"/>
        </xdr:cNvPr>
        <xdr:cNvSpPr/>
      </xdr:nvSpPr>
      <xdr:spPr>
        <a:xfrm>
          <a:off x="1914524" y="361950"/>
          <a:ext cx="1247775" cy="3905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a:t>
          </a:r>
          <a:r>
            <a:rPr lang="id-ID" sz="1100"/>
            <a:t>2</a:t>
          </a:r>
          <a:endParaRPr lang="en-US" sz="1100"/>
        </a:p>
      </xdr:txBody>
    </xdr:sp>
    <xdr:clientData/>
  </xdr:twoCellAnchor>
  <xdr:twoCellAnchor>
    <xdr:from>
      <xdr:col>0</xdr:col>
      <xdr:colOff>76200</xdr:colOff>
      <xdr:row>0</xdr:row>
      <xdr:rowOff>790575</xdr:rowOff>
    </xdr:from>
    <xdr:to>
      <xdr:col>2</xdr:col>
      <xdr:colOff>2362200</xdr:colOff>
      <xdr:row>0</xdr:row>
      <xdr:rowOff>1143000</xdr:rowOff>
    </xdr:to>
    <xdr:sp macro="" textlink="">
      <xdr:nvSpPr>
        <xdr:cNvPr id="8" name="Rounded Rectangle 7">
          <a:hlinkClick xmlns:r="http://schemas.openxmlformats.org/officeDocument/2006/relationships" r:id="rId7"/>
        </xdr:cNvPr>
        <xdr:cNvSpPr/>
      </xdr:nvSpPr>
      <xdr:spPr>
        <a:xfrm>
          <a:off x="76200" y="790575"/>
          <a:ext cx="3086100" cy="352425"/>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100"/>
            <a:t>REKAP </a:t>
          </a:r>
          <a:r>
            <a:rPr lang="id-ID" sz="1100"/>
            <a:t> OBSERVASI</a:t>
          </a:r>
          <a:endParaRPr lang="en-US" sz="1100"/>
        </a:p>
      </xdr:txBody>
    </xdr:sp>
    <xdr:clientData/>
  </xdr:twoCellAnchor>
  <xdr:twoCellAnchor editAs="oneCell">
    <xdr:from>
      <xdr:col>2</xdr:col>
      <xdr:colOff>161925</xdr:colOff>
      <xdr:row>0</xdr:row>
      <xdr:rowOff>0</xdr:rowOff>
    </xdr:from>
    <xdr:to>
      <xdr:col>2</xdr:col>
      <xdr:colOff>161925</xdr:colOff>
      <xdr:row>0</xdr:row>
      <xdr:rowOff>190500</xdr:rowOff>
    </xdr:to>
    <xdr:pic>
      <xdr:nvPicPr>
        <xdr:cNvPr id="9" name="Picture 8" descr="Button Menu Utama.png">
          <a:hlinkClick xmlns:r="http://schemas.openxmlformats.org/officeDocument/2006/relationships" r:id="rId8"/>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0" name="Picture 9"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1" name="Picture 10" descr="Button Daftar Nilai Sikap.png">
          <a:hlinkClick xmlns:r="http://schemas.openxmlformats.org/officeDocument/2006/relationships" r:id="rId10"/>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12" name="Picture 11" descr="Cetak Formulir.png">
          <a:hlinkClick xmlns:r="http://schemas.openxmlformats.org/officeDocument/2006/relationships" r:id="rId11"/>
        </xdr:cNvPr>
        <xdr:cNvPicPr>
          <a:picLocks noChangeAspect="1"/>
        </xdr:cNvPicPr>
      </xdr:nvPicPr>
      <xdr:blipFill>
        <a:blip xmlns:r="http://schemas.openxmlformats.org/officeDocument/2006/relationships" r:embed="rId12"/>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13" name="Picture 12" descr="Button Menu Utama-2.png">
          <a:hlinkClick xmlns:r="http://schemas.openxmlformats.org/officeDocument/2006/relationships" r:id="rId13"/>
        </xdr:cNvPr>
        <xdr:cNvPicPr>
          <a:picLocks noChangeAspect="1"/>
        </xdr:cNvPicPr>
      </xdr:nvPicPr>
      <xdr:blipFill>
        <a:blip xmlns:r="http://schemas.openxmlformats.org/officeDocument/2006/relationships" r:embed="rId14" cstate="print"/>
        <a:stretch>
          <a:fillRect/>
        </a:stretch>
      </xdr:blipFill>
      <xdr:spPr>
        <a:xfrm>
          <a:off x="304800" y="590550"/>
          <a:ext cx="1166400" cy="1950"/>
        </a:xfrm>
        <a:prstGeom prst="rect">
          <a:avLst/>
        </a:prstGeom>
      </xdr:spPr>
    </xdr:pic>
    <xdr:clientData/>
  </xdr:twoCellAnchor>
  <xdr:twoCellAnchor>
    <xdr:from>
      <xdr:col>0</xdr:col>
      <xdr:colOff>95250</xdr:colOff>
      <xdr:row>0</xdr:row>
      <xdr:rowOff>342900</xdr:rowOff>
    </xdr:from>
    <xdr:to>
      <xdr:col>2</xdr:col>
      <xdr:colOff>1009650</xdr:colOff>
      <xdr:row>0</xdr:row>
      <xdr:rowOff>762000</xdr:rowOff>
    </xdr:to>
    <xdr:sp macro="" textlink="">
      <xdr:nvSpPr>
        <xdr:cNvPr id="14" name="Rounded Rectangle 13">
          <a:hlinkClick xmlns:r="http://schemas.openxmlformats.org/officeDocument/2006/relationships" r:id="rId15"/>
        </xdr:cNvPr>
        <xdr:cNvSpPr/>
      </xdr:nvSpPr>
      <xdr:spPr>
        <a:xfrm>
          <a:off x="95250" y="34290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2.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xdr:from>
      <xdr:col>2</xdr:col>
      <xdr:colOff>1114425</xdr:colOff>
      <xdr:row>0</xdr:row>
      <xdr:rowOff>361950</xdr:rowOff>
    </xdr:from>
    <xdr:to>
      <xdr:col>2</xdr:col>
      <xdr:colOff>2314575</xdr:colOff>
      <xdr:row>0</xdr:row>
      <xdr:rowOff>657225</xdr:rowOff>
    </xdr:to>
    <xdr:sp macro="" textlink="">
      <xdr:nvSpPr>
        <xdr:cNvPr id="8" name="Rounded Rectangle 7">
          <a:hlinkClick xmlns:r="http://schemas.openxmlformats.org/officeDocument/2006/relationships" r:id="rId6"/>
        </xdr:cNvPr>
        <xdr:cNvSpPr/>
      </xdr:nvSpPr>
      <xdr:spPr>
        <a:xfrm>
          <a:off x="1914525" y="361950"/>
          <a:ext cx="12001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1</a:t>
          </a:r>
        </a:p>
      </xdr:txBody>
    </xdr:sp>
    <xdr:clientData/>
  </xdr:twoCellAnchor>
  <xdr:twoCellAnchor>
    <xdr:from>
      <xdr:col>2</xdr:col>
      <xdr:colOff>1085850</xdr:colOff>
      <xdr:row>0</xdr:row>
      <xdr:rowOff>762000</xdr:rowOff>
    </xdr:from>
    <xdr:to>
      <xdr:col>2</xdr:col>
      <xdr:colOff>2286000</xdr:colOff>
      <xdr:row>0</xdr:row>
      <xdr:rowOff>1057275</xdr:rowOff>
    </xdr:to>
    <xdr:sp macro="" textlink="">
      <xdr:nvSpPr>
        <xdr:cNvPr id="9" name="Rounded Rectangle 8">
          <a:hlinkClick xmlns:r="http://schemas.openxmlformats.org/officeDocument/2006/relationships" r:id="rId7"/>
        </xdr:cNvPr>
        <xdr:cNvSpPr/>
      </xdr:nvSpPr>
      <xdr:spPr>
        <a:xfrm>
          <a:off x="1885950" y="762000"/>
          <a:ext cx="12001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2</a:t>
          </a:r>
        </a:p>
      </xdr:txBody>
    </xdr:sp>
    <xdr:clientData/>
  </xdr:twoCellAnchor>
  <xdr:twoCellAnchor>
    <xdr:from>
      <xdr:col>0</xdr:col>
      <xdr:colOff>161924</xdr:colOff>
      <xdr:row>0</xdr:row>
      <xdr:rowOff>904875</xdr:rowOff>
    </xdr:from>
    <xdr:to>
      <xdr:col>2</xdr:col>
      <xdr:colOff>952499</xdr:colOff>
      <xdr:row>0</xdr:row>
      <xdr:rowOff>1362075</xdr:rowOff>
    </xdr:to>
    <xdr:sp macro="" textlink="">
      <xdr:nvSpPr>
        <xdr:cNvPr id="10" name="Rounded Rectangle 9">
          <a:hlinkClick xmlns:r="http://schemas.openxmlformats.org/officeDocument/2006/relationships" r:id="rId8"/>
        </xdr:cNvPr>
        <xdr:cNvSpPr/>
      </xdr:nvSpPr>
      <xdr:spPr>
        <a:xfrm>
          <a:off x="161924" y="904875"/>
          <a:ext cx="1590675" cy="457200"/>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100"/>
            <a:t>REKAP SIKAP</a:t>
          </a:r>
        </a:p>
      </xdr:txBody>
    </xdr:sp>
    <xdr:clientData/>
  </xdr:twoCellAnchor>
  <xdr:twoCellAnchor editAs="oneCell">
    <xdr:from>
      <xdr:col>2</xdr:col>
      <xdr:colOff>161925</xdr:colOff>
      <xdr:row>0</xdr:row>
      <xdr:rowOff>0</xdr:rowOff>
    </xdr:from>
    <xdr:to>
      <xdr:col>2</xdr:col>
      <xdr:colOff>161925</xdr:colOff>
      <xdr:row>0</xdr:row>
      <xdr:rowOff>190500</xdr:rowOff>
    </xdr:to>
    <xdr:pic>
      <xdr:nvPicPr>
        <xdr:cNvPr id="18" name="Picture 17"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9" name="Picture 18" descr="Button Menu Utama.png">
          <a:hlinkClick xmlns:r="http://schemas.openxmlformats.org/officeDocument/2006/relationships" r:id="rId10"/>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20" name="Picture 19" descr="Button Daftar Nilai Sikap.png">
          <a:hlinkClick xmlns:r="http://schemas.openxmlformats.org/officeDocument/2006/relationships" r:id="rId11"/>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21" name="Picture 20" descr="Cetak Formulir.png">
          <a:hlinkClick xmlns:r="http://schemas.openxmlformats.org/officeDocument/2006/relationships" r:id="rId12"/>
        </xdr:cNvPr>
        <xdr:cNvPicPr>
          <a:picLocks noChangeAspect="1"/>
        </xdr:cNvPicPr>
      </xdr:nvPicPr>
      <xdr:blipFill>
        <a:blip xmlns:r="http://schemas.openxmlformats.org/officeDocument/2006/relationships" r:embed="rId13"/>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22" name="Picture 21" descr="Button Menu Utama-2.png">
          <a:hlinkClick xmlns:r="http://schemas.openxmlformats.org/officeDocument/2006/relationships" r:id="rId14"/>
        </xdr:cNvPr>
        <xdr:cNvPicPr>
          <a:picLocks noChangeAspect="1"/>
        </xdr:cNvPicPr>
      </xdr:nvPicPr>
      <xdr:blipFill>
        <a:blip xmlns:r="http://schemas.openxmlformats.org/officeDocument/2006/relationships" r:embed="rId15" cstate="print"/>
        <a:stretch>
          <a:fillRect/>
        </a:stretch>
      </xdr:blipFill>
      <xdr:spPr>
        <a:xfrm>
          <a:off x="304800" y="590550"/>
          <a:ext cx="1166400" cy="1950"/>
        </a:xfrm>
        <a:prstGeom prst="rect">
          <a:avLst/>
        </a:prstGeom>
      </xdr:spPr>
    </xdr:pic>
    <xdr:clientData/>
  </xdr:twoCellAnchor>
  <xdr:twoCellAnchor>
    <xdr:from>
      <xdr:col>0</xdr:col>
      <xdr:colOff>114300</xdr:colOff>
      <xdr:row>0</xdr:row>
      <xdr:rowOff>342900</xdr:rowOff>
    </xdr:from>
    <xdr:to>
      <xdr:col>2</xdr:col>
      <xdr:colOff>1028700</xdr:colOff>
      <xdr:row>0</xdr:row>
      <xdr:rowOff>762000</xdr:rowOff>
    </xdr:to>
    <xdr:sp macro="" textlink="">
      <xdr:nvSpPr>
        <xdr:cNvPr id="14" name="Rounded Rectangle 13">
          <a:hlinkClick xmlns:r="http://schemas.openxmlformats.org/officeDocument/2006/relationships" r:id="rId16"/>
        </xdr:cNvPr>
        <xdr:cNvSpPr/>
      </xdr:nvSpPr>
      <xdr:spPr>
        <a:xfrm>
          <a:off x="114300" y="34290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3.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190500</xdr:rowOff>
    </xdr:to>
    <xdr:pic>
      <xdr:nvPicPr>
        <xdr:cNvPr id="17" name="Picture 16"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8" name="Picture 17"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9" name="Picture 18"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20" name="Picture 19" descr="Cetak Formulir.png">
          <a:hlinkClick xmlns:r="http://schemas.openxmlformats.org/officeDocument/2006/relationships" r:id="rId6"/>
        </xdr:cNvPr>
        <xdr:cNvPicPr>
          <a:picLocks noChangeAspect="1"/>
        </xdr:cNvPicPr>
      </xdr:nvPicPr>
      <xdr:blipFill>
        <a:blip xmlns:r="http://schemas.openxmlformats.org/officeDocument/2006/relationships" r:embed="rId7"/>
        <a:stretch>
          <a:fillRect/>
        </a:stretch>
      </xdr:blipFill>
      <xdr:spPr>
        <a:xfrm>
          <a:off x="3057525" y="581025"/>
          <a:ext cx="1238250" cy="390525"/>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21" name="Picture 20" descr="Button Menu Utama-2.png">
          <a:hlinkClick xmlns:r="http://schemas.openxmlformats.org/officeDocument/2006/relationships" r:id="rId8"/>
        </xdr:cNvPr>
        <xdr:cNvPicPr>
          <a:picLocks noChangeAspect="1"/>
        </xdr:cNvPicPr>
      </xdr:nvPicPr>
      <xdr:blipFill>
        <a:blip xmlns:r="http://schemas.openxmlformats.org/officeDocument/2006/relationships" r:embed="rId9" cstate="print"/>
        <a:stretch>
          <a:fillRect/>
        </a:stretch>
      </xdr:blipFill>
      <xdr:spPr>
        <a:xfrm>
          <a:off x="304800" y="590550"/>
          <a:ext cx="1166400" cy="360000"/>
        </a:xfrm>
        <a:prstGeom prst="rect">
          <a:avLst/>
        </a:prstGeom>
      </xdr:spPr>
    </xdr:pic>
    <xdr:clientData/>
  </xdr:twoCellAnchor>
  <xdr:twoCellAnchor editAs="oneCell">
    <xdr:from>
      <xdr:col>0</xdr:col>
      <xdr:colOff>161925</xdr:colOff>
      <xdr:row>0</xdr:row>
      <xdr:rowOff>504825</xdr:rowOff>
    </xdr:from>
    <xdr:to>
      <xdr:col>2</xdr:col>
      <xdr:colOff>528225</xdr:colOff>
      <xdr:row>0</xdr:row>
      <xdr:rowOff>864825</xdr:rowOff>
    </xdr:to>
    <xdr:pic>
      <xdr:nvPicPr>
        <xdr:cNvPr id="22" name="Picture 21" descr="Button Menu Utama-2.png">
          <a:hlinkClick xmlns:r="http://schemas.openxmlformats.org/officeDocument/2006/relationships" r:id="rId10"/>
        </xdr:cNvPr>
        <xdr:cNvPicPr>
          <a:picLocks noChangeAspect="1"/>
        </xdr:cNvPicPr>
      </xdr:nvPicPr>
      <xdr:blipFill>
        <a:blip xmlns:r="http://schemas.openxmlformats.org/officeDocument/2006/relationships" r:embed="rId9"/>
        <a:stretch>
          <a:fillRect/>
        </a:stretch>
      </xdr:blipFill>
      <xdr:spPr>
        <a:xfrm>
          <a:off x="161925" y="504825"/>
          <a:ext cx="1166400" cy="360000"/>
        </a:xfrm>
        <a:prstGeom prst="rect">
          <a:avLst/>
        </a:prstGeom>
      </xdr:spPr>
    </xdr:pic>
    <xdr:clientData/>
  </xdr:twoCellAnchor>
  <xdr:twoCellAnchor editAs="oneCell">
    <xdr:from>
      <xdr:col>2</xdr:col>
      <xdr:colOff>657225</xdr:colOff>
      <xdr:row>0</xdr:row>
      <xdr:rowOff>523875</xdr:rowOff>
    </xdr:from>
    <xdr:to>
      <xdr:col>2</xdr:col>
      <xdr:colOff>1895475</xdr:colOff>
      <xdr:row>0</xdr:row>
      <xdr:rowOff>914400</xdr:rowOff>
    </xdr:to>
    <xdr:pic>
      <xdr:nvPicPr>
        <xdr:cNvPr id="23" name="Picture 22" descr="Cetak Formulir.png">
          <a:hlinkClick xmlns:r="http://schemas.openxmlformats.org/officeDocument/2006/relationships" r:id="rId11"/>
        </xdr:cNvPr>
        <xdr:cNvPicPr>
          <a:picLocks noChangeAspect="1"/>
        </xdr:cNvPicPr>
      </xdr:nvPicPr>
      <xdr:blipFill>
        <a:blip xmlns:r="http://schemas.openxmlformats.org/officeDocument/2006/relationships" r:embed="rId7"/>
        <a:stretch>
          <a:fillRect/>
        </a:stretch>
      </xdr:blipFill>
      <xdr:spPr>
        <a:xfrm>
          <a:off x="1457325" y="523875"/>
          <a:ext cx="1238250" cy="39052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971550</xdr:rowOff>
    </xdr:to>
    <xdr:pic>
      <xdr:nvPicPr>
        <xdr:cNvPr id="6" name="Picture 5" descr="Cetak Formulir.png">
          <a:hlinkClick xmlns:r="http://schemas.openxmlformats.org/officeDocument/2006/relationships" r:id="rId6"/>
        </xdr:cNvPr>
        <xdr:cNvPicPr>
          <a:picLocks noChangeAspect="1"/>
        </xdr:cNvPicPr>
      </xdr:nvPicPr>
      <xdr:blipFill>
        <a:blip xmlns:r="http://schemas.openxmlformats.org/officeDocument/2006/relationships" r:embed="rId7"/>
        <a:stretch>
          <a:fillRect/>
        </a:stretch>
      </xdr:blipFill>
      <xdr:spPr>
        <a:xfrm>
          <a:off x="3057525" y="581025"/>
          <a:ext cx="1238250" cy="390525"/>
        </a:xfrm>
        <a:prstGeom prst="rect">
          <a:avLst/>
        </a:prstGeom>
      </xdr:spPr>
    </xdr:pic>
    <xdr:clientData/>
  </xdr:twoCellAnchor>
  <xdr:twoCellAnchor editAs="oneCell">
    <xdr:from>
      <xdr:col>2</xdr:col>
      <xdr:colOff>161925</xdr:colOff>
      <xdr:row>0</xdr:row>
      <xdr:rowOff>0</xdr:rowOff>
    </xdr:from>
    <xdr:to>
      <xdr:col>2</xdr:col>
      <xdr:colOff>161925</xdr:colOff>
      <xdr:row>0</xdr:row>
      <xdr:rowOff>190500</xdr:rowOff>
    </xdr:to>
    <xdr:pic>
      <xdr:nvPicPr>
        <xdr:cNvPr id="13" name="Picture 12" descr="Button Menu Utama.png">
          <a:hlinkClick xmlns:r="http://schemas.openxmlformats.org/officeDocument/2006/relationships" r:id="rId8"/>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4" name="Picture 13"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5" name="Picture 14" descr="Button Daftar Nilai Sikap.png">
          <a:hlinkClick xmlns:r="http://schemas.openxmlformats.org/officeDocument/2006/relationships" r:id="rId10"/>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16" name="Picture 15" descr="Cetak Formulir.png">
          <a:hlinkClick xmlns:r="http://schemas.openxmlformats.org/officeDocument/2006/relationships" r:id="rId11"/>
        </xdr:cNvPr>
        <xdr:cNvPicPr>
          <a:picLocks noChangeAspect="1"/>
        </xdr:cNvPicPr>
      </xdr:nvPicPr>
      <xdr:blipFill>
        <a:blip xmlns:r="http://schemas.openxmlformats.org/officeDocument/2006/relationships" r:embed="rId7"/>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17" name="Picture 16" descr="Button Menu Utama-2.png">
          <a:hlinkClick xmlns:r="http://schemas.openxmlformats.org/officeDocument/2006/relationships" r:id="rId12"/>
        </xdr:cNvPr>
        <xdr:cNvPicPr>
          <a:picLocks noChangeAspect="1"/>
        </xdr:cNvPicPr>
      </xdr:nvPicPr>
      <xdr:blipFill>
        <a:blip xmlns:r="http://schemas.openxmlformats.org/officeDocument/2006/relationships" r:embed="rId13" cstate="print"/>
        <a:stretch>
          <a:fillRect/>
        </a:stretch>
      </xdr:blipFill>
      <xdr:spPr>
        <a:xfrm>
          <a:off x="304800" y="590550"/>
          <a:ext cx="1166400" cy="1950"/>
        </a:xfrm>
        <a:prstGeom prst="rect">
          <a:avLst/>
        </a:prstGeom>
      </xdr:spPr>
    </xdr:pic>
    <xdr:clientData/>
  </xdr:twoCellAnchor>
  <xdr:twoCellAnchor>
    <xdr:from>
      <xdr:col>2</xdr:col>
      <xdr:colOff>752475</xdr:colOff>
      <xdr:row>0</xdr:row>
      <xdr:rowOff>1076326</xdr:rowOff>
    </xdr:from>
    <xdr:to>
      <xdr:col>2</xdr:col>
      <xdr:colOff>2238375</xdr:colOff>
      <xdr:row>0</xdr:row>
      <xdr:rowOff>1476376</xdr:rowOff>
    </xdr:to>
    <xdr:sp macro="" textlink="">
      <xdr:nvSpPr>
        <xdr:cNvPr id="12" name="Rounded Rectangle 11">
          <a:hlinkClick xmlns:r="http://schemas.openxmlformats.org/officeDocument/2006/relationships" r:id="rId14"/>
        </xdr:cNvPr>
        <xdr:cNvSpPr/>
      </xdr:nvSpPr>
      <xdr:spPr>
        <a:xfrm>
          <a:off x="1552575" y="1076326"/>
          <a:ext cx="1485900" cy="400050"/>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800" b="1"/>
            <a:t>REKAP</a:t>
          </a:r>
          <a:r>
            <a:rPr lang="en-US" sz="1800" b="1" baseline="0"/>
            <a:t> SIKAP</a:t>
          </a:r>
          <a:endParaRPr lang="en-US" sz="1800" b="1"/>
        </a:p>
      </xdr:txBody>
    </xdr:sp>
    <xdr:clientData/>
  </xdr:twoCellAnchor>
  <xdr:twoCellAnchor>
    <xdr:from>
      <xdr:col>2</xdr:col>
      <xdr:colOff>47625</xdr:colOff>
      <xdr:row>0</xdr:row>
      <xdr:rowOff>485775</xdr:rowOff>
    </xdr:from>
    <xdr:to>
      <xdr:col>2</xdr:col>
      <xdr:colOff>1762125</xdr:colOff>
      <xdr:row>0</xdr:row>
      <xdr:rowOff>904875</xdr:rowOff>
    </xdr:to>
    <xdr:sp macro="" textlink="">
      <xdr:nvSpPr>
        <xdr:cNvPr id="18" name="Rounded Rectangle 17">
          <a:hlinkClick xmlns:r="http://schemas.openxmlformats.org/officeDocument/2006/relationships" r:id="rId15"/>
        </xdr:cNvPr>
        <xdr:cNvSpPr/>
      </xdr:nvSpPr>
      <xdr:spPr>
        <a:xfrm>
          <a:off x="847725" y="48577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2</xdr:col>
      <xdr:colOff>238125</xdr:colOff>
      <xdr:row>0</xdr:row>
      <xdr:rowOff>85725</xdr:rowOff>
    </xdr:from>
    <xdr:to>
      <xdr:col>2</xdr:col>
      <xdr:colOff>1952625</xdr:colOff>
      <xdr:row>2</xdr:row>
      <xdr:rowOff>123825</xdr:rowOff>
    </xdr:to>
    <xdr:sp macro="" textlink="">
      <xdr:nvSpPr>
        <xdr:cNvPr id="4" name="Rounded Rectangle 3">
          <a:hlinkClick xmlns:r="http://schemas.openxmlformats.org/officeDocument/2006/relationships" r:id="rId1"/>
        </xdr:cNvPr>
        <xdr:cNvSpPr/>
      </xdr:nvSpPr>
      <xdr:spPr>
        <a:xfrm>
          <a:off x="1038225" y="857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95250</xdr:colOff>
      <xdr:row>0</xdr:row>
      <xdr:rowOff>66676</xdr:rowOff>
    </xdr:from>
    <xdr:to>
      <xdr:col>1</xdr:col>
      <xdr:colOff>552449</xdr:colOff>
      <xdr:row>2</xdr:row>
      <xdr:rowOff>104776</xdr:rowOff>
    </xdr:to>
    <xdr:sp macro="" textlink="">
      <xdr:nvSpPr>
        <xdr:cNvPr id="2" name="Flowchart: Alternate Process 1">
          <a:hlinkClick xmlns:r="http://schemas.openxmlformats.org/officeDocument/2006/relationships" r:id="rId1" tooltip="Klik &quot;Menu&quot; untuk kembali ke Menu. Created by Purnawanto"/>
        </xdr:cNvPr>
        <xdr:cNvSpPr/>
      </xdr:nvSpPr>
      <xdr:spPr>
        <a:xfrm>
          <a:off x="95250" y="66676"/>
          <a:ext cx="761999" cy="457200"/>
        </a:xfrm>
        <a:prstGeom prst="flowChartAlternateProcess">
          <a:avLst/>
        </a:prstGeom>
        <a:solidFill>
          <a:srgbClr val="FFFF00"/>
        </a:solidFill>
        <a:ln>
          <a:solidFill>
            <a:srgbClr val="0000CC"/>
          </a:solidFill>
        </a:ln>
        <a:effectLst>
          <a:glow rad="228600">
            <a:schemeClr val="accent5">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400">
              <a:solidFill>
                <a:srgbClr val="C00000"/>
              </a:solidFill>
              <a:effectLst>
                <a:glow rad="228600">
                  <a:schemeClr val="accent3">
                    <a:satMod val="175000"/>
                    <a:alpha val="40000"/>
                  </a:schemeClr>
                </a:glow>
              </a:effectLst>
              <a:latin typeface="Arial Rounded MT Bold" pitchFamily="34" charset="0"/>
            </a:rPr>
            <a:t>Home</a:t>
          </a:r>
        </a:p>
      </xdr:txBody>
    </xdr:sp>
    <xdr:clientData/>
  </xdr:twoCellAnchor>
  <xdr:twoCellAnchor>
    <xdr:from>
      <xdr:col>0</xdr:col>
      <xdr:colOff>156127</xdr:colOff>
      <xdr:row>3</xdr:row>
      <xdr:rowOff>65433</xdr:rowOff>
    </xdr:from>
    <xdr:to>
      <xdr:col>1</xdr:col>
      <xdr:colOff>1470577</xdr:colOff>
      <xdr:row>13</xdr:row>
      <xdr:rowOff>0</xdr:rowOff>
    </xdr:to>
    <xdr:sp macro="" textlink="">
      <xdr:nvSpPr>
        <xdr:cNvPr id="3" name="Rectangle 2"/>
        <xdr:cNvSpPr/>
      </xdr:nvSpPr>
      <xdr:spPr>
        <a:xfrm>
          <a:off x="156127" y="1265583"/>
          <a:ext cx="1619250" cy="1839567"/>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100" b="1"/>
            <a:t>PETUNJUK:</a:t>
          </a:r>
        </a:p>
        <a:p>
          <a:pPr algn="l"/>
          <a:r>
            <a:rPr lang="id-ID" sz="1100"/>
            <a:t>1.</a:t>
          </a:r>
          <a:r>
            <a:rPr lang="id-ID" sz="1100" baseline="0"/>
            <a:t> Isilah aspek yang akan </a:t>
          </a:r>
        </a:p>
        <a:p>
          <a:pPr algn="l"/>
          <a:r>
            <a:rPr lang="id-ID" sz="1100" baseline="0"/>
            <a:t>    dinilai untuk  penilaian </a:t>
          </a:r>
        </a:p>
        <a:p>
          <a:pPr algn="l"/>
          <a:r>
            <a:rPr lang="id-ID" sz="1100" baseline="0"/>
            <a:t>    portofolio</a:t>
          </a:r>
        </a:p>
        <a:p>
          <a:pPr algn="l"/>
          <a:r>
            <a:rPr lang="id-ID" sz="1100" baseline="0"/>
            <a:t>2. Isilah keterangan  </a:t>
          </a:r>
        </a:p>
        <a:p>
          <a:pPr algn="l"/>
          <a:r>
            <a:rPr lang="id-ID" sz="1100" baseline="0"/>
            <a:t>    penilaian untuk </a:t>
          </a:r>
        </a:p>
        <a:p>
          <a:pPr algn="l"/>
          <a:r>
            <a:rPr lang="id-ID" sz="1100" baseline="0"/>
            <a:t>    masing2 skor 1, 2, 3 </a:t>
          </a:r>
        </a:p>
        <a:p>
          <a:pPr algn="l"/>
          <a:r>
            <a:rPr lang="id-ID" sz="1100" baseline="0"/>
            <a:t>    dan 4.</a:t>
          </a:r>
        </a:p>
        <a:p>
          <a:pPr algn="l"/>
          <a:r>
            <a:rPr lang="id-ID" sz="1100" baseline="0"/>
            <a:t>3. Isi nilai Portofolio</a:t>
          </a:r>
        </a:p>
        <a:p>
          <a:pPr algn="l"/>
          <a:r>
            <a:rPr lang="id-ID" sz="1100" baseline="0"/>
            <a:t>    setiap siswa.</a:t>
          </a:r>
          <a:endParaRPr lang="id-ID" sz="1100"/>
        </a:p>
      </xdr:txBody>
    </xdr:sp>
    <xdr:clientData/>
  </xdr:twoCellAnchor>
  <xdr:twoCellAnchor>
    <xdr:from>
      <xdr:col>1</xdr:col>
      <xdr:colOff>600075</xdr:colOff>
      <xdr:row>0</xdr:row>
      <xdr:rowOff>104775</xdr:rowOff>
    </xdr:from>
    <xdr:to>
      <xdr:col>2</xdr:col>
      <xdr:colOff>19050</xdr:colOff>
      <xdr:row>2</xdr:row>
      <xdr:rowOff>76200</xdr:rowOff>
    </xdr:to>
    <xdr:sp macro="" textlink="">
      <xdr:nvSpPr>
        <xdr:cNvPr id="4" name="Rounded Rectangle 3">
          <a:hlinkClick xmlns:r="http://schemas.openxmlformats.org/officeDocument/2006/relationships" r:id="rId2"/>
        </xdr:cNvPr>
        <xdr:cNvSpPr/>
      </xdr:nvSpPr>
      <xdr:spPr>
        <a:xfrm>
          <a:off x="904875" y="104775"/>
          <a:ext cx="1247775" cy="390525"/>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a:t>REKAP NILAI KETRAMPILAN</a:t>
          </a:r>
        </a:p>
      </xdr:txBody>
    </xdr:sp>
    <xdr:clientData/>
  </xdr:twoCellAnchor>
  <xdr:twoCellAnchor>
    <xdr:from>
      <xdr:col>10</xdr:col>
      <xdr:colOff>247650</xdr:colOff>
      <xdr:row>9</xdr:row>
      <xdr:rowOff>123825</xdr:rowOff>
    </xdr:from>
    <xdr:to>
      <xdr:col>13</xdr:col>
      <xdr:colOff>514350</xdr:colOff>
      <xdr:row>11</xdr:row>
      <xdr:rowOff>161925</xdr:rowOff>
    </xdr:to>
    <xdr:sp macro="" textlink="">
      <xdr:nvSpPr>
        <xdr:cNvPr id="5" name="Rounded Rectangle 4">
          <a:hlinkClick xmlns:r="http://schemas.openxmlformats.org/officeDocument/2006/relationships" r:id="rId3"/>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110</xdr:col>
      <xdr:colOff>0</xdr:colOff>
      <xdr:row>10</xdr:row>
      <xdr:rowOff>0</xdr:rowOff>
    </xdr:from>
    <xdr:to>
      <xdr:col>114</xdr:col>
      <xdr:colOff>304800</xdr:colOff>
      <xdr:row>12</xdr:row>
      <xdr:rowOff>38100</xdr:rowOff>
    </xdr:to>
    <xdr:sp macro="" textlink="">
      <xdr:nvSpPr>
        <xdr:cNvPr id="13" name="Rounded Rectangle 12">
          <a:hlinkClick xmlns:r="http://schemas.openxmlformats.org/officeDocument/2006/relationships" r:id="rId4"/>
        </xdr:cNvPr>
        <xdr:cNvSpPr/>
      </xdr:nvSpPr>
      <xdr:spPr>
        <a:xfrm>
          <a:off x="50482500" y="194310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22</xdr:col>
      <xdr:colOff>247650</xdr:colOff>
      <xdr:row>9</xdr:row>
      <xdr:rowOff>123825</xdr:rowOff>
    </xdr:from>
    <xdr:to>
      <xdr:col>25</xdr:col>
      <xdr:colOff>514350</xdr:colOff>
      <xdr:row>11</xdr:row>
      <xdr:rowOff>161925</xdr:rowOff>
    </xdr:to>
    <xdr:sp macro="" textlink="">
      <xdr:nvSpPr>
        <xdr:cNvPr id="14" name="Rounded Rectangle 13">
          <a:hlinkClick xmlns:r="http://schemas.openxmlformats.org/officeDocument/2006/relationships" r:id="rId5"/>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34</xdr:col>
      <xdr:colOff>247650</xdr:colOff>
      <xdr:row>9</xdr:row>
      <xdr:rowOff>123825</xdr:rowOff>
    </xdr:from>
    <xdr:to>
      <xdr:col>37</xdr:col>
      <xdr:colOff>514350</xdr:colOff>
      <xdr:row>11</xdr:row>
      <xdr:rowOff>161925</xdr:rowOff>
    </xdr:to>
    <xdr:sp macro="" textlink="">
      <xdr:nvSpPr>
        <xdr:cNvPr id="15" name="Rounded Rectangle 14">
          <a:hlinkClick xmlns:r="http://schemas.openxmlformats.org/officeDocument/2006/relationships" r:id="rId6"/>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46</xdr:col>
      <xdr:colOff>247650</xdr:colOff>
      <xdr:row>9</xdr:row>
      <xdr:rowOff>123825</xdr:rowOff>
    </xdr:from>
    <xdr:to>
      <xdr:col>49</xdr:col>
      <xdr:colOff>514350</xdr:colOff>
      <xdr:row>11</xdr:row>
      <xdr:rowOff>161925</xdr:rowOff>
    </xdr:to>
    <xdr:sp macro="" textlink="">
      <xdr:nvSpPr>
        <xdr:cNvPr id="16" name="Rounded Rectangle 15">
          <a:hlinkClick xmlns:r="http://schemas.openxmlformats.org/officeDocument/2006/relationships" r:id="rId7"/>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58</xdr:col>
      <xdr:colOff>247650</xdr:colOff>
      <xdr:row>9</xdr:row>
      <xdr:rowOff>123825</xdr:rowOff>
    </xdr:from>
    <xdr:to>
      <xdr:col>61</xdr:col>
      <xdr:colOff>514350</xdr:colOff>
      <xdr:row>11</xdr:row>
      <xdr:rowOff>161925</xdr:rowOff>
    </xdr:to>
    <xdr:sp macro="" textlink="">
      <xdr:nvSpPr>
        <xdr:cNvPr id="17" name="Rounded Rectangle 16">
          <a:hlinkClick xmlns:r="http://schemas.openxmlformats.org/officeDocument/2006/relationships" r:id="rId8"/>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70</xdr:col>
      <xdr:colOff>247650</xdr:colOff>
      <xdr:row>9</xdr:row>
      <xdr:rowOff>123825</xdr:rowOff>
    </xdr:from>
    <xdr:to>
      <xdr:col>73</xdr:col>
      <xdr:colOff>514350</xdr:colOff>
      <xdr:row>11</xdr:row>
      <xdr:rowOff>161925</xdr:rowOff>
    </xdr:to>
    <xdr:sp macro="" textlink="">
      <xdr:nvSpPr>
        <xdr:cNvPr id="18" name="Rounded Rectangle 17">
          <a:hlinkClick xmlns:r="http://schemas.openxmlformats.org/officeDocument/2006/relationships" r:id="rId9"/>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82</xdr:col>
      <xdr:colOff>247650</xdr:colOff>
      <xdr:row>9</xdr:row>
      <xdr:rowOff>123825</xdr:rowOff>
    </xdr:from>
    <xdr:to>
      <xdr:col>85</xdr:col>
      <xdr:colOff>514350</xdr:colOff>
      <xdr:row>11</xdr:row>
      <xdr:rowOff>161925</xdr:rowOff>
    </xdr:to>
    <xdr:sp macro="" textlink="">
      <xdr:nvSpPr>
        <xdr:cNvPr id="19" name="Rounded Rectangle 18">
          <a:hlinkClick xmlns:r="http://schemas.openxmlformats.org/officeDocument/2006/relationships" r:id="rId10"/>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94</xdr:col>
      <xdr:colOff>247650</xdr:colOff>
      <xdr:row>9</xdr:row>
      <xdr:rowOff>123825</xdr:rowOff>
    </xdr:from>
    <xdr:to>
      <xdr:col>97</xdr:col>
      <xdr:colOff>514350</xdr:colOff>
      <xdr:row>11</xdr:row>
      <xdr:rowOff>161925</xdr:rowOff>
    </xdr:to>
    <xdr:sp macro="" textlink="">
      <xdr:nvSpPr>
        <xdr:cNvPr id="20" name="Rounded Rectangle 19">
          <a:hlinkClick xmlns:r="http://schemas.openxmlformats.org/officeDocument/2006/relationships" r:id="rId11"/>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118</xdr:col>
      <xdr:colOff>247650</xdr:colOff>
      <xdr:row>9</xdr:row>
      <xdr:rowOff>123825</xdr:rowOff>
    </xdr:from>
    <xdr:to>
      <xdr:col>121</xdr:col>
      <xdr:colOff>514350</xdr:colOff>
      <xdr:row>11</xdr:row>
      <xdr:rowOff>161925</xdr:rowOff>
    </xdr:to>
    <xdr:sp macro="" textlink="">
      <xdr:nvSpPr>
        <xdr:cNvPr id="22" name="Rounded Rectangle 21">
          <a:hlinkClick xmlns:r="http://schemas.openxmlformats.org/officeDocument/2006/relationships" r:id="rId12"/>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70402</xdr:colOff>
      <xdr:row>6</xdr:row>
      <xdr:rowOff>65433</xdr:rowOff>
    </xdr:from>
    <xdr:to>
      <xdr:col>1</xdr:col>
      <xdr:colOff>1384852</xdr:colOff>
      <xdr:row>16</xdr:row>
      <xdr:rowOff>0</xdr:rowOff>
    </xdr:to>
    <xdr:sp macro="" textlink="">
      <xdr:nvSpPr>
        <xdr:cNvPr id="3" name="Rectangle 2"/>
        <xdr:cNvSpPr/>
      </xdr:nvSpPr>
      <xdr:spPr>
        <a:xfrm>
          <a:off x="70402" y="1265583"/>
          <a:ext cx="1619250" cy="1839567"/>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100" b="1"/>
            <a:t>PETUNJUK:</a:t>
          </a:r>
        </a:p>
        <a:p>
          <a:pPr algn="l"/>
          <a:r>
            <a:rPr lang="id-ID" sz="1100"/>
            <a:t>1.</a:t>
          </a:r>
          <a:r>
            <a:rPr lang="id-ID" sz="1100" baseline="0"/>
            <a:t> Isilah aspek yang akan </a:t>
          </a:r>
        </a:p>
        <a:p>
          <a:pPr algn="l"/>
          <a:r>
            <a:rPr lang="id-ID" sz="1100" baseline="0"/>
            <a:t>    dinilai untuk  penilaian </a:t>
          </a:r>
        </a:p>
        <a:p>
          <a:pPr algn="l"/>
          <a:r>
            <a:rPr lang="id-ID" sz="1100" baseline="0"/>
            <a:t>    portofolio</a:t>
          </a:r>
        </a:p>
        <a:p>
          <a:pPr algn="l"/>
          <a:r>
            <a:rPr lang="id-ID" sz="1100" baseline="0"/>
            <a:t>2. Isilah keterangan  </a:t>
          </a:r>
        </a:p>
        <a:p>
          <a:pPr algn="l"/>
          <a:r>
            <a:rPr lang="id-ID" sz="1100" baseline="0"/>
            <a:t>    penilaian untuk </a:t>
          </a:r>
        </a:p>
        <a:p>
          <a:pPr algn="l"/>
          <a:r>
            <a:rPr lang="id-ID" sz="1100" baseline="0"/>
            <a:t>    masing2 skor 1, 2, 3 </a:t>
          </a:r>
        </a:p>
        <a:p>
          <a:pPr algn="l"/>
          <a:r>
            <a:rPr lang="id-ID" sz="1100" baseline="0"/>
            <a:t>    dan 4.</a:t>
          </a:r>
        </a:p>
        <a:p>
          <a:pPr algn="l"/>
          <a:r>
            <a:rPr lang="id-ID" sz="1100" baseline="0"/>
            <a:t>3. Isi nilai Portofolio</a:t>
          </a:r>
        </a:p>
        <a:p>
          <a:pPr algn="l"/>
          <a:r>
            <a:rPr lang="id-ID" sz="1100" baseline="0"/>
            <a:t>    setiap siswa.</a:t>
          </a:r>
          <a:endParaRPr lang="id-ID" sz="1100"/>
        </a:p>
      </xdr:txBody>
    </xdr:sp>
    <xdr:clientData/>
  </xdr:twoCellAnchor>
  <xdr:twoCellAnchor>
    <xdr:from>
      <xdr:col>12</xdr:col>
      <xdr:colOff>133350</xdr:colOff>
      <xdr:row>4</xdr:row>
      <xdr:rowOff>47625</xdr:rowOff>
    </xdr:from>
    <xdr:to>
      <xdr:col>14</xdr:col>
      <xdr:colOff>590550</xdr:colOff>
      <xdr:row>6</xdr:row>
      <xdr:rowOff>66675</xdr:rowOff>
    </xdr:to>
    <xdr:sp macro="" textlink="">
      <xdr:nvSpPr>
        <xdr:cNvPr id="4" name="Rounded Rectangle 3">
          <a:hlinkClick xmlns:r="http://schemas.openxmlformats.org/officeDocument/2006/relationships" r:id="rId1"/>
        </xdr:cNvPr>
        <xdr:cNvSpPr/>
      </xdr:nvSpPr>
      <xdr:spPr>
        <a:xfrm>
          <a:off x="7639050" y="847725"/>
          <a:ext cx="1590675"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ULIYAT%20FILE/PERANGKAT%202014/RAPORT%20PALING%20BARU/Documents%20and%20Settings/Administrator.MLG-4D0D7C9B122/Application%20Data/Microsoft/Excel/Aplikasi%20Raport%20Kur%202013%20V.05.14%20Free%20Passwor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ULIYAT%20FILE/PERANGKAT%202014/RAPORT%20PALING%20BARU/Documents%20and%20Settings/Administrator.MLG-4D0D7C9B122/Application%20Data/Microsoft/Excel/Daftar%20Nilai%20Kur%202013%20SMP%20for%20All_Revisi%20April%20201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Home"/>
      <sheetName val="Data Identitas"/>
      <sheetName val="Data Raport"/>
      <sheetName val="P.Ag"/>
      <sheetName val="PPKn"/>
      <sheetName val="B.Ind"/>
      <sheetName val="MM"/>
      <sheetName val="IPA"/>
      <sheetName val="IPS"/>
      <sheetName val="BIng"/>
      <sheetName val="SBd"/>
      <sheetName val="Pjk"/>
      <sheetName val="Prk"/>
      <sheetName val="DKN"/>
      <sheetName val="Deskripsi Sikap"/>
      <sheetName val="hal depan"/>
      <sheetName val="Raport Ganjil"/>
      <sheetName val="Raport Genap"/>
      <sheetName val="Coper dan Petunjuk"/>
      <sheetName val="Ket Pindah &amp; Prestasi"/>
      <sheetName val="Sheet1"/>
    </sheetNames>
    <sheetDataSet>
      <sheetData sheetId="0" refreshError="1"/>
      <sheetData sheetId="1" refreshError="1"/>
      <sheetData sheetId="2">
        <row r="3">
          <cell r="C3" t="str">
            <v>Dinas Pendidikan Kota Medan</v>
          </cell>
        </row>
        <row r="5">
          <cell r="C5" t="str">
            <v>SMP Negeri 1 Tebing Tinggi</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Home"/>
      <sheetName val="Menu"/>
      <sheetName val="Input"/>
      <sheetName val="Data "/>
      <sheetName val="Pengetahuan"/>
      <sheetName val="Ketrampilan"/>
      <sheetName val="Sikap"/>
      <sheetName val="Rekap"/>
      <sheetName val="Obs"/>
      <sheetName val="Obs 1"/>
      <sheetName val="Obs2"/>
      <sheetName val="AT-1"/>
      <sheetName val="AT-2"/>
      <sheetName val="N Diri-1"/>
      <sheetName val="N Diri-2"/>
      <sheetName val="Jurnal"/>
      <sheetName val="UK-1"/>
      <sheetName val="UK-2"/>
      <sheetName val="UK-3"/>
      <sheetName val="PrJ-1"/>
      <sheetName val="PrJ-2"/>
      <sheetName val="PrJ-3"/>
      <sheetName val="Pf-1"/>
      <sheetName val="Sheet3"/>
      <sheetName val="Pf-2"/>
      <sheetName val="Kumulasi"/>
      <sheetName val="Sheet1"/>
      <sheetName val="Sheet13"/>
    </sheetNames>
    <sheetDataSet>
      <sheetData sheetId="0"/>
      <sheetData sheetId="1"/>
      <sheetData sheetId="2"/>
      <sheetData sheetId="3">
        <row r="12">
          <cell r="D12" t="str">
            <v>0341-787422</v>
          </cell>
        </row>
        <row r="13">
          <cell r="D13" t="str">
            <v>2014 / 2015</v>
          </cell>
        </row>
        <row r="18">
          <cell r="D18" t="str">
            <v>FM-KUR-03-07</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5.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6.xml"/><Relationship Id="rId1" Type="http://schemas.openxmlformats.org/officeDocument/2006/relationships/printerSettings" Target="../printerSettings/printerSettings19.bin"/><Relationship Id="rId4" Type="http://schemas.openxmlformats.org/officeDocument/2006/relationships/comments" Target="../comments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7.xml"/><Relationship Id="rId1" Type="http://schemas.openxmlformats.org/officeDocument/2006/relationships/printerSettings" Target="../printerSettings/printerSettings2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sheetPr codeName="Sheet1"/>
  <dimension ref="A1:R63"/>
  <sheetViews>
    <sheetView showGridLines="0" showRowColHeaders="0" tabSelected="1" topLeftCell="B1" zoomScale="70" zoomScaleNormal="70" workbookViewId="0"/>
  </sheetViews>
  <sheetFormatPr defaultColWidth="0" defaultRowHeight="15" zeroHeight="1"/>
  <cols>
    <col min="1" max="1" width="1.140625" style="125" customWidth="1"/>
    <col min="2" max="2" width="17.85546875" style="125" customWidth="1"/>
    <col min="3" max="3" width="1.7109375" style="125" bestFit="1" customWidth="1"/>
    <col min="4" max="4" width="9" style="125" customWidth="1"/>
    <col min="5" max="5" width="34" style="125" customWidth="1"/>
    <col min="6" max="6" width="3.5703125" style="125" customWidth="1"/>
    <col min="7" max="7" width="4" style="125" customWidth="1"/>
    <col min="8" max="8" width="13.42578125" style="125" customWidth="1"/>
    <col min="9" max="10" width="9.140625" style="125" customWidth="1"/>
    <col min="11" max="11" width="14.140625" style="125" customWidth="1"/>
    <col min="12" max="12" width="4.5703125" style="125" customWidth="1"/>
    <col min="13" max="13" width="9.140625" style="125" customWidth="1"/>
    <col min="14" max="14" width="3.7109375" style="125" customWidth="1"/>
    <col min="15" max="17" width="9.140625" style="125" customWidth="1"/>
    <col min="18" max="18" width="52.42578125" style="125" customWidth="1"/>
    <col min="19" max="16384" width="9.140625" style="125" hidden="1"/>
  </cols>
  <sheetData>
    <row r="1" spans="1:18" ht="43.5" customHeight="1" thickBot="1">
      <c r="B1" s="332"/>
      <c r="C1" s="333"/>
      <c r="D1" s="334"/>
      <c r="E1" s="438" t="s">
        <v>440</v>
      </c>
      <c r="F1" s="438"/>
      <c r="G1" s="438"/>
      <c r="H1" s="438"/>
      <c r="I1" s="438"/>
      <c r="J1" s="438"/>
      <c r="K1" s="438"/>
      <c r="L1" s="438"/>
      <c r="M1" s="438"/>
      <c r="N1" s="439"/>
      <c r="O1" s="453">
        <v>2016</v>
      </c>
      <c r="P1" s="454"/>
      <c r="Q1" s="454"/>
      <c r="R1" s="356" t="s">
        <v>472</v>
      </c>
    </row>
    <row r="2" spans="1:18" ht="32.25" customHeight="1" thickBot="1">
      <c r="B2" s="335"/>
      <c r="C2" s="336"/>
      <c r="D2" s="337"/>
      <c r="E2" s="447" t="s">
        <v>465</v>
      </c>
      <c r="F2" s="448"/>
      <c r="G2" s="448"/>
      <c r="H2" s="448"/>
      <c r="I2" s="448"/>
      <c r="J2" s="448"/>
      <c r="K2" s="448"/>
      <c r="L2" s="448"/>
      <c r="M2" s="448"/>
      <c r="N2" s="449"/>
      <c r="O2" s="453"/>
      <c r="P2" s="454"/>
      <c r="Q2" s="454"/>
      <c r="R2" s="366" t="s">
        <v>473</v>
      </c>
    </row>
    <row r="3" spans="1:18" ht="7.5" customHeight="1" thickBot="1">
      <c r="B3" s="338"/>
      <c r="C3" s="339"/>
      <c r="D3" s="340"/>
      <c r="E3" s="340"/>
      <c r="F3" s="340"/>
      <c r="G3" s="340"/>
      <c r="H3" s="339"/>
      <c r="I3" s="339"/>
      <c r="J3" s="339"/>
      <c r="K3" s="339"/>
      <c r="L3" s="339"/>
      <c r="M3" s="339"/>
      <c r="N3" s="341"/>
      <c r="O3" s="455"/>
      <c r="P3" s="456"/>
      <c r="Q3" s="456"/>
      <c r="R3" s="355"/>
    </row>
    <row r="4" spans="1:18" ht="20.25" customHeight="1" thickBot="1">
      <c r="B4" s="440" t="s">
        <v>488</v>
      </c>
      <c r="C4" s="441"/>
      <c r="D4" s="441"/>
      <c r="E4" s="442"/>
      <c r="F4" s="393"/>
      <c r="G4" s="373"/>
      <c r="H4" s="374"/>
      <c r="I4" s="374"/>
      <c r="J4" s="374"/>
      <c r="K4" s="374"/>
      <c r="L4" s="374"/>
      <c r="M4" s="374"/>
      <c r="N4" s="375"/>
      <c r="O4" s="450" t="s">
        <v>441</v>
      </c>
      <c r="P4" s="451"/>
      <c r="Q4" s="451"/>
      <c r="R4" s="452"/>
    </row>
    <row r="5" spans="1:18" ht="20.25" customHeight="1">
      <c r="A5" s="316"/>
      <c r="B5" s="443"/>
      <c r="C5" s="444"/>
      <c r="D5" s="444"/>
      <c r="E5" s="445"/>
      <c r="F5" s="394"/>
      <c r="G5" s="376"/>
      <c r="H5" s="446"/>
      <c r="I5" s="446"/>
      <c r="J5" s="446"/>
      <c r="K5" s="446"/>
      <c r="L5" s="446"/>
      <c r="M5" s="446"/>
      <c r="N5" s="377"/>
      <c r="O5" s="426" t="s">
        <v>443</v>
      </c>
      <c r="P5" s="427"/>
      <c r="Q5" s="427"/>
      <c r="R5" s="428"/>
    </row>
    <row r="6" spans="1:18" ht="20.25" customHeight="1">
      <c r="A6" s="316"/>
      <c r="B6" s="443"/>
      <c r="C6" s="444"/>
      <c r="D6" s="444"/>
      <c r="E6" s="445"/>
      <c r="F6" s="394"/>
      <c r="G6" s="376"/>
      <c r="H6" s="374"/>
      <c r="I6" s="374"/>
      <c r="J6" s="374"/>
      <c r="K6" s="374"/>
      <c r="L6" s="374"/>
      <c r="M6" s="374"/>
      <c r="N6" s="377"/>
      <c r="O6" s="429"/>
      <c r="P6" s="430"/>
      <c r="Q6" s="430"/>
      <c r="R6" s="431"/>
    </row>
    <row r="7" spans="1:18" ht="20.25" customHeight="1">
      <c r="B7" s="443"/>
      <c r="C7" s="444"/>
      <c r="D7" s="444"/>
      <c r="E7" s="445"/>
      <c r="F7" s="395"/>
      <c r="G7" s="373"/>
      <c r="H7" s="374"/>
      <c r="I7" s="374"/>
      <c r="J7" s="374"/>
      <c r="K7" s="374"/>
      <c r="L7" s="374"/>
      <c r="M7" s="374"/>
      <c r="N7" s="377"/>
      <c r="O7" s="429"/>
      <c r="P7" s="430"/>
      <c r="Q7" s="430"/>
      <c r="R7" s="431"/>
    </row>
    <row r="8" spans="1:18" ht="20.25" customHeight="1">
      <c r="B8" s="443"/>
      <c r="C8" s="444"/>
      <c r="D8" s="444"/>
      <c r="E8" s="445"/>
      <c r="F8" s="395"/>
      <c r="G8" s="373"/>
      <c r="H8" s="374"/>
      <c r="I8" s="374"/>
      <c r="J8" s="374"/>
      <c r="K8" s="374"/>
      <c r="L8" s="374"/>
      <c r="M8" s="374"/>
      <c r="N8" s="377"/>
      <c r="O8" s="429"/>
      <c r="P8" s="430"/>
      <c r="Q8" s="430"/>
      <c r="R8" s="431"/>
    </row>
    <row r="9" spans="1:18" ht="20.25" customHeight="1" thickBot="1">
      <c r="B9" s="414" t="s">
        <v>489</v>
      </c>
      <c r="C9" s="415"/>
      <c r="D9" s="415"/>
      <c r="E9" s="416"/>
      <c r="F9" s="396"/>
      <c r="G9" s="373"/>
      <c r="H9" s="374"/>
      <c r="I9" s="374"/>
      <c r="J9" s="374"/>
      <c r="K9" s="374"/>
      <c r="L9" s="374"/>
      <c r="M9" s="374"/>
      <c r="N9" s="377"/>
      <c r="O9" s="429"/>
      <c r="P9" s="430"/>
      <c r="Q9" s="430"/>
      <c r="R9" s="431"/>
    </row>
    <row r="10" spans="1:18" ht="20.25" customHeight="1" thickBot="1">
      <c r="B10" s="397"/>
      <c r="C10" s="397"/>
      <c r="D10" s="397"/>
      <c r="E10" s="397"/>
      <c r="F10" s="397"/>
      <c r="G10" s="378"/>
      <c r="H10" s="379"/>
      <c r="I10" s="379"/>
      <c r="J10" s="379"/>
      <c r="K10" s="379"/>
      <c r="L10" s="379"/>
      <c r="M10" s="379"/>
      <c r="N10" s="380"/>
      <c r="O10" s="429"/>
      <c r="P10" s="430"/>
      <c r="Q10" s="430"/>
      <c r="R10" s="431"/>
    </row>
    <row r="11" spans="1:18" ht="20.25" customHeight="1">
      <c r="B11" s="342" t="s">
        <v>239</v>
      </c>
      <c r="C11" s="343" t="s">
        <v>240</v>
      </c>
      <c r="D11" s="344" t="s">
        <v>565</v>
      </c>
      <c r="E11" s="345"/>
      <c r="F11" s="398"/>
      <c r="G11" s="381"/>
      <c r="H11" s="382"/>
      <c r="I11" s="382"/>
      <c r="J11" s="382"/>
      <c r="K11" s="382"/>
      <c r="L11" s="382"/>
      <c r="M11" s="382"/>
      <c r="N11" s="383"/>
      <c r="O11" s="324"/>
      <c r="P11" s="325"/>
      <c r="Q11" s="325"/>
      <c r="R11" s="326"/>
    </row>
    <row r="12" spans="1:18" ht="20.25" customHeight="1">
      <c r="B12" s="346" t="s">
        <v>241</v>
      </c>
      <c r="C12" s="347" t="s">
        <v>240</v>
      </c>
      <c r="D12" s="348" t="s">
        <v>525</v>
      </c>
      <c r="E12" s="349"/>
      <c r="F12" s="399"/>
      <c r="G12" s="367"/>
      <c r="H12" s="368"/>
      <c r="I12" s="368"/>
      <c r="J12" s="368"/>
      <c r="K12" s="368"/>
      <c r="L12" s="368"/>
      <c r="M12" s="368"/>
      <c r="N12" s="369"/>
      <c r="O12" s="324"/>
      <c r="P12" s="325"/>
      <c r="Q12" s="325"/>
      <c r="R12" s="326"/>
    </row>
    <row r="13" spans="1:18" ht="20.25" customHeight="1">
      <c r="B13" s="346" t="s">
        <v>242</v>
      </c>
      <c r="C13" s="347" t="s">
        <v>240</v>
      </c>
      <c r="D13" s="421" t="s">
        <v>566</v>
      </c>
      <c r="E13" s="422"/>
      <c r="F13" s="400"/>
      <c r="G13" s="367"/>
      <c r="H13" s="368"/>
      <c r="I13" s="368"/>
      <c r="J13" s="368"/>
      <c r="K13" s="368"/>
      <c r="L13" s="368"/>
      <c r="M13" s="368"/>
      <c r="N13" s="369"/>
      <c r="O13" s="324"/>
      <c r="P13" s="325"/>
      <c r="Q13" s="325"/>
      <c r="R13" s="326"/>
    </row>
    <row r="14" spans="1:18" ht="20.25" customHeight="1">
      <c r="B14" s="346" t="s">
        <v>243</v>
      </c>
      <c r="C14" s="347" t="s">
        <v>240</v>
      </c>
      <c r="D14" s="417" t="s">
        <v>491</v>
      </c>
      <c r="E14" s="418"/>
      <c r="F14" s="401"/>
      <c r="G14" s="367"/>
      <c r="H14" s="368"/>
      <c r="I14" s="368"/>
      <c r="J14" s="368"/>
      <c r="K14" s="368"/>
      <c r="L14" s="368"/>
      <c r="M14" s="368"/>
      <c r="N14" s="369"/>
      <c r="O14" s="324"/>
      <c r="P14" s="325"/>
      <c r="Q14" s="325"/>
      <c r="R14" s="326"/>
    </row>
    <row r="15" spans="1:18" ht="20.25" customHeight="1">
      <c r="B15" s="350" t="s">
        <v>295</v>
      </c>
      <c r="C15" s="347" t="s">
        <v>240</v>
      </c>
      <c r="D15" s="419">
        <v>2</v>
      </c>
      <c r="E15" s="420"/>
      <c r="F15" s="402"/>
      <c r="G15" s="367"/>
      <c r="H15" s="368"/>
      <c r="I15" s="368"/>
      <c r="J15" s="368"/>
      <c r="K15" s="368"/>
      <c r="L15" s="368"/>
      <c r="M15" s="368"/>
      <c r="N15" s="369"/>
      <c r="O15" s="324"/>
      <c r="P15" s="325"/>
      <c r="Q15" s="325"/>
      <c r="R15" s="326"/>
    </row>
    <row r="16" spans="1:18" ht="20.25" customHeight="1" thickBot="1">
      <c r="B16" s="351" t="s">
        <v>315</v>
      </c>
      <c r="C16" s="352" t="s">
        <v>240</v>
      </c>
      <c r="D16" s="353" t="s">
        <v>526</v>
      </c>
      <c r="E16" s="354"/>
      <c r="F16" s="403"/>
      <c r="G16" s="370"/>
      <c r="H16" s="371"/>
      <c r="I16" s="371"/>
      <c r="J16" s="371"/>
      <c r="K16" s="371"/>
      <c r="L16" s="371"/>
      <c r="M16" s="371"/>
      <c r="N16" s="372"/>
      <c r="O16" s="324"/>
      <c r="P16" s="325"/>
      <c r="Q16" s="325"/>
      <c r="R16" s="326"/>
    </row>
    <row r="17" spans="2:18" ht="20.25" customHeight="1">
      <c r="B17" s="423" t="s">
        <v>471</v>
      </c>
      <c r="C17" s="424"/>
      <c r="D17" s="424"/>
      <c r="E17" s="425"/>
      <c r="F17" s="404"/>
      <c r="G17" s="384"/>
      <c r="H17" s="385"/>
      <c r="I17" s="385"/>
      <c r="J17" s="385"/>
      <c r="K17" s="385"/>
      <c r="L17" s="385"/>
      <c r="M17" s="385"/>
      <c r="N17" s="386"/>
      <c r="O17" s="324"/>
      <c r="P17" s="325"/>
      <c r="Q17" s="325"/>
      <c r="R17" s="326"/>
    </row>
    <row r="18" spans="2:18" ht="20.25" customHeight="1">
      <c r="B18" s="432">
        <v>72</v>
      </c>
      <c r="C18" s="433"/>
      <c r="D18" s="433"/>
      <c r="E18" s="434"/>
      <c r="F18" s="405"/>
      <c r="G18" s="387"/>
      <c r="H18" s="388"/>
      <c r="I18" s="388"/>
      <c r="J18" s="388"/>
      <c r="K18" s="388"/>
      <c r="L18" s="388"/>
      <c r="M18" s="388"/>
      <c r="N18" s="389"/>
      <c r="O18" s="324"/>
      <c r="P18" s="325"/>
      <c r="Q18" s="325"/>
      <c r="R18" s="326"/>
    </row>
    <row r="19" spans="2:18" ht="20.25" customHeight="1">
      <c r="B19" s="432"/>
      <c r="C19" s="433"/>
      <c r="D19" s="433"/>
      <c r="E19" s="434"/>
      <c r="F19" s="405"/>
      <c r="G19" s="387"/>
      <c r="H19" s="388"/>
      <c r="I19" s="388"/>
      <c r="J19" s="388"/>
      <c r="K19" s="388"/>
      <c r="L19" s="388"/>
      <c r="M19" s="388"/>
      <c r="N19" s="389"/>
      <c r="O19" s="324"/>
      <c r="P19" s="325"/>
      <c r="Q19" s="325"/>
      <c r="R19" s="326"/>
    </row>
    <row r="20" spans="2:18" ht="17.25" customHeight="1">
      <c r="B20" s="432"/>
      <c r="C20" s="433"/>
      <c r="D20" s="433"/>
      <c r="E20" s="434"/>
      <c r="F20" s="405"/>
      <c r="G20" s="387"/>
      <c r="H20" s="388"/>
      <c r="I20" s="388"/>
      <c r="J20" s="388"/>
      <c r="K20" s="388"/>
      <c r="L20" s="388"/>
      <c r="M20" s="388"/>
      <c r="N20" s="389"/>
      <c r="O20" s="324"/>
      <c r="P20" s="325"/>
      <c r="Q20" s="325"/>
      <c r="R20" s="326"/>
    </row>
    <row r="21" spans="2:18" ht="17.25" customHeight="1" thickBot="1">
      <c r="B21" s="435"/>
      <c r="C21" s="436"/>
      <c r="D21" s="436"/>
      <c r="E21" s="437"/>
      <c r="F21" s="397"/>
      <c r="G21" s="387"/>
      <c r="H21" s="388"/>
      <c r="I21" s="388"/>
      <c r="J21" s="388"/>
      <c r="K21" s="388"/>
      <c r="L21" s="388"/>
      <c r="M21" s="388"/>
      <c r="N21" s="389"/>
      <c r="O21" s="324"/>
      <c r="P21" s="325"/>
      <c r="Q21" s="325"/>
      <c r="R21" s="326"/>
    </row>
    <row r="22" spans="2:18" ht="17.25" customHeight="1" thickBot="1">
      <c r="B22" s="411"/>
      <c r="C22" s="412"/>
      <c r="D22" s="412"/>
      <c r="E22" s="413"/>
      <c r="F22" s="406"/>
      <c r="G22" s="390"/>
      <c r="H22" s="391"/>
      <c r="I22" s="391"/>
      <c r="J22" s="391"/>
      <c r="K22" s="391"/>
      <c r="L22" s="391"/>
      <c r="M22" s="391"/>
      <c r="N22" s="392"/>
      <c r="O22" s="327"/>
      <c r="P22" s="328"/>
      <c r="Q22" s="328"/>
      <c r="R22" s="329"/>
    </row>
    <row r="23" spans="2:18" hidden="1">
      <c r="B23" s="267"/>
      <c r="C23" s="267"/>
      <c r="D23" s="267"/>
      <c r="E23" s="267"/>
      <c r="F23" s="267"/>
      <c r="G23" s="267"/>
      <c r="H23" s="267"/>
      <c r="I23" s="267"/>
      <c r="J23" s="267"/>
      <c r="K23" s="267"/>
      <c r="L23" s="267"/>
      <c r="M23" s="267"/>
      <c r="N23" s="267"/>
    </row>
    <row r="24" spans="2:18" hidden="1"/>
    <row r="25" spans="2:18" hidden="1"/>
    <row r="26" spans="2:18" hidden="1"/>
    <row r="27" spans="2:18" hidden="1"/>
    <row r="28" spans="2:18" hidden="1"/>
    <row r="29" spans="2:18" hidden="1"/>
    <row r="30" spans="2:18" hidden="1"/>
    <row r="31" spans="2:18" hidden="1"/>
    <row r="32" spans="2:18"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sheetData>
  <sheetProtection password="D05F" sheet="1" objects="1" scenarios="1" formatCells="0" formatColumns="0" formatRows="0" insertColumns="0" insertRows="0" insertHyperlinks="0" deleteColumns="0" deleteRows="0"/>
  <mergeCells count="14">
    <mergeCell ref="O5:R10"/>
    <mergeCell ref="B18:E21"/>
    <mergeCell ref="E1:N1"/>
    <mergeCell ref="B4:E8"/>
    <mergeCell ref="H5:M5"/>
    <mergeCell ref="E2:N2"/>
    <mergeCell ref="O4:R4"/>
    <mergeCell ref="O1:Q3"/>
    <mergeCell ref="B22:E22"/>
    <mergeCell ref="B9:E9"/>
    <mergeCell ref="D14:E14"/>
    <mergeCell ref="D15:E15"/>
    <mergeCell ref="D13:E13"/>
    <mergeCell ref="B17:E17"/>
  </mergeCells>
  <hyperlinks>
    <hyperlink ref="R2" location="profil!A1" display="KLIK UNTUK LIHAT PROFIL"/>
  </hyperlinks>
  <pageMargins left="0.7" right="0.7" top="0.75" bottom="0.75" header="0.3" footer="0.3"/>
  <pageSetup paperSize="513" orientation="portrait" r:id="rId1"/>
  <drawing r:id="rId2"/>
</worksheet>
</file>

<file path=xl/worksheets/sheet2.xml><?xml version="1.0" encoding="utf-8"?>
<worksheet xmlns="http://schemas.openxmlformats.org/spreadsheetml/2006/main" xmlns:r="http://schemas.openxmlformats.org/officeDocument/2006/relationships">
  <sheetPr codeName="Sheet29"/>
  <dimension ref="A1:F17"/>
  <sheetViews>
    <sheetView zoomScale="120" zoomScaleNormal="120" workbookViewId="0"/>
  </sheetViews>
  <sheetFormatPr defaultColWidth="0" defaultRowHeight="15" customHeight="1" zeroHeight="1"/>
  <cols>
    <col min="1" max="1" width="33.85546875" style="359" customWidth="1"/>
    <col min="2" max="2" width="19.28515625" style="359" customWidth="1"/>
    <col min="3" max="3" width="17.7109375" style="359" customWidth="1"/>
    <col min="4" max="4" width="31.140625" style="359" customWidth="1"/>
    <col min="5" max="5" width="1" style="359" customWidth="1"/>
    <col min="6" max="6" width="0" style="359" hidden="1" customWidth="1"/>
    <col min="7" max="16384" width="9.140625" style="359" hidden="1"/>
  </cols>
  <sheetData>
    <row r="1" spans="1:5" ht="36.75" customHeight="1">
      <c r="A1" s="357"/>
      <c r="B1" s="358"/>
      <c r="C1" s="459" t="s">
        <v>474</v>
      </c>
      <c r="D1" s="459"/>
      <c r="E1" s="358"/>
    </row>
    <row r="2" spans="1:5">
      <c r="A2" s="357"/>
      <c r="B2" s="357"/>
      <c r="C2" s="459"/>
      <c r="D2" s="459"/>
      <c r="E2" s="357"/>
    </row>
    <row r="3" spans="1:5">
      <c r="A3" s="357"/>
      <c r="B3" s="357"/>
      <c r="C3" s="459"/>
      <c r="D3" s="459"/>
      <c r="E3" s="357"/>
    </row>
    <row r="4" spans="1:5" ht="15.75" thickBot="1">
      <c r="A4" s="357"/>
      <c r="B4" s="357"/>
      <c r="C4" s="357"/>
      <c r="D4" s="357"/>
      <c r="E4" s="357"/>
    </row>
    <row r="5" spans="1:5">
      <c r="A5" s="357"/>
      <c r="B5" s="357"/>
      <c r="C5" s="360"/>
      <c r="D5" s="361"/>
      <c r="E5" s="357"/>
    </row>
    <row r="6" spans="1:5">
      <c r="A6" s="357"/>
      <c r="B6" s="357"/>
      <c r="C6" s="362" t="s">
        <v>326</v>
      </c>
      <c r="D6" s="363" t="s">
        <v>475</v>
      </c>
      <c r="E6" s="357"/>
    </row>
    <row r="7" spans="1:5">
      <c r="A7" s="357"/>
      <c r="B7" s="357"/>
      <c r="C7" s="362" t="s">
        <v>476</v>
      </c>
      <c r="D7" s="363" t="s">
        <v>477</v>
      </c>
      <c r="E7" s="357"/>
    </row>
    <row r="8" spans="1:5">
      <c r="A8" s="357"/>
      <c r="B8" s="357"/>
      <c r="C8" s="362" t="s">
        <v>478</v>
      </c>
      <c r="D8" s="363" t="s">
        <v>479</v>
      </c>
      <c r="E8" s="357"/>
    </row>
    <row r="9" spans="1:5">
      <c r="A9" s="357"/>
      <c r="B9" s="357"/>
      <c r="C9" s="362" t="s">
        <v>480</v>
      </c>
      <c r="D9" s="363" t="s">
        <v>481</v>
      </c>
      <c r="E9" s="357"/>
    </row>
    <row r="10" spans="1:5" ht="18.75">
      <c r="A10" s="357"/>
      <c r="B10" s="357"/>
      <c r="C10" s="460" t="s">
        <v>482</v>
      </c>
      <c r="D10" s="461"/>
      <c r="E10" s="357"/>
    </row>
    <row r="11" spans="1:5">
      <c r="A11" s="357"/>
      <c r="B11" s="357"/>
      <c r="C11" s="457" t="s">
        <v>483</v>
      </c>
      <c r="D11" s="458"/>
      <c r="E11" s="357"/>
    </row>
    <row r="12" spans="1:5">
      <c r="A12" s="357"/>
      <c r="B12" s="357"/>
      <c r="C12" s="457" t="s">
        <v>484</v>
      </c>
      <c r="D12" s="458"/>
      <c r="E12" s="357"/>
    </row>
    <row r="13" spans="1:5">
      <c r="A13" s="357"/>
      <c r="B13" s="357"/>
      <c r="C13" s="457" t="s">
        <v>485</v>
      </c>
      <c r="D13" s="458"/>
      <c r="E13" s="357"/>
    </row>
    <row r="14" spans="1:5">
      <c r="A14" s="357"/>
      <c r="B14" s="357"/>
      <c r="C14" s="457" t="s">
        <v>486</v>
      </c>
      <c r="D14" s="458"/>
      <c r="E14" s="357"/>
    </row>
    <row r="15" spans="1:5">
      <c r="A15" s="357"/>
      <c r="B15" s="357"/>
      <c r="C15" s="457" t="s">
        <v>487</v>
      </c>
      <c r="D15" s="458"/>
      <c r="E15" s="357"/>
    </row>
    <row r="16" spans="1:5" ht="15.75" thickBot="1">
      <c r="A16" s="357"/>
      <c r="B16" s="357"/>
      <c r="C16" s="364"/>
      <c r="D16" s="365"/>
      <c r="E16" s="357"/>
    </row>
    <row r="17" spans="1:5" ht="36" customHeight="1">
      <c r="A17" s="357"/>
      <c r="B17" s="357"/>
      <c r="C17" s="357"/>
      <c r="D17" s="357"/>
      <c r="E17" s="357"/>
    </row>
  </sheetData>
  <sheetProtection password="D05F" sheet="1" objects="1" scenarios="1"/>
  <mergeCells count="7">
    <mergeCell ref="C15:D15"/>
    <mergeCell ref="C1:D3"/>
    <mergeCell ref="C10:D10"/>
    <mergeCell ref="C11:D11"/>
    <mergeCell ref="C12:D12"/>
    <mergeCell ref="C13:D13"/>
    <mergeCell ref="C14:D14"/>
  </mergeCells>
  <pageMargins left="0.7" right="0.7" top="0.75" bottom="0.75" header="0.3" footer="0.3"/>
  <pageSetup paperSize="9" orientation="portrait" horizontalDpi="4294967292" verticalDpi="0" r:id="rId1"/>
  <drawing r:id="rId2"/>
</worksheet>
</file>

<file path=xl/worksheets/sheet3.xml><?xml version="1.0" encoding="utf-8"?>
<worksheet xmlns="http://schemas.openxmlformats.org/spreadsheetml/2006/main" xmlns:r="http://schemas.openxmlformats.org/officeDocument/2006/relationships">
  <sheetPr codeName="Sheet2"/>
  <dimension ref="A1:B43"/>
  <sheetViews>
    <sheetView workbookViewId="0">
      <selection sqref="A1:B1"/>
    </sheetView>
  </sheetViews>
  <sheetFormatPr defaultRowHeight="15"/>
  <cols>
    <col min="1" max="1" width="9.140625" style="85"/>
    <col min="2" max="2" width="117.28515625" style="85" customWidth="1"/>
    <col min="3" max="16384" width="9.140625" style="85"/>
  </cols>
  <sheetData>
    <row r="1" spans="1:2">
      <c r="A1" s="462" t="s">
        <v>432</v>
      </c>
      <c r="B1" s="462"/>
    </row>
    <row r="2" spans="1:2" ht="28.5">
      <c r="A2" s="281" t="s">
        <v>101</v>
      </c>
      <c r="B2" s="282" t="s">
        <v>221</v>
      </c>
    </row>
    <row r="3" spans="1:2" ht="66.75" customHeight="1">
      <c r="A3" s="275"/>
      <c r="B3" s="85" t="s">
        <v>563</v>
      </c>
    </row>
    <row r="5" spans="1:2">
      <c r="A5" s="463" t="s">
        <v>431</v>
      </c>
      <c r="B5" s="463"/>
    </row>
    <row r="6" spans="1:2" ht="31.5">
      <c r="A6" s="283" t="s">
        <v>101</v>
      </c>
      <c r="B6" s="284" t="s">
        <v>221</v>
      </c>
    </row>
    <row r="7" spans="1:2" ht="53.25" customHeight="1">
      <c r="A7" s="276"/>
      <c r="B7" s="85" t="s">
        <v>564</v>
      </c>
    </row>
    <row r="9" spans="1:2">
      <c r="A9" s="464" t="s">
        <v>329</v>
      </c>
      <c r="B9" s="464"/>
    </row>
    <row r="10" spans="1:2" ht="31.5">
      <c r="A10" s="285" t="s">
        <v>101</v>
      </c>
      <c r="B10" s="286" t="s">
        <v>221</v>
      </c>
    </row>
    <row r="11" spans="1:2">
      <c r="A11" s="277">
        <v>31</v>
      </c>
      <c r="B11" s="278" t="s">
        <v>567</v>
      </c>
    </row>
    <row r="12" spans="1:2">
      <c r="A12" s="277">
        <v>32</v>
      </c>
      <c r="B12" s="278" t="s">
        <v>568</v>
      </c>
    </row>
    <row r="13" spans="1:2">
      <c r="A13" s="277">
        <v>33</v>
      </c>
      <c r="B13" s="278" t="s">
        <v>569</v>
      </c>
    </row>
    <row r="14" spans="1:2">
      <c r="A14" s="277">
        <v>34</v>
      </c>
      <c r="B14" s="278" t="s">
        <v>570</v>
      </c>
    </row>
    <row r="15" spans="1:2">
      <c r="A15" s="277">
        <v>35</v>
      </c>
      <c r="B15" s="278" t="s">
        <v>571</v>
      </c>
    </row>
    <row r="16" spans="1:2">
      <c r="A16" s="277">
        <v>36</v>
      </c>
      <c r="B16" s="278" t="s">
        <v>572</v>
      </c>
    </row>
    <row r="17" spans="1:2">
      <c r="A17" s="277">
        <v>37</v>
      </c>
      <c r="B17" s="278" t="s">
        <v>573</v>
      </c>
    </row>
    <row r="18" spans="1:2">
      <c r="A18" s="277">
        <v>38</v>
      </c>
      <c r="B18" s="278" t="s">
        <v>574</v>
      </c>
    </row>
    <row r="19" spans="1:2">
      <c r="A19" s="277">
        <v>39</v>
      </c>
      <c r="B19" s="278"/>
    </row>
    <row r="20" spans="1:2">
      <c r="A20" s="277">
        <v>310</v>
      </c>
      <c r="B20" s="278"/>
    </row>
    <row r="21" spans="1:2">
      <c r="A21" s="285"/>
      <c r="B21" s="314"/>
    </row>
    <row r="22" spans="1:2">
      <c r="A22" s="285"/>
      <c r="B22" s="314"/>
    </row>
    <row r="23" spans="1:2">
      <c r="A23" s="285"/>
      <c r="B23" s="314"/>
    </row>
    <row r="24" spans="1:2">
      <c r="A24" s="285"/>
      <c r="B24" s="314"/>
    </row>
    <row r="25" spans="1:2">
      <c r="A25" s="285"/>
      <c r="B25" s="314"/>
    </row>
    <row r="27" spans="1:2">
      <c r="A27" s="465" t="s">
        <v>330</v>
      </c>
      <c r="B27" s="465"/>
    </row>
    <row r="28" spans="1:2">
      <c r="A28" s="287" t="s">
        <v>101</v>
      </c>
      <c r="B28" s="288" t="s">
        <v>221</v>
      </c>
    </row>
    <row r="29" spans="1:2">
      <c r="A29" s="279">
        <v>41</v>
      </c>
      <c r="B29" s="280" t="s">
        <v>575</v>
      </c>
    </row>
    <row r="30" spans="1:2">
      <c r="A30" s="279">
        <v>42</v>
      </c>
      <c r="B30" s="280" t="s">
        <v>576</v>
      </c>
    </row>
    <row r="31" spans="1:2">
      <c r="A31" s="279">
        <v>43</v>
      </c>
      <c r="B31" s="280" t="s">
        <v>577</v>
      </c>
    </row>
    <row r="32" spans="1:2">
      <c r="A32" s="279">
        <v>44</v>
      </c>
      <c r="B32" s="280" t="s">
        <v>578</v>
      </c>
    </row>
    <row r="33" spans="1:2">
      <c r="A33" s="279">
        <v>45</v>
      </c>
      <c r="B33" s="280" t="s">
        <v>579</v>
      </c>
    </row>
    <row r="34" spans="1:2">
      <c r="A34" s="279">
        <v>46</v>
      </c>
      <c r="B34" s="280" t="s">
        <v>580</v>
      </c>
    </row>
    <row r="35" spans="1:2">
      <c r="A35" s="279">
        <v>47</v>
      </c>
      <c r="B35" s="280" t="s">
        <v>581</v>
      </c>
    </row>
    <row r="36" spans="1:2">
      <c r="A36" s="279">
        <v>48</v>
      </c>
      <c r="B36" s="280" t="s">
        <v>582</v>
      </c>
    </row>
    <row r="37" spans="1:2">
      <c r="A37" s="279">
        <v>49</v>
      </c>
      <c r="B37" s="280"/>
    </row>
    <row r="38" spans="1:2">
      <c r="A38" s="279">
        <v>50</v>
      </c>
      <c r="B38" s="280"/>
    </row>
    <row r="39" spans="1:2">
      <c r="A39" s="287"/>
      <c r="B39" s="315"/>
    </row>
    <row r="40" spans="1:2">
      <c r="A40" s="287"/>
      <c r="B40" s="315"/>
    </row>
    <row r="41" spans="1:2">
      <c r="A41" s="287"/>
      <c r="B41" s="315"/>
    </row>
    <row r="42" spans="1:2">
      <c r="A42" s="287"/>
      <c r="B42" s="315"/>
    </row>
    <row r="43" spans="1:2">
      <c r="A43" s="287"/>
      <c r="B43" s="315"/>
    </row>
  </sheetData>
  <sheetProtection password="CD5A" sheet="1" objects="1" scenarios="1"/>
  <mergeCells count="4">
    <mergeCell ref="A1:B1"/>
    <mergeCell ref="A5:B5"/>
    <mergeCell ref="A9:B9"/>
    <mergeCell ref="A27:B27"/>
  </mergeCells>
  <pageMargins left="0.7" right="0.7" top="0.75" bottom="0.75" header="0.3" footer="0.3"/>
  <pageSetup paperSize="512"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sheetPr codeName="Sheet5"/>
  <dimension ref="A1:N14"/>
  <sheetViews>
    <sheetView workbookViewId="0">
      <selection sqref="A1:A3"/>
    </sheetView>
  </sheetViews>
  <sheetFormatPr defaultRowHeight="15"/>
  <cols>
    <col min="1" max="1" width="10.85546875" style="85" customWidth="1"/>
    <col min="2" max="2" width="8.140625" style="85" customWidth="1"/>
    <col min="3" max="3" width="8.7109375" style="85" customWidth="1"/>
    <col min="4" max="4" width="10" style="85" customWidth="1"/>
    <col min="5" max="5" width="15" style="85" customWidth="1"/>
    <col min="6" max="12" width="7.42578125" style="85" customWidth="1"/>
    <col min="13" max="13" width="11.140625" style="85" customWidth="1"/>
    <col min="14" max="14" width="10.140625" style="85" customWidth="1"/>
    <col min="15" max="16384" width="9.140625" style="85"/>
  </cols>
  <sheetData>
    <row r="1" spans="1:14" ht="15" customHeight="1">
      <c r="A1" s="486" t="s">
        <v>327</v>
      </c>
      <c r="B1" s="471">
        <v>5</v>
      </c>
      <c r="C1" s="471"/>
      <c r="D1" s="471"/>
      <c r="E1" s="471"/>
      <c r="F1" s="471"/>
      <c r="G1" s="471"/>
      <c r="H1" s="471"/>
      <c r="I1" s="471"/>
      <c r="J1" s="471"/>
      <c r="K1" s="471"/>
      <c r="L1" s="471"/>
      <c r="M1" s="471"/>
      <c r="N1" s="471"/>
    </row>
    <row r="2" spans="1:14" ht="15" customHeight="1">
      <c r="A2" s="486"/>
      <c r="B2" s="471"/>
      <c r="C2" s="471"/>
      <c r="D2" s="471"/>
      <c r="E2" s="471"/>
      <c r="F2" s="471"/>
      <c r="G2" s="471"/>
      <c r="H2" s="471"/>
      <c r="I2" s="471"/>
      <c r="J2" s="471"/>
      <c r="K2" s="471"/>
      <c r="L2" s="471"/>
      <c r="M2" s="471"/>
      <c r="N2" s="471"/>
    </row>
    <row r="3" spans="1:14" ht="15" customHeight="1">
      <c r="A3" s="486"/>
      <c r="B3" s="471"/>
      <c r="C3" s="471"/>
      <c r="D3" s="471"/>
      <c r="E3" s="471"/>
      <c r="F3" s="471"/>
      <c r="G3" s="471"/>
      <c r="H3" s="471"/>
      <c r="I3" s="471"/>
      <c r="J3" s="471"/>
      <c r="K3" s="471"/>
      <c r="L3" s="471"/>
      <c r="M3" s="471"/>
      <c r="N3" s="471"/>
    </row>
    <row r="5" spans="1:14" ht="45" customHeight="1">
      <c r="A5" s="265" t="s">
        <v>326</v>
      </c>
      <c r="B5" s="472" t="str">
        <f>VLOOKUP(B1,nilai_jadi,3,FALSE)</f>
        <v>AHMAD HAMBALI</v>
      </c>
      <c r="C5" s="472"/>
      <c r="D5" s="472"/>
      <c r="E5" s="472"/>
      <c r="F5" s="472"/>
      <c r="G5" s="472"/>
      <c r="H5" s="472"/>
      <c r="I5" s="472"/>
      <c r="J5" s="472"/>
      <c r="K5" s="472"/>
      <c r="L5" s="472"/>
      <c r="M5" s="472"/>
      <c r="N5" s="472"/>
    </row>
    <row r="7" spans="1:14" ht="4.5" customHeight="1"/>
    <row r="8" spans="1:14" ht="2.25" customHeight="1"/>
    <row r="9" spans="1:14" ht="15" customHeight="1">
      <c r="B9" s="475" t="s">
        <v>436</v>
      </c>
      <c r="C9" s="476"/>
      <c r="D9" s="476"/>
      <c r="E9" s="476"/>
      <c r="F9" s="490" t="s">
        <v>437</v>
      </c>
      <c r="G9" s="490"/>
      <c r="H9" s="490"/>
      <c r="I9" s="490"/>
      <c r="J9" s="490"/>
      <c r="K9" s="490"/>
      <c r="L9" s="490"/>
      <c r="M9" s="490"/>
      <c r="N9" s="491"/>
    </row>
    <row r="10" spans="1:14" ht="6" customHeight="1">
      <c r="B10" s="477"/>
      <c r="C10" s="478"/>
      <c r="D10" s="478"/>
      <c r="E10" s="478"/>
      <c r="F10" s="492"/>
      <c r="G10" s="492"/>
      <c r="H10" s="492"/>
      <c r="I10" s="492"/>
      <c r="J10" s="492"/>
      <c r="K10" s="492"/>
      <c r="L10" s="492"/>
      <c r="M10" s="492"/>
      <c r="N10" s="493"/>
    </row>
    <row r="11" spans="1:14" ht="40.5" customHeight="1">
      <c r="A11" s="469" t="s">
        <v>318</v>
      </c>
      <c r="B11" s="264">
        <f>VLOOKUP(B1,nilai_jadi,12,FALSE)</f>
        <v>3</v>
      </c>
      <c r="C11" s="473" t="s">
        <v>435</v>
      </c>
      <c r="D11" s="474"/>
      <c r="E11" s="474"/>
      <c r="F11" s="271" t="s">
        <v>8</v>
      </c>
      <c r="G11" s="271" t="s">
        <v>9</v>
      </c>
      <c r="H11" s="271" t="s">
        <v>6</v>
      </c>
      <c r="I11" s="271" t="s">
        <v>10</v>
      </c>
      <c r="J11" s="272" t="s">
        <v>184</v>
      </c>
      <c r="K11" s="273" t="s">
        <v>12</v>
      </c>
      <c r="L11" s="270" t="s">
        <v>430</v>
      </c>
      <c r="M11" s="482" t="s">
        <v>221</v>
      </c>
      <c r="N11" s="483"/>
    </row>
    <row r="12" spans="1:14" ht="86.25" customHeight="1">
      <c r="A12" s="470"/>
      <c r="B12" s="264">
        <f>VLOOKUP(B1,nilai_jadi,10,FALSE)</f>
        <v>3</v>
      </c>
      <c r="C12" s="479" t="str">
        <f>VLOOKUP(B1,nilai_jadi,11,FALSE)</f>
        <v>Melaksanakan sholat dhuhur berjemaah dan sholatt dhuha, berdo'a di awal di akhir kegiatan pembelajaran , serta melaksanakan kegiatan amaliyah siswa</v>
      </c>
      <c r="D12" s="480"/>
      <c r="E12" s="481"/>
      <c r="F12" s="266">
        <f>VLOOKUP(B1,nilai_jadi,12,FALSE)</f>
        <v>3</v>
      </c>
      <c r="G12" s="266">
        <f>VLOOKUP(B1,nilai_jadi,13,FALSE)</f>
        <v>3</v>
      </c>
      <c r="H12" s="266">
        <f>VLOOKUP(B1,nilai_jadi,14,FALSE)</f>
        <v>3</v>
      </c>
      <c r="I12" s="266">
        <f>VLOOKUP(B1,nilai_jadi,15,FALSE)</f>
        <v>3</v>
      </c>
      <c r="J12" s="266">
        <f>VLOOKUP(B1,nilai_jadi,16,FALSE)</f>
        <v>3</v>
      </c>
      <c r="K12" s="266">
        <f>VLOOKUP(B1,nilai_jadi,17,FALSE)</f>
        <v>3</v>
      </c>
      <c r="L12" s="266">
        <f>VLOOKUP(B1,nilai_jadi,18,FALSE)</f>
        <v>3</v>
      </c>
      <c r="M12" s="484" t="str">
        <f>VLOOKUP(B1,nilai_jadi,19,FALSE)</f>
        <v>Santun dalam bersikap, disiplin dalam mentaati tata tertib madrasah, peduli pada lingkungan, orang tua, bertanggung jawab dalam melaksanakan tugas, baik sebagai individu maupun makhluk sosial</v>
      </c>
      <c r="N12" s="485"/>
    </row>
    <row r="13" spans="1:14" ht="54.95" customHeight="1">
      <c r="A13" s="274" t="s">
        <v>325</v>
      </c>
      <c r="B13" s="260">
        <f>VLOOKUP(B1,nilai_jadi,4,FALSE)</f>
        <v>77</v>
      </c>
      <c r="C13" s="261" t="str">
        <f>VLOOKUP(B1,nilai_jadi,5,FALSE)</f>
        <v>B</v>
      </c>
      <c r="D13" s="487" t="str">
        <f>VLOOKUP(B1,nilai_jadi,6,FALSE)</f>
        <v>Penguasaan materi sudah baik dalam Mengidentifikasi informasi (pesan, rima, dan pilihan kata) dari puisi rakyat (pantun, syair, dan bentuk puisi rakyat setempat) yang dibaca dan didengar</v>
      </c>
      <c r="E13" s="488"/>
      <c r="F13" s="488"/>
      <c r="G13" s="488"/>
      <c r="H13" s="488"/>
      <c r="I13" s="488"/>
      <c r="J13" s="488"/>
      <c r="K13" s="488"/>
      <c r="L13" s="488"/>
      <c r="M13" s="488"/>
      <c r="N13" s="489"/>
    </row>
    <row r="14" spans="1:14" ht="54.95" customHeight="1">
      <c r="A14" s="207" t="s">
        <v>324</v>
      </c>
      <c r="B14" s="262">
        <f>VLOOKUP(B1,nilai_jadi,7,FALSE)</f>
        <v>79</v>
      </c>
      <c r="C14" s="263" t="str">
        <f>VLOOKUP(B1,nilai_jadi,8,FALSE)</f>
        <v>B</v>
      </c>
      <c r="D14" s="466" t="str">
        <f>VLOOKUP(B1,nilai_jadi,9,FALSE)</f>
        <v>Terampil Menyimpulkan isi puisi rakyat (pantun, syair, dan bentuk puisi rakyat setempat) yang disajikan dalam bentuk tulis dan lisan</v>
      </c>
      <c r="E14" s="467"/>
      <c r="F14" s="467"/>
      <c r="G14" s="467"/>
      <c r="H14" s="467"/>
      <c r="I14" s="467"/>
      <c r="J14" s="467"/>
      <c r="K14" s="467"/>
      <c r="L14" s="467"/>
      <c r="M14" s="467"/>
      <c r="N14" s="468"/>
    </row>
  </sheetData>
  <sheetProtection password="F9D4" sheet="1" objects="1" scenarios="1" formatCells="0" formatColumns="0" formatRows="0" insertColumns="0" insertRows="0" insertHyperlinks="0" deleteColumns="0" deleteRows="0"/>
  <mergeCells count="12">
    <mergeCell ref="D14:N14"/>
    <mergeCell ref="A11:A12"/>
    <mergeCell ref="B1:N3"/>
    <mergeCell ref="B5:N5"/>
    <mergeCell ref="C11:E11"/>
    <mergeCell ref="B9:E10"/>
    <mergeCell ref="C12:E12"/>
    <mergeCell ref="M11:N11"/>
    <mergeCell ref="M12:N12"/>
    <mergeCell ref="A1:A3"/>
    <mergeCell ref="D13:N13"/>
    <mergeCell ref="F9:N10"/>
  </mergeCells>
  <pageMargins left="0.70866141732283472" right="0.70866141732283472" top="0.74803149606299213" bottom="0.74803149606299213" header="0.31496062992125984" footer="0.31496062992125984"/>
  <pageSetup paperSize="513" scale="85" orientation="landscape" r:id="rId1"/>
  <drawing r:id="rId2"/>
  <legacyDrawing r:id="rId3"/>
</worksheet>
</file>

<file path=xl/worksheets/sheet5.xml><?xml version="1.0" encoding="utf-8"?>
<worksheet xmlns="http://schemas.openxmlformats.org/spreadsheetml/2006/main" xmlns:r="http://schemas.openxmlformats.org/officeDocument/2006/relationships">
  <sheetPr codeName="Sheet3"/>
  <dimension ref="A1:E52"/>
  <sheetViews>
    <sheetView view="pageBreakPreview" zoomScale="85" zoomScaleSheetLayoutView="85" workbookViewId="0">
      <pane xSplit="5" ySplit="4" topLeftCell="F36" activePane="bottomRight" state="frozen"/>
      <selection pane="topRight" activeCell="F1" sqref="F1"/>
      <selection pane="bottomLeft" activeCell="A5" sqref="A5"/>
      <selection pane="bottomRight" activeCell="B5" sqref="B5"/>
    </sheetView>
  </sheetViews>
  <sheetFormatPr defaultRowHeight="15"/>
  <cols>
    <col min="1" max="1" width="4.85546875" style="95" customWidth="1"/>
    <col min="2" max="2" width="7.140625" style="95" customWidth="1"/>
    <col min="3" max="3" width="32.5703125" style="95" customWidth="1"/>
    <col min="4" max="4" width="11.140625" style="95" customWidth="1"/>
    <col min="5" max="5" width="10.28515625" style="95" customWidth="1"/>
    <col min="6" max="16384" width="9.140625" style="95"/>
  </cols>
  <sheetData>
    <row r="1" spans="1:5" ht="15" customHeight="1">
      <c r="A1" s="494" t="s">
        <v>15</v>
      </c>
      <c r="B1" s="494" t="s">
        <v>16</v>
      </c>
      <c r="C1" s="497" t="s">
        <v>0</v>
      </c>
      <c r="D1" s="498" t="s">
        <v>1</v>
      </c>
      <c r="E1" s="499" t="s">
        <v>17</v>
      </c>
    </row>
    <row r="2" spans="1:5" ht="15" customHeight="1">
      <c r="A2" s="495"/>
      <c r="B2" s="495"/>
      <c r="C2" s="497"/>
      <c r="D2" s="498"/>
      <c r="E2" s="500"/>
    </row>
    <row r="3" spans="1:5" s="98" customFormat="1" ht="80.25" customHeight="1">
      <c r="A3" s="496"/>
      <c r="B3" s="496"/>
      <c r="C3" s="497"/>
      <c r="D3" s="498"/>
      <c r="E3" s="501"/>
    </row>
    <row r="4" spans="1:5">
      <c r="A4" s="99">
        <v>1</v>
      </c>
      <c r="B4" s="99">
        <v>2</v>
      </c>
      <c r="C4" s="99">
        <v>3</v>
      </c>
      <c r="D4" s="99">
        <v>4</v>
      </c>
      <c r="E4" s="99">
        <v>5</v>
      </c>
    </row>
    <row r="5" spans="1:5" ht="17.25" customHeight="1">
      <c r="A5" s="107">
        <v>1</v>
      </c>
      <c r="B5" s="129" t="s">
        <v>527</v>
      </c>
      <c r="C5" s="409" t="s">
        <v>492</v>
      </c>
      <c r="D5" s="410" t="s">
        <v>561</v>
      </c>
      <c r="E5" s="224" t="str">
        <f>menu!$D$14&amp;menu!$E$14</f>
        <v>VII-J</v>
      </c>
    </row>
    <row r="6" spans="1:5" ht="18" customHeight="1">
      <c r="A6" s="129">
        <v>2</v>
      </c>
      <c r="B6" s="129"/>
      <c r="C6" s="409"/>
      <c r="D6" s="410"/>
      <c r="E6" s="224" t="str">
        <f>menu!$D$14&amp;menu!$E$14</f>
        <v>VII-J</v>
      </c>
    </row>
    <row r="7" spans="1:5">
      <c r="A7" s="129">
        <v>3</v>
      </c>
      <c r="B7" s="296" t="s">
        <v>528</v>
      </c>
      <c r="C7" s="409" t="s">
        <v>493</v>
      </c>
      <c r="D7" s="410" t="s">
        <v>561</v>
      </c>
      <c r="E7" s="224" t="str">
        <f>menu!$D$14&amp;menu!$E$14</f>
        <v>VII-J</v>
      </c>
    </row>
    <row r="8" spans="1:5">
      <c r="A8" s="129">
        <v>4</v>
      </c>
      <c r="B8" s="296" t="s">
        <v>529</v>
      </c>
      <c r="C8" s="409" t="s">
        <v>494</v>
      </c>
      <c r="D8" s="410" t="s">
        <v>562</v>
      </c>
      <c r="E8" s="224" t="str">
        <f>menu!$D$14&amp;menu!$E$14</f>
        <v>VII-J</v>
      </c>
    </row>
    <row r="9" spans="1:5">
      <c r="A9" s="129">
        <v>5</v>
      </c>
      <c r="B9" s="129" t="s">
        <v>530</v>
      </c>
      <c r="C9" s="409" t="s">
        <v>495</v>
      </c>
      <c r="D9" s="410" t="s">
        <v>561</v>
      </c>
      <c r="E9" s="224" t="str">
        <f>menu!$D$14&amp;menu!$E$14</f>
        <v>VII-J</v>
      </c>
    </row>
    <row r="10" spans="1:5">
      <c r="A10" s="129">
        <v>6</v>
      </c>
      <c r="B10" s="129" t="s">
        <v>531</v>
      </c>
      <c r="C10" s="409" t="s">
        <v>496</v>
      </c>
      <c r="D10" s="410" t="s">
        <v>561</v>
      </c>
      <c r="E10" s="224" t="str">
        <f>menu!$D$14&amp;menu!$E$14</f>
        <v>VII-J</v>
      </c>
    </row>
    <row r="11" spans="1:5">
      <c r="A11" s="129">
        <v>7</v>
      </c>
      <c r="B11" s="129" t="s">
        <v>532</v>
      </c>
      <c r="C11" s="409" t="s">
        <v>497</v>
      </c>
      <c r="D11" s="410" t="s">
        <v>561</v>
      </c>
      <c r="E11" s="224" t="str">
        <f>menu!$D$14&amp;menu!$E$14</f>
        <v>VII-J</v>
      </c>
    </row>
    <row r="12" spans="1:5">
      <c r="A12" s="129">
        <v>8</v>
      </c>
      <c r="B12" s="129" t="s">
        <v>533</v>
      </c>
      <c r="C12" s="409" t="s">
        <v>498</v>
      </c>
      <c r="D12" s="410" t="s">
        <v>561</v>
      </c>
      <c r="E12" s="224" t="str">
        <f>menu!$D$14&amp;menu!$E$14</f>
        <v>VII-J</v>
      </c>
    </row>
    <row r="13" spans="1:5">
      <c r="A13" s="129">
        <v>9</v>
      </c>
      <c r="B13" s="129" t="s">
        <v>534</v>
      </c>
      <c r="C13" s="409" t="s">
        <v>499</v>
      </c>
      <c r="D13" s="410" t="s">
        <v>562</v>
      </c>
      <c r="E13" s="224" t="str">
        <f>menu!$D$14&amp;menu!$E$14</f>
        <v>VII-J</v>
      </c>
    </row>
    <row r="14" spans="1:5">
      <c r="A14" s="129">
        <v>10</v>
      </c>
      <c r="B14" s="129" t="s">
        <v>535</v>
      </c>
      <c r="C14" s="409" t="s">
        <v>500</v>
      </c>
      <c r="D14" s="410" t="s">
        <v>562</v>
      </c>
      <c r="E14" s="224" t="str">
        <f>menu!$D$14&amp;menu!$E$14</f>
        <v>VII-J</v>
      </c>
    </row>
    <row r="15" spans="1:5">
      <c r="A15" s="129">
        <v>11</v>
      </c>
      <c r="B15" s="129" t="s">
        <v>536</v>
      </c>
      <c r="C15" s="409" t="s">
        <v>501</v>
      </c>
      <c r="D15" s="410" t="s">
        <v>562</v>
      </c>
      <c r="E15" s="224" t="str">
        <f>menu!$D$14&amp;menu!$E$14</f>
        <v>VII-J</v>
      </c>
    </row>
    <row r="16" spans="1:5">
      <c r="A16" s="129">
        <v>12</v>
      </c>
      <c r="B16" s="129" t="s">
        <v>537</v>
      </c>
      <c r="C16" s="409" t="s">
        <v>502</v>
      </c>
      <c r="D16" s="410" t="s">
        <v>562</v>
      </c>
      <c r="E16" s="224" t="str">
        <f>menu!$D$14&amp;menu!$E$14</f>
        <v>VII-J</v>
      </c>
    </row>
    <row r="17" spans="1:5">
      <c r="A17" s="129">
        <v>13</v>
      </c>
      <c r="B17" s="129" t="s">
        <v>538</v>
      </c>
      <c r="C17" s="409" t="s">
        <v>503</v>
      </c>
      <c r="D17" s="410" t="s">
        <v>561</v>
      </c>
      <c r="E17" s="224" t="str">
        <f>menu!$D$14&amp;menu!$E$14</f>
        <v>VII-J</v>
      </c>
    </row>
    <row r="18" spans="1:5">
      <c r="A18" s="129">
        <v>14</v>
      </c>
      <c r="B18" s="129" t="s">
        <v>539</v>
      </c>
      <c r="C18" s="409" t="s">
        <v>504</v>
      </c>
      <c r="D18" s="410" t="s">
        <v>562</v>
      </c>
      <c r="E18" s="224" t="str">
        <f>menu!$D$14&amp;menu!$E$14</f>
        <v>VII-J</v>
      </c>
    </row>
    <row r="19" spans="1:5">
      <c r="A19" s="129">
        <v>15</v>
      </c>
      <c r="B19" s="129" t="s">
        <v>540</v>
      </c>
      <c r="C19" s="409" t="s">
        <v>505</v>
      </c>
      <c r="D19" s="410" t="s">
        <v>561</v>
      </c>
      <c r="E19" s="224" t="str">
        <f>menu!$D$14&amp;menu!$E$14</f>
        <v>VII-J</v>
      </c>
    </row>
    <row r="20" spans="1:5">
      <c r="A20" s="129">
        <v>16</v>
      </c>
      <c r="B20" s="129" t="s">
        <v>541</v>
      </c>
      <c r="C20" s="409" t="s">
        <v>506</v>
      </c>
      <c r="D20" s="410" t="s">
        <v>562</v>
      </c>
      <c r="E20" s="224" t="str">
        <f>menu!$D$14&amp;menu!$E$14</f>
        <v>VII-J</v>
      </c>
    </row>
    <row r="21" spans="1:5">
      <c r="A21" s="129">
        <v>17</v>
      </c>
      <c r="B21" s="129" t="s">
        <v>542</v>
      </c>
      <c r="C21" s="409" t="s">
        <v>507</v>
      </c>
      <c r="D21" s="410" t="s">
        <v>562</v>
      </c>
      <c r="E21" s="224" t="str">
        <f>menu!$D$14&amp;menu!$E$14</f>
        <v>VII-J</v>
      </c>
    </row>
    <row r="22" spans="1:5">
      <c r="A22" s="129">
        <v>18</v>
      </c>
      <c r="B22" s="129" t="s">
        <v>543</v>
      </c>
      <c r="C22" s="409" t="s">
        <v>508</v>
      </c>
      <c r="D22" s="410" t="s">
        <v>561</v>
      </c>
      <c r="E22" s="224" t="str">
        <f>menu!$D$14&amp;menu!$E$14</f>
        <v>VII-J</v>
      </c>
    </row>
    <row r="23" spans="1:5">
      <c r="A23" s="129">
        <v>19</v>
      </c>
      <c r="B23" s="129" t="s">
        <v>544</v>
      </c>
      <c r="C23" s="409" t="s">
        <v>509</v>
      </c>
      <c r="D23" s="410" t="s">
        <v>562</v>
      </c>
      <c r="E23" s="224" t="str">
        <f>menu!$D$14&amp;menu!$E$14</f>
        <v>VII-J</v>
      </c>
    </row>
    <row r="24" spans="1:5">
      <c r="A24" s="129">
        <v>20</v>
      </c>
      <c r="B24" s="129" t="s">
        <v>545</v>
      </c>
      <c r="C24" s="409" t="s">
        <v>510</v>
      </c>
      <c r="D24" s="410" t="s">
        <v>561</v>
      </c>
      <c r="E24" s="224" t="str">
        <f>menu!$D$14&amp;menu!$E$14</f>
        <v>VII-J</v>
      </c>
    </row>
    <row r="25" spans="1:5">
      <c r="A25" s="129">
        <v>21</v>
      </c>
      <c r="B25" s="129" t="s">
        <v>546</v>
      </c>
      <c r="C25" s="409" t="s">
        <v>511</v>
      </c>
      <c r="D25" s="410" t="s">
        <v>561</v>
      </c>
      <c r="E25" s="224" t="str">
        <f>menu!$D$14&amp;menu!$E$14</f>
        <v>VII-J</v>
      </c>
    </row>
    <row r="26" spans="1:5">
      <c r="A26" s="129">
        <v>22</v>
      </c>
      <c r="B26" s="129" t="s">
        <v>547</v>
      </c>
      <c r="C26" s="409" t="s">
        <v>512</v>
      </c>
      <c r="D26" s="410" t="s">
        <v>561</v>
      </c>
      <c r="E26" s="224" t="str">
        <f>menu!$D$14&amp;menu!$E$14</f>
        <v>VII-J</v>
      </c>
    </row>
    <row r="27" spans="1:5">
      <c r="A27" s="129">
        <v>23</v>
      </c>
      <c r="B27" s="129" t="s">
        <v>548</v>
      </c>
      <c r="C27" s="409" t="s">
        <v>513</v>
      </c>
      <c r="D27" s="410" t="s">
        <v>561</v>
      </c>
      <c r="E27" s="224" t="str">
        <f>menu!$D$14&amp;menu!$E$14</f>
        <v>VII-J</v>
      </c>
    </row>
    <row r="28" spans="1:5">
      <c r="A28" s="129">
        <v>24</v>
      </c>
      <c r="B28" s="129" t="s">
        <v>549</v>
      </c>
      <c r="C28" s="409" t="s">
        <v>514</v>
      </c>
      <c r="D28" s="410" t="s">
        <v>561</v>
      </c>
      <c r="E28" s="224" t="str">
        <f>menu!$D$14&amp;menu!$E$14</f>
        <v>VII-J</v>
      </c>
    </row>
    <row r="29" spans="1:5">
      <c r="A29" s="129">
        <v>25</v>
      </c>
      <c r="B29" s="129" t="s">
        <v>550</v>
      </c>
      <c r="C29" s="409" t="s">
        <v>515</v>
      </c>
      <c r="D29" s="410" t="s">
        <v>562</v>
      </c>
      <c r="E29" s="224" t="str">
        <f>menu!$D$14&amp;menu!$E$14</f>
        <v>VII-J</v>
      </c>
    </row>
    <row r="30" spans="1:5">
      <c r="A30" s="129">
        <v>26</v>
      </c>
      <c r="B30" s="129" t="s">
        <v>551</v>
      </c>
      <c r="C30" s="409" t="s">
        <v>516</v>
      </c>
      <c r="D30" s="410" t="s">
        <v>561</v>
      </c>
      <c r="E30" s="224" t="str">
        <f>menu!$D$14&amp;menu!$E$14</f>
        <v>VII-J</v>
      </c>
    </row>
    <row r="31" spans="1:5">
      <c r="A31" s="129">
        <v>27</v>
      </c>
      <c r="B31" s="129" t="s">
        <v>552</v>
      </c>
      <c r="C31" s="409" t="s">
        <v>517</v>
      </c>
      <c r="D31" s="410" t="s">
        <v>561</v>
      </c>
      <c r="E31" s="224" t="str">
        <f>menu!$D$14&amp;menu!$E$14</f>
        <v>VII-J</v>
      </c>
    </row>
    <row r="32" spans="1:5">
      <c r="A32" s="129">
        <v>28</v>
      </c>
      <c r="B32" s="129" t="s">
        <v>553</v>
      </c>
      <c r="C32" s="409" t="s">
        <v>518</v>
      </c>
      <c r="D32" s="410" t="s">
        <v>561</v>
      </c>
      <c r="E32" s="224" t="str">
        <f>menu!$D$14&amp;menu!$E$14</f>
        <v>VII-J</v>
      </c>
    </row>
    <row r="33" spans="1:5">
      <c r="A33" s="129">
        <v>29</v>
      </c>
      <c r="B33" s="129" t="s">
        <v>554</v>
      </c>
      <c r="C33" s="409" t="s">
        <v>519</v>
      </c>
      <c r="D33" s="410" t="s">
        <v>562</v>
      </c>
      <c r="E33" s="224" t="str">
        <f>menu!$D$14&amp;menu!$E$14</f>
        <v>VII-J</v>
      </c>
    </row>
    <row r="34" spans="1:5">
      <c r="A34" s="129">
        <v>30</v>
      </c>
      <c r="B34" s="129" t="s">
        <v>555</v>
      </c>
      <c r="C34" s="409" t="s">
        <v>520</v>
      </c>
      <c r="D34" s="410" t="s">
        <v>562</v>
      </c>
      <c r="E34" s="224" t="str">
        <f>menu!$D$14&amp;menu!$E$14</f>
        <v>VII-J</v>
      </c>
    </row>
    <row r="35" spans="1:5">
      <c r="A35" s="129">
        <v>31</v>
      </c>
      <c r="B35" s="129" t="s">
        <v>556</v>
      </c>
      <c r="C35" s="409" t="s">
        <v>521</v>
      </c>
      <c r="D35" s="410" t="s">
        <v>562</v>
      </c>
      <c r="E35" s="224" t="str">
        <f>menu!$D$14&amp;menu!$E$14</f>
        <v>VII-J</v>
      </c>
    </row>
    <row r="36" spans="1:5">
      <c r="A36" s="129">
        <v>32</v>
      </c>
      <c r="B36" s="129" t="s">
        <v>557</v>
      </c>
      <c r="C36" s="409" t="s">
        <v>522</v>
      </c>
      <c r="D36" s="410" t="s">
        <v>562</v>
      </c>
      <c r="E36" s="224" t="str">
        <f>menu!$D$14&amp;menu!$E$14</f>
        <v>VII-J</v>
      </c>
    </row>
    <row r="37" spans="1:5">
      <c r="A37" s="129">
        <v>33</v>
      </c>
      <c r="B37" s="129" t="s">
        <v>558</v>
      </c>
      <c r="C37" s="409" t="s">
        <v>523</v>
      </c>
      <c r="D37" s="410" t="s">
        <v>562</v>
      </c>
      <c r="E37" s="224" t="str">
        <f>menu!$D$14&amp;menu!$E$14</f>
        <v>VII-J</v>
      </c>
    </row>
    <row r="38" spans="1:5">
      <c r="A38" s="129">
        <v>34</v>
      </c>
      <c r="B38" s="129" t="s">
        <v>559</v>
      </c>
      <c r="C38" s="409" t="s">
        <v>490</v>
      </c>
      <c r="D38" s="410" t="s">
        <v>561</v>
      </c>
      <c r="E38" s="224" t="str">
        <f>menu!$D$14&amp;menu!$E$14</f>
        <v>VII-J</v>
      </c>
    </row>
    <row r="39" spans="1:5">
      <c r="A39" s="129">
        <v>35</v>
      </c>
      <c r="B39" s="129" t="s">
        <v>560</v>
      </c>
      <c r="C39" s="409" t="s">
        <v>524</v>
      </c>
      <c r="D39" s="410" t="s">
        <v>562</v>
      </c>
      <c r="E39" s="224" t="str">
        <f>menu!$D$14&amp;menu!$E$14</f>
        <v>VII-J</v>
      </c>
    </row>
    <row r="40" spans="1:5">
      <c r="A40" s="129">
        <v>36</v>
      </c>
      <c r="B40" s="129"/>
      <c r="C40" s="294"/>
      <c r="D40" s="297"/>
      <c r="E40" s="224" t="str">
        <f>menu!$D$14&amp;menu!$E$14</f>
        <v>VII-J</v>
      </c>
    </row>
    <row r="41" spans="1:5">
      <c r="A41" s="129">
        <v>37</v>
      </c>
      <c r="B41" s="129"/>
      <c r="C41" s="298"/>
      <c r="D41" s="295"/>
      <c r="E41" s="224" t="str">
        <f>menu!$D$14&amp;menu!$E$14</f>
        <v>VII-J</v>
      </c>
    </row>
    <row r="42" spans="1:5">
      <c r="A42" s="129">
        <v>38</v>
      </c>
      <c r="B42" s="129"/>
      <c r="C42" s="294"/>
      <c r="D42" s="297"/>
      <c r="E42" s="224" t="str">
        <f>menu!$D$14&amp;menu!$E$14</f>
        <v>VII-J</v>
      </c>
    </row>
    <row r="43" spans="1:5">
      <c r="A43" s="129">
        <v>39</v>
      </c>
      <c r="B43" s="129"/>
      <c r="C43" s="294"/>
      <c r="D43" s="297"/>
      <c r="E43" s="224" t="str">
        <f>menu!$D$14&amp;menu!$E$14</f>
        <v>VII-J</v>
      </c>
    </row>
    <row r="44" spans="1:5">
      <c r="A44" s="129">
        <v>40</v>
      </c>
      <c r="B44" s="129"/>
      <c r="C44" s="299"/>
      <c r="D44" s="295"/>
      <c r="E44" s="224" t="str">
        <f>menu!$D$14&amp;menu!$E$14</f>
        <v>VII-J</v>
      </c>
    </row>
    <row r="45" spans="1:5">
      <c r="A45" s="129">
        <v>41</v>
      </c>
      <c r="B45" s="129"/>
      <c r="C45" s="299"/>
      <c r="D45" s="295"/>
      <c r="E45" s="224" t="str">
        <f>menu!$D$14&amp;menu!$E$14</f>
        <v>VII-J</v>
      </c>
    </row>
    <row r="46" spans="1:5">
      <c r="A46" s="223">
        <v>42</v>
      </c>
      <c r="B46" s="223"/>
      <c r="C46" s="300"/>
      <c r="D46" s="301"/>
      <c r="E46" s="224" t="str">
        <f>menu!$D$14&amp;menu!$E$14</f>
        <v>VII-J</v>
      </c>
    </row>
    <row r="47" spans="1:5">
      <c r="A47" s="223">
        <v>43</v>
      </c>
      <c r="B47" s="223"/>
      <c r="C47" s="302"/>
      <c r="D47" s="303"/>
      <c r="E47" s="224" t="str">
        <f>menu!$D$14&amp;menu!$E$14</f>
        <v>VII-J</v>
      </c>
    </row>
    <row r="48" spans="1:5">
      <c r="A48" s="223">
        <v>44</v>
      </c>
      <c r="B48" s="223"/>
      <c r="C48" s="300"/>
      <c r="D48" s="301"/>
      <c r="E48" s="224" t="str">
        <f>menu!$D$14&amp;menu!$E$14</f>
        <v>VII-J</v>
      </c>
    </row>
    <row r="49" spans="1:5">
      <c r="A49" s="223">
        <v>45</v>
      </c>
      <c r="B49" s="223"/>
      <c r="C49" s="302"/>
      <c r="D49" s="303"/>
      <c r="E49" s="224" t="str">
        <f>menu!$D$14&amp;menu!$E$14</f>
        <v>VII-J</v>
      </c>
    </row>
    <row r="50" spans="1:5">
      <c r="A50" s="223">
        <v>46</v>
      </c>
      <c r="B50" s="223"/>
      <c r="C50" s="302"/>
      <c r="D50" s="303"/>
      <c r="E50" s="224" t="str">
        <f>menu!$D$14&amp;menu!$E$14</f>
        <v>VII-J</v>
      </c>
    </row>
    <row r="51" spans="1:5">
      <c r="A51" s="223">
        <v>47</v>
      </c>
      <c r="B51" s="223"/>
      <c r="C51" s="300"/>
      <c r="D51" s="301"/>
      <c r="E51" s="224" t="str">
        <f>menu!$D$14&amp;menu!$E$14</f>
        <v>VII-J</v>
      </c>
    </row>
    <row r="52" spans="1:5">
      <c r="A52" s="223">
        <v>48</v>
      </c>
      <c r="B52" s="223"/>
      <c r="C52" s="302"/>
      <c r="D52" s="303"/>
      <c r="E52" s="224" t="str">
        <f>menu!$D$14&amp;menu!$E$14</f>
        <v>VII-J</v>
      </c>
    </row>
  </sheetData>
  <sheetProtection password="F9D4" sheet="1" objects="1" scenarios="1"/>
  <autoFilter ref="A4:E44"/>
  <mergeCells count="5">
    <mergeCell ref="A1:A3"/>
    <mergeCell ref="B1:B3"/>
    <mergeCell ref="C1:C3"/>
    <mergeCell ref="D1:D3"/>
    <mergeCell ref="E1:E3"/>
  </mergeCells>
  <pageMargins left="0.7" right="0.7" top="0.75" bottom="0.75" header="0.3" footer="0.3"/>
  <pageSetup paperSize="9" orientation="portrait" horizontalDpi="120" verticalDpi="72" r:id="rId1"/>
  <drawing r:id="rId2"/>
</worksheet>
</file>

<file path=xl/worksheets/sheet6.xml><?xml version="1.0" encoding="utf-8"?>
<worksheet xmlns="http://schemas.openxmlformats.org/spreadsheetml/2006/main" xmlns:r="http://schemas.openxmlformats.org/officeDocument/2006/relationships">
  <sheetPr codeName="Sheet15"/>
  <dimension ref="A1:W55"/>
  <sheetViews>
    <sheetView workbookViewId="0">
      <pane xSplit="2" ySplit="7" topLeftCell="C8" activePane="bottomRight" state="frozen"/>
      <selection pane="topRight" activeCell="C1" sqref="C1"/>
      <selection pane="bottomLeft" activeCell="A8" sqref="A8"/>
      <selection pane="bottomRight"/>
    </sheetView>
  </sheetViews>
  <sheetFormatPr defaultRowHeight="15"/>
  <cols>
    <col min="1" max="1" width="4.28515625" style="85" customWidth="1"/>
    <col min="2" max="2" width="41" style="89" customWidth="1"/>
    <col min="3" max="12" width="5.85546875" style="89" customWidth="1"/>
    <col min="13" max="22" width="6" style="85" customWidth="1"/>
    <col min="23" max="23" width="5.5703125" style="85" customWidth="1"/>
    <col min="24" max="16384" width="9.140625" style="85"/>
  </cols>
  <sheetData>
    <row r="1" spans="1:23" ht="21">
      <c r="A1" s="84"/>
      <c r="B1" s="84"/>
      <c r="C1" s="84" t="s">
        <v>322</v>
      </c>
      <c r="D1" s="84"/>
      <c r="E1" s="84"/>
      <c r="F1" s="84"/>
      <c r="G1" s="84"/>
      <c r="H1" s="84"/>
      <c r="I1" s="84"/>
      <c r="J1" s="84"/>
      <c r="K1" s="84"/>
      <c r="L1" s="84"/>
      <c r="M1" s="92"/>
      <c r="N1" s="92"/>
      <c r="O1" s="92"/>
      <c r="P1" s="92"/>
      <c r="Q1" s="92"/>
      <c r="R1" s="92"/>
      <c r="S1" s="92"/>
      <c r="T1" s="92"/>
      <c r="U1" s="92"/>
      <c r="V1" s="180"/>
      <c r="W1" s="180"/>
    </row>
    <row r="2" spans="1:23" ht="18.75">
      <c r="A2" s="182"/>
      <c r="B2" s="182"/>
      <c r="C2" s="182" t="s">
        <v>321</v>
      </c>
      <c r="D2" s="182"/>
      <c r="E2" s="182"/>
      <c r="F2" s="184" t="str">
        <f>menu!D14&amp;menu!E14</f>
        <v>VII-J</v>
      </c>
      <c r="G2" s="182"/>
      <c r="H2" s="182"/>
      <c r="I2" s="182"/>
      <c r="J2" s="182"/>
      <c r="K2" s="182"/>
      <c r="L2" s="182"/>
      <c r="M2" s="182"/>
      <c r="N2" s="182"/>
      <c r="O2" s="182"/>
      <c r="P2" s="182"/>
      <c r="Q2" s="182"/>
      <c r="R2" s="182"/>
      <c r="S2" s="182"/>
      <c r="T2" s="182"/>
      <c r="U2" s="182"/>
      <c r="V2" s="182"/>
      <c r="W2" s="182"/>
    </row>
    <row r="3" spans="1:23" ht="21">
      <c r="A3" s="84"/>
      <c r="B3" s="84"/>
      <c r="C3" s="84" t="s">
        <v>320</v>
      </c>
      <c r="D3" s="84"/>
      <c r="E3" s="84"/>
      <c r="F3" s="185" t="str">
        <f>menu!D11</f>
        <v>LSC ANGGRETA, S. Pd</v>
      </c>
      <c r="G3" s="84"/>
      <c r="H3" s="84"/>
      <c r="I3" s="84"/>
      <c r="J3" s="84"/>
      <c r="K3" s="84"/>
      <c r="L3" s="84"/>
      <c r="M3" s="180" t="s">
        <v>319</v>
      </c>
      <c r="N3" s="92"/>
      <c r="O3" s="92"/>
      <c r="P3" s="181" t="str">
        <f>menu!D13</f>
        <v>BHS INDONESIA</v>
      </c>
      <c r="Q3" s="92"/>
      <c r="R3" s="92"/>
      <c r="S3" s="92"/>
      <c r="T3" s="92"/>
      <c r="U3" s="92"/>
      <c r="V3" s="180"/>
      <c r="W3" s="180"/>
    </row>
    <row r="4" spans="1:23">
      <c r="A4" s="86"/>
      <c r="B4" s="87"/>
      <c r="C4" s="87"/>
      <c r="D4" s="87"/>
      <c r="E4" s="87"/>
      <c r="F4" s="87"/>
      <c r="G4" s="87"/>
      <c r="H4" s="87"/>
      <c r="I4" s="87"/>
      <c r="J4" s="87"/>
      <c r="K4" s="87"/>
      <c r="L4" s="87"/>
    </row>
    <row r="5" spans="1:23">
      <c r="A5" s="507" t="s">
        <v>296</v>
      </c>
      <c r="B5" s="508" t="s">
        <v>297</v>
      </c>
      <c r="C5" s="509" t="s">
        <v>310</v>
      </c>
      <c r="D5" s="509"/>
      <c r="E5" s="509"/>
      <c r="F5" s="509"/>
      <c r="G5" s="509"/>
      <c r="H5" s="509"/>
      <c r="I5" s="509"/>
      <c r="J5" s="509"/>
      <c r="K5" s="509"/>
      <c r="L5" s="509"/>
      <c r="M5" s="504" t="s">
        <v>311</v>
      </c>
      <c r="N5" s="505"/>
      <c r="O5" s="505"/>
      <c r="P5" s="505"/>
      <c r="Q5" s="505"/>
      <c r="R5" s="505"/>
      <c r="S5" s="505"/>
      <c r="T5" s="505"/>
      <c r="U5" s="505"/>
      <c r="V5" s="506"/>
      <c r="W5" s="183" t="s">
        <v>298</v>
      </c>
    </row>
    <row r="6" spans="1:23">
      <c r="A6" s="507"/>
      <c r="B6" s="508"/>
      <c r="C6" s="502" t="s">
        <v>299</v>
      </c>
      <c r="D6" s="503"/>
      <c r="E6" s="503"/>
      <c r="F6" s="503"/>
      <c r="G6" s="503"/>
      <c r="H6" s="503"/>
      <c r="I6" s="503"/>
      <c r="J6" s="503"/>
      <c r="K6" s="503"/>
      <c r="L6" s="503"/>
      <c r="M6" s="504" t="s">
        <v>299</v>
      </c>
      <c r="N6" s="505"/>
      <c r="O6" s="505"/>
      <c r="P6" s="505"/>
      <c r="Q6" s="505"/>
      <c r="R6" s="505"/>
      <c r="S6" s="505"/>
      <c r="T6" s="505"/>
      <c r="U6" s="505"/>
      <c r="V6" s="506"/>
      <c r="W6" s="183"/>
    </row>
    <row r="7" spans="1:23">
      <c r="A7" s="507"/>
      <c r="B7" s="508"/>
      <c r="C7" s="110" t="s">
        <v>279</v>
      </c>
      <c r="D7" s="110" t="s">
        <v>280</v>
      </c>
      <c r="E7" s="110" t="s">
        <v>281</v>
      </c>
      <c r="F7" s="110" t="s">
        <v>282</v>
      </c>
      <c r="G7" s="110" t="s">
        <v>283</v>
      </c>
      <c r="H7" s="110" t="s">
        <v>284</v>
      </c>
      <c r="I7" s="110" t="s">
        <v>285</v>
      </c>
      <c r="J7" s="110" t="s">
        <v>286</v>
      </c>
      <c r="K7" s="110" t="s">
        <v>287</v>
      </c>
      <c r="L7" s="110" t="s">
        <v>288</v>
      </c>
      <c r="M7" s="111" t="s">
        <v>300</v>
      </c>
      <c r="N7" s="111" t="s">
        <v>301</v>
      </c>
      <c r="O7" s="111" t="s">
        <v>302</v>
      </c>
      <c r="P7" s="111" t="s">
        <v>303</v>
      </c>
      <c r="Q7" s="111" t="s">
        <v>304</v>
      </c>
      <c r="R7" s="111" t="s">
        <v>305</v>
      </c>
      <c r="S7" s="111" t="s">
        <v>306</v>
      </c>
      <c r="T7" s="111" t="s">
        <v>307</v>
      </c>
      <c r="U7" s="111" t="s">
        <v>308</v>
      </c>
      <c r="V7" s="111" t="s">
        <v>309</v>
      </c>
      <c r="W7" s="88" t="s">
        <v>2</v>
      </c>
    </row>
    <row r="8" spans="1:23">
      <c r="A8" s="121">
        <f>'DATA SISWA'!A5</f>
        <v>1</v>
      </c>
      <c r="B8" s="122" t="str">
        <f>'DATA SISWA'!C5</f>
        <v>ABD MANNAN</v>
      </c>
      <c r="C8" s="220">
        <f>IF('Input Nilai Pengetahuan'!M5="","",'Input Nilai Pengetahuan'!M5)</f>
        <v>77.5</v>
      </c>
      <c r="D8" s="220">
        <f>IF('Input Nilai Pengetahuan'!U5="","",'Input Nilai Pengetahuan'!U5)</f>
        <v>82.5</v>
      </c>
      <c r="E8" s="220" t="str">
        <f>IF('Input Nilai Pengetahuan'!AC5="","",'Input Nilai Pengetahuan'!AC5)</f>
        <v/>
      </c>
      <c r="F8" s="220" t="str">
        <f>IF('Input Nilai Pengetahuan'!AK5="","",'Input Nilai Pengetahuan'!AK5)</f>
        <v/>
      </c>
      <c r="G8" s="220" t="str">
        <f>IF('Input Nilai Pengetahuan'!AS5="","",'Input Nilai Pengetahuan'!AS5)</f>
        <v/>
      </c>
      <c r="H8" s="220" t="str">
        <f>IF('Input Nilai Pengetahuan'!BA5="","",'Input Nilai Pengetahuan'!BA5)</f>
        <v/>
      </c>
      <c r="I8" s="220" t="str">
        <f>IF('Input Nilai Pengetahuan'!BI5="","",'Input Nilai Pengetahuan'!BI5)</f>
        <v/>
      </c>
      <c r="J8" s="220" t="str">
        <f>IF('Input Nilai Pengetahuan'!BQ5="","",'Input Nilai Pengetahuan'!BQ5)</f>
        <v/>
      </c>
      <c r="K8" s="220" t="str">
        <f>IF('Input Nilai Pengetahuan'!BY5="","",'Input Nilai Pengetahuan'!BY5)</f>
        <v/>
      </c>
      <c r="L8" s="220" t="str">
        <f>IF('Input Nilai Pengetahuan'!CG5="","",'Input Nilai Pengetahuan'!CG5)</f>
        <v/>
      </c>
      <c r="M8" s="221">
        <f>IF('Input Nilai Ketrampilan'!J5="","",('Input Nilai Ketrampilan'!J5))</f>
        <v>78</v>
      </c>
      <c r="N8" s="221">
        <f>IF('Input Nilai Ketrampilan'!O5="","",'Input Nilai Ketrampilan'!O5)</f>
        <v>78</v>
      </c>
      <c r="O8" s="221">
        <f>IF('Input Nilai Ketrampilan'!T5="","",'Input Nilai Ketrampilan'!T5)</f>
        <v>78</v>
      </c>
      <c r="P8" s="221">
        <f>IF('Input Nilai Ketrampilan'!Y5="","",'Input Nilai Ketrampilan'!Y5)</f>
        <v>78</v>
      </c>
      <c r="Q8" s="221" t="str">
        <f>IF('Input Nilai Ketrampilan'!AD5="","",'Input Nilai Ketrampilan'!AD5)</f>
        <v/>
      </c>
      <c r="R8" s="221" t="str">
        <f>IF('Input Nilai Ketrampilan'!AI5="","",'Input Nilai Ketrampilan'!AI5)</f>
        <v/>
      </c>
      <c r="S8" s="221" t="str">
        <f>IF('Input Nilai Ketrampilan'!AN5="","",'Input Nilai Ketrampilan'!AN5)</f>
        <v/>
      </c>
      <c r="T8" s="221" t="str">
        <f>IF('Input Nilai Ketrampilan'!AS5="","",'Input Nilai Ketrampilan'!AS5)</f>
        <v/>
      </c>
      <c r="U8" s="221" t="str">
        <f>IF('Input Nilai Ketrampilan'!AX5="","",'Input Nilai Ketrampilan'!AX5)</f>
        <v/>
      </c>
      <c r="V8" s="221" t="str">
        <f>IF('Input Nilai Ketrampilan'!BC5="","",'Input Nilai Ketrampilan'!BC5)</f>
        <v/>
      </c>
      <c r="W8" s="222">
        <f>IF('Input Nilai Pengetahuan'!CK5="","",'Input Nilai Pengetahuan'!CK5)</f>
        <v>70</v>
      </c>
    </row>
    <row r="9" spans="1:23">
      <c r="A9" s="121">
        <f>'DATA SISWA'!A6</f>
        <v>2</v>
      </c>
      <c r="B9" s="122">
        <f>'DATA SISWA'!C6</f>
        <v>0</v>
      </c>
      <c r="C9" s="220" t="str">
        <f>IF('Input Nilai Pengetahuan'!M6="","",'Input Nilai Pengetahuan'!M6)</f>
        <v/>
      </c>
      <c r="D9" s="220" t="str">
        <f>IF('Input Nilai Pengetahuan'!U6="","",'Input Nilai Pengetahuan'!U6)</f>
        <v/>
      </c>
      <c r="E9" s="220" t="str">
        <f>IF('Input Nilai Pengetahuan'!AC6="","",'Input Nilai Pengetahuan'!AC6)</f>
        <v/>
      </c>
      <c r="F9" s="220" t="str">
        <f>IF('Input Nilai Pengetahuan'!AK6="","",'Input Nilai Pengetahuan'!AK6)</f>
        <v/>
      </c>
      <c r="G9" s="220" t="str">
        <f>IF('Input Nilai Pengetahuan'!AS6="","",'Input Nilai Pengetahuan'!AS6)</f>
        <v/>
      </c>
      <c r="H9" s="220" t="str">
        <f>IF('Input Nilai Pengetahuan'!BA6="","",'Input Nilai Pengetahuan'!BA6)</f>
        <v/>
      </c>
      <c r="I9" s="220" t="str">
        <f>IF('Input Nilai Pengetahuan'!BI6="","",'Input Nilai Pengetahuan'!BI6)</f>
        <v/>
      </c>
      <c r="J9" s="220" t="str">
        <f>IF('Input Nilai Pengetahuan'!BQ6="","",'Input Nilai Pengetahuan'!BQ6)</f>
        <v/>
      </c>
      <c r="K9" s="220" t="str">
        <f>IF('Input Nilai Pengetahuan'!BY6="","",'Input Nilai Pengetahuan'!BY6)</f>
        <v/>
      </c>
      <c r="L9" s="220" t="str">
        <f>IF('Input Nilai Pengetahuan'!CG6="","",'Input Nilai Pengetahuan'!CG6)</f>
        <v/>
      </c>
      <c r="M9" s="221" t="str">
        <f>IF('Input Nilai Ketrampilan'!J6="","",('Input Nilai Ketrampilan'!J6))</f>
        <v/>
      </c>
      <c r="N9" s="221" t="str">
        <f>IF('Input Nilai Ketrampilan'!O6="","",'Input Nilai Ketrampilan'!O6)</f>
        <v/>
      </c>
      <c r="O9" s="221" t="str">
        <f>IF('Input Nilai Ketrampilan'!T6="","",'Input Nilai Ketrampilan'!T6)</f>
        <v/>
      </c>
      <c r="P9" s="221" t="str">
        <f>IF('Input Nilai Ketrampilan'!Y6="","",'Input Nilai Ketrampilan'!Y6)</f>
        <v/>
      </c>
      <c r="Q9" s="221" t="str">
        <f>IF('Input Nilai Ketrampilan'!AD6="","",'Input Nilai Ketrampilan'!AD6)</f>
        <v/>
      </c>
      <c r="R9" s="221" t="str">
        <f>IF('Input Nilai Ketrampilan'!AI6="","",'Input Nilai Ketrampilan'!AI6)</f>
        <v/>
      </c>
      <c r="S9" s="221" t="str">
        <f>IF('Input Nilai Ketrampilan'!AN6="","",'Input Nilai Ketrampilan'!AN6)</f>
        <v/>
      </c>
      <c r="T9" s="221" t="str">
        <f>IF('Input Nilai Ketrampilan'!AS6="","",'Input Nilai Ketrampilan'!AS6)</f>
        <v/>
      </c>
      <c r="U9" s="221" t="str">
        <f>IF('Input Nilai Ketrampilan'!AX6="","",'Input Nilai Ketrampilan'!AX6)</f>
        <v/>
      </c>
      <c r="V9" s="221" t="str">
        <f>IF('Input Nilai Ketrampilan'!BC6="","",'Input Nilai Ketrampilan'!BC6)</f>
        <v/>
      </c>
      <c r="W9" s="222" t="str">
        <f>IF('Input Nilai Pengetahuan'!CK6="","",'Input Nilai Pengetahuan'!CK6)</f>
        <v/>
      </c>
    </row>
    <row r="10" spans="1:23">
      <c r="A10" s="121">
        <f>'DATA SISWA'!A7</f>
        <v>3</v>
      </c>
      <c r="B10" s="122" t="str">
        <f>'DATA SISWA'!C7</f>
        <v>ACHMAD ALFARESI</v>
      </c>
      <c r="C10" s="220">
        <f>IF('Input Nilai Pengetahuan'!M7="","",'Input Nilai Pengetahuan'!M7)</f>
        <v>82.5</v>
      </c>
      <c r="D10" s="220">
        <f>IF('Input Nilai Pengetahuan'!U7="","",'Input Nilai Pengetahuan'!U7)</f>
        <v>85</v>
      </c>
      <c r="E10" s="220" t="str">
        <f>IF('Input Nilai Pengetahuan'!AC7="","",'Input Nilai Pengetahuan'!AC7)</f>
        <v/>
      </c>
      <c r="F10" s="220" t="str">
        <f>IF('Input Nilai Pengetahuan'!AK7="","",'Input Nilai Pengetahuan'!AK7)</f>
        <v/>
      </c>
      <c r="G10" s="220" t="str">
        <f>IF('Input Nilai Pengetahuan'!AS7="","",'Input Nilai Pengetahuan'!AS7)</f>
        <v/>
      </c>
      <c r="H10" s="220" t="str">
        <f>IF('Input Nilai Pengetahuan'!BA7="","",'Input Nilai Pengetahuan'!BA7)</f>
        <v/>
      </c>
      <c r="I10" s="220" t="str">
        <f>IF('Input Nilai Pengetahuan'!BI7="","",'Input Nilai Pengetahuan'!BI7)</f>
        <v/>
      </c>
      <c r="J10" s="220" t="str">
        <f>IF('Input Nilai Pengetahuan'!BQ7="","",'Input Nilai Pengetahuan'!BQ7)</f>
        <v/>
      </c>
      <c r="K10" s="220" t="str">
        <f>IF('Input Nilai Pengetahuan'!BY7="","",'Input Nilai Pengetahuan'!BY7)</f>
        <v/>
      </c>
      <c r="L10" s="220" t="str">
        <f>IF('Input Nilai Pengetahuan'!CG7="","",'Input Nilai Pengetahuan'!CG7)</f>
        <v/>
      </c>
      <c r="M10" s="221">
        <f>IF('Input Nilai Ketrampilan'!J7="","",('Input Nilai Ketrampilan'!J7))</f>
        <v>79</v>
      </c>
      <c r="N10" s="221">
        <f>IF('Input Nilai Ketrampilan'!O7="","",'Input Nilai Ketrampilan'!O7)</f>
        <v>79</v>
      </c>
      <c r="O10" s="221">
        <f>IF('Input Nilai Ketrampilan'!T7="","",'Input Nilai Ketrampilan'!T7)</f>
        <v>79</v>
      </c>
      <c r="P10" s="221">
        <f>IF('Input Nilai Ketrampilan'!Y7="","",'Input Nilai Ketrampilan'!Y7)</f>
        <v>79</v>
      </c>
      <c r="Q10" s="221" t="str">
        <f>IF('Input Nilai Ketrampilan'!AD7="","",'Input Nilai Ketrampilan'!AD7)</f>
        <v/>
      </c>
      <c r="R10" s="221" t="str">
        <f>IF('Input Nilai Ketrampilan'!AI7="","",'Input Nilai Ketrampilan'!AI7)</f>
        <v/>
      </c>
      <c r="S10" s="221" t="str">
        <f>IF('Input Nilai Ketrampilan'!AN7="","",'Input Nilai Ketrampilan'!AN7)</f>
        <v/>
      </c>
      <c r="T10" s="221" t="str">
        <f>IF('Input Nilai Ketrampilan'!AS7="","",'Input Nilai Ketrampilan'!AS7)</f>
        <v/>
      </c>
      <c r="U10" s="221" t="str">
        <f>IF('Input Nilai Ketrampilan'!AX7="","",'Input Nilai Ketrampilan'!AX7)</f>
        <v/>
      </c>
      <c r="V10" s="221" t="str">
        <f>IF('Input Nilai Ketrampilan'!BC7="","",'Input Nilai Ketrampilan'!BC7)</f>
        <v/>
      </c>
      <c r="W10" s="222">
        <f>IF('Input Nilai Pengetahuan'!CK7="","",'Input Nilai Pengetahuan'!CK7)</f>
        <v>70</v>
      </c>
    </row>
    <row r="11" spans="1:23">
      <c r="A11" s="121">
        <f>'DATA SISWA'!A8</f>
        <v>4</v>
      </c>
      <c r="B11" s="122" t="str">
        <f>'DATA SISWA'!C8</f>
        <v>AGITA ZAHRAH MUFIDAH</v>
      </c>
      <c r="C11" s="220">
        <f>IF('Input Nilai Pengetahuan'!M8="","",'Input Nilai Pengetahuan'!M8)</f>
        <v>85</v>
      </c>
      <c r="D11" s="220">
        <f>IF('Input Nilai Pengetahuan'!U8="","",'Input Nilai Pengetahuan'!U8)</f>
        <v>87.5</v>
      </c>
      <c r="E11" s="220" t="str">
        <f>IF('Input Nilai Pengetahuan'!AC8="","",'Input Nilai Pengetahuan'!AC8)</f>
        <v/>
      </c>
      <c r="F11" s="220" t="str">
        <f>IF('Input Nilai Pengetahuan'!AK8="","",'Input Nilai Pengetahuan'!AK8)</f>
        <v/>
      </c>
      <c r="G11" s="220" t="str">
        <f>IF('Input Nilai Pengetahuan'!AS8="","",'Input Nilai Pengetahuan'!AS8)</f>
        <v/>
      </c>
      <c r="H11" s="220" t="str">
        <f>IF('Input Nilai Pengetahuan'!BA8="","",'Input Nilai Pengetahuan'!BA8)</f>
        <v/>
      </c>
      <c r="I11" s="220" t="str">
        <f>IF('Input Nilai Pengetahuan'!BI8="","",'Input Nilai Pengetahuan'!BI8)</f>
        <v/>
      </c>
      <c r="J11" s="220" t="str">
        <f>IF('Input Nilai Pengetahuan'!BQ8="","",'Input Nilai Pengetahuan'!BQ8)</f>
        <v/>
      </c>
      <c r="K11" s="220" t="str">
        <f>IF('Input Nilai Pengetahuan'!BY8="","",'Input Nilai Pengetahuan'!BY8)</f>
        <v/>
      </c>
      <c r="L11" s="220" t="str">
        <f>IF('Input Nilai Pengetahuan'!CG8="","",'Input Nilai Pengetahuan'!CG8)</f>
        <v/>
      </c>
      <c r="M11" s="221">
        <f>IF('Input Nilai Ketrampilan'!J8="","",('Input Nilai Ketrampilan'!J8))</f>
        <v>78</v>
      </c>
      <c r="N11" s="221">
        <f>IF('Input Nilai Ketrampilan'!O8="","",'Input Nilai Ketrampilan'!O8)</f>
        <v>78</v>
      </c>
      <c r="O11" s="221">
        <f>IF('Input Nilai Ketrampilan'!T8="","",'Input Nilai Ketrampilan'!T8)</f>
        <v>78</v>
      </c>
      <c r="P11" s="221">
        <f>IF('Input Nilai Ketrampilan'!Y8="","",'Input Nilai Ketrampilan'!Y8)</f>
        <v>78</v>
      </c>
      <c r="Q11" s="221" t="str">
        <f>IF('Input Nilai Ketrampilan'!AD8="","",'Input Nilai Ketrampilan'!AD8)</f>
        <v/>
      </c>
      <c r="R11" s="221" t="str">
        <f>IF('Input Nilai Ketrampilan'!AI8="","",'Input Nilai Ketrampilan'!AI8)</f>
        <v/>
      </c>
      <c r="S11" s="221" t="str">
        <f>IF('Input Nilai Ketrampilan'!AN8="","",'Input Nilai Ketrampilan'!AN8)</f>
        <v/>
      </c>
      <c r="T11" s="221" t="str">
        <f>IF('Input Nilai Ketrampilan'!AS8="","",'Input Nilai Ketrampilan'!AS8)</f>
        <v/>
      </c>
      <c r="U11" s="221" t="str">
        <f>IF('Input Nilai Ketrampilan'!AX8="","",'Input Nilai Ketrampilan'!AX8)</f>
        <v/>
      </c>
      <c r="V11" s="221" t="str">
        <f>IF('Input Nilai Ketrampilan'!BC8="","",'Input Nilai Ketrampilan'!BC8)</f>
        <v/>
      </c>
      <c r="W11" s="222">
        <f>IF('Input Nilai Pengetahuan'!CK8="","",'Input Nilai Pengetahuan'!CK8)</f>
        <v>60</v>
      </c>
    </row>
    <row r="12" spans="1:23">
      <c r="A12" s="121">
        <f>'DATA SISWA'!A9</f>
        <v>5</v>
      </c>
      <c r="B12" s="122" t="str">
        <f>'DATA SISWA'!C9</f>
        <v>AHMAD HAMBALI</v>
      </c>
      <c r="C12" s="220">
        <f>IF('Input Nilai Pengetahuan'!M9="","",'Input Nilai Pengetahuan'!M9)</f>
        <v>90</v>
      </c>
      <c r="D12" s="220">
        <f>IF('Input Nilai Pengetahuan'!U9="","",'Input Nilai Pengetahuan'!U9)</f>
        <v>87.5</v>
      </c>
      <c r="E12" s="220" t="str">
        <f>IF('Input Nilai Pengetahuan'!AC9="","",'Input Nilai Pengetahuan'!AC9)</f>
        <v/>
      </c>
      <c r="F12" s="220" t="str">
        <f>IF('Input Nilai Pengetahuan'!AK9="","",'Input Nilai Pengetahuan'!AK9)</f>
        <v/>
      </c>
      <c r="G12" s="220" t="str">
        <f>IF('Input Nilai Pengetahuan'!AS9="","",'Input Nilai Pengetahuan'!AS9)</f>
        <v/>
      </c>
      <c r="H12" s="220" t="str">
        <f>IF('Input Nilai Pengetahuan'!BA9="","",'Input Nilai Pengetahuan'!BA9)</f>
        <v/>
      </c>
      <c r="I12" s="220" t="str">
        <f>IF('Input Nilai Pengetahuan'!BI9="","",'Input Nilai Pengetahuan'!BI9)</f>
        <v/>
      </c>
      <c r="J12" s="220" t="str">
        <f>IF('Input Nilai Pengetahuan'!BQ9="","",'Input Nilai Pengetahuan'!BQ9)</f>
        <v/>
      </c>
      <c r="K12" s="220" t="str">
        <f>IF('Input Nilai Pengetahuan'!BY9="","",'Input Nilai Pengetahuan'!BY9)</f>
        <v/>
      </c>
      <c r="L12" s="220" t="str">
        <f>IF('Input Nilai Pengetahuan'!CG9="","",'Input Nilai Pengetahuan'!CG9)</f>
        <v/>
      </c>
      <c r="M12" s="221">
        <f>IF('Input Nilai Ketrampilan'!J9="","",('Input Nilai Ketrampilan'!J9))</f>
        <v>79</v>
      </c>
      <c r="N12" s="221">
        <f>IF('Input Nilai Ketrampilan'!O9="","",'Input Nilai Ketrampilan'!O9)</f>
        <v>79</v>
      </c>
      <c r="O12" s="221">
        <f>IF('Input Nilai Ketrampilan'!T9="","",'Input Nilai Ketrampilan'!T9)</f>
        <v>79</v>
      </c>
      <c r="P12" s="221">
        <f>IF('Input Nilai Ketrampilan'!Y9="","",'Input Nilai Ketrampilan'!Y9)</f>
        <v>79</v>
      </c>
      <c r="Q12" s="221" t="str">
        <f>IF('Input Nilai Ketrampilan'!AD9="","",'Input Nilai Ketrampilan'!AD9)</f>
        <v/>
      </c>
      <c r="R12" s="221" t="str">
        <f>IF('Input Nilai Ketrampilan'!AI9="","",'Input Nilai Ketrampilan'!AI9)</f>
        <v/>
      </c>
      <c r="S12" s="221" t="str">
        <f>IF('Input Nilai Ketrampilan'!AN9="","",'Input Nilai Ketrampilan'!AN9)</f>
        <v/>
      </c>
      <c r="T12" s="221" t="str">
        <f>IF('Input Nilai Ketrampilan'!AS9="","",'Input Nilai Ketrampilan'!AS9)</f>
        <v/>
      </c>
      <c r="U12" s="221" t="str">
        <f>IF('Input Nilai Ketrampilan'!AX9="","",'Input Nilai Ketrampilan'!AX9)</f>
        <v/>
      </c>
      <c r="V12" s="221" t="str">
        <f>IF('Input Nilai Ketrampilan'!BC9="","",'Input Nilai Ketrampilan'!BC9)</f>
        <v/>
      </c>
      <c r="W12" s="222">
        <f>IF('Input Nilai Pengetahuan'!CK9="","",'Input Nilai Pengetahuan'!CK9)</f>
        <v>55</v>
      </c>
    </row>
    <row r="13" spans="1:23">
      <c r="A13" s="121">
        <f>'DATA SISWA'!A10</f>
        <v>6</v>
      </c>
      <c r="B13" s="122" t="str">
        <f>'DATA SISWA'!C10</f>
        <v>AHMADI</v>
      </c>
      <c r="C13" s="220">
        <f>IF('Input Nilai Pengetahuan'!M10="","",'Input Nilai Pengetahuan'!M10)</f>
        <v>85</v>
      </c>
      <c r="D13" s="220">
        <f>IF('Input Nilai Pengetahuan'!U10="","",'Input Nilai Pengetahuan'!U10)</f>
        <v>82.5</v>
      </c>
      <c r="E13" s="220" t="str">
        <f>IF('Input Nilai Pengetahuan'!AC10="","",'Input Nilai Pengetahuan'!AC10)</f>
        <v/>
      </c>
      <c r="F13" s="220" t="str">
        <f>IF('Input Nilai Pengetahuan'!AK10="","",'Input Nilai Pengetahuan'!AK10)</f>
        <v/>
      </c>
      <c r="G13" s="220" t="str">
        <f>IF('Input Nilai Pengetahuan'!AS10="","",'Input Nilai Pengetahuan'!AS10)</f>
        <v/>
      </c>
      <c r="H13" s="220" t="str">
        <f>IF('Input Nilai Pengetahuan'!BA10="","",'Input Nilai Pengetahuan'!BA10)</f>
        <v/>
      </c>
      <c r="I13" s="220" t="str">
        <f>IF('Input Nilai Pengetahuan'!BI10="","",'Input Nilai Pengetahuan'!BI10)</f>
        <v/>
      </c>
      <c r="J13" s="220" t="str">
        <f>IF('Input Nilai Pengetahuan'!BQ10="","",'Input Nilai Pengetahuan'!BQ10)</f>
        <v/>
      </c>
      <c r="K13" s="220" t="str">
        <f>IF('Input Nilai Pengetahuan'!BY10="","",'Input Nilai Pengetahuan'!BY10)</f>
        <v/>
      </c>
      <c r="L13" s="220" t="str">
        <f>IF('Input Nilai Pengetahuan'!CG10="","",'Input Nilai Pengetahuan'!CG10)</f>
        <v/>
      </c>
      <c r="M13" s="221">
        <f>IF('Input Nilai Ketrampilan'!J10="","",('Input Nilai Ketrampilan'!J10))</f>
        <v>80</v>
      </c>
      <c r="N13" s="221">
        <f>IF('Input Nilai Ketrampilan'!O10="","",'Input Nilai Ketrampilan'!O10)</f>
        <v>80</v>
      </c>
      <c r="O13" s="221">
        <f>IF('Input Nilai Ketrampilan'!T10="","",'Input Nilai Ketrampilan'!T10)</f>
        <v>80</v>
      </c>
      <c r="P13" s="221">
        <f>IF('Input Nilai Ketrampilan'!Y10="","",'Input Nilai Ketrampilan'!Y10)</f>
        <v>80</v>
      </c>
      <c r="Q13" s="221" t="str">
        <f>IF('Input Nilai Ketrampilan'!AD10="","",'Input Nilai Ketrampilan'!AD10)</f>
        <v/>
      </c>
      <c r="R13" s="221" t="str">
        <f>IF('Input Nilai Ketrampilan'!AI10="","",'Input Nilai Ketrampilan'!AI10)</f>
        <v/>
      </c>
      <c r="S13" s="221" t="str">
        <f>IF('Input Nilai Ketrampilan'!AN10="","",'Input Nilai Ketrampilan'!AN10)</f>
        <v/>
      </c>
      <c r="T13" s="221" t="str">
        <f>IF('Input Nilai Ketrampilan'!AS10="","",'Input Nilai Ketrampilan'!AS10)</f>
        <v/>
      </c>
      <c r="U13" s="221" t="str">
        <f>IF('Input Nilai Ketrampilan'!AX10="","",'Input Nilai Ketrampilan'!AX10)</f>
        <v/>
      </c>
      <c r="V13" s="221" t="str">
        <f>IF('Input Nilai Ketrampilan'!BC10="","",'Input Nilai Ketrampilan'!BC10)</f>
        <v/>
      </c>
      <c r="W13" s="222">
        <f>IF('Input Nilai Pengetahuan'!CK10="","",'Input Nilai Pengetahuan'!CK10)</f>
        <v>70</v>
      </c>
    </row>
    <row r="14" spans="1:23">
      <c r="A14" s="121">
        <f>'DATA SISWA'!A11</f>
        <v>7</v>
      </c>
      <c r="B14" s="122" t="str">
        <f>'DATA SISWA'!C11</f>
        <v xml:space="preserve">AINUR ROFIK </v>
      </c>
      <c r="C14" s="220">
        <f>IF('Input Nilai Pengetahuan'!M11="","",'Input Nilai Pengetahuan'!M11)</f>
        <v>77.5</v>
      </c>
      <c r="D14" s="220">
        <f>IF('Input Nilai Pengetahuan'!U11="","",'Input Nilai Pengetahuan'!U11)</f>
        <v>80</v>
      </c>
      <c r="E14" s="220" t="str">
        <f>IF('Input Nilai Pengetahuan'!AC11="","",'Input Nilai Pengetahuan'!AC11)</f>
        <v/>
      </c>
      <c r="F14" s="220" t="str">
        <f>IF('Input Nilai Pengetahuan'!AK11="","",'Input Nilai Pengetahuan'!AK11)</f>
        <v/>
      </c>
      <c r="G14" s="220" t="str">
        <f>IF('Input Nilai Pengetahuan'!AS11="","",'Input Nilai Pengetahuan'!AS11)</f>
        <v/>
      </c>
      <c r="H14" s="220" t="str">
        <f>IF('Input Nilai Pengetahuan'!BA11="","",'Input Nilai Pengetahuan'!BA11)</f>
        <v/>
      </c>
      <c r="I14" s="220" t="str">
        <f>IF('Input Nilai Pengetahuan'!BI11="","",'Input Nilai Pengetahuan'!BI11)</f>
        <v/>
      </c>
      <c r="J14" s="220" t="str">
        <f>IF('Input Nilai Pengetahuan'!BQ11="","",'Input Nilai Pengetahuan'!BQ11)</f>
        <v/>
      </c>
      <c r="K14" s="220" t="str">
        <f>IF('Input Nilai Pengetahuan'!BY11="","",'Input Nilai Pengetahuan'!BY11)</f>
        <v/>
      </c>
      <c r="L14" s="220" t="str">
        <f>IF('Input Nilai Pengetahuan'!CG11="","",'Input Nilai Pengetahuan'!CG11)</f>
        <v/>
      </c>
      <c r="M14" s="221">
        <f>IF('Input Nilai Ketrampilan'!J11="","",('Input Nilai Ketrampilan'!J11))</f>
        <v>80</v>
      </c>
      <c r="N14" s="221">
        <f>IF('Input Nilai Ketrampilan'!O11="","",'Input Nilai Ketrampilan'!O11)</f>
        <v>80</v>
      </c>
      <c r="O14" s="221">
        <f>IF('Input Nilai Ketrampilan'!T11="","",'Input Nilai Ketrampilan'!T11)</f>
        <v>80</v>
      </c>
      <c r="P14" s="221">
        <f>IF('Input Nilai Ketrampilan'!Y11="","",'Input Nilai Ketrampilan'!Y11)</f>
        <v>80</v>
      </c>
      <c r="Q14" s="221" t="str">
        <f>IF('Input Nilai Ketrampilan'!AD11="","",'Input Nilai Ketrampilan'!AD11)</f>
        <v/>
      </c>
      <c r="R14" s="221" t="str">
        <f>IF('Input Nilai Ketrampilan'!AI11="","",'Input Nilai Ketrampilan'!AI11)</f>
        <v/>
      </c>
      <c r="S14" s="221" t="str">
        <f>IF('Input Nilai Ketrampilan'!AN11="","",'Input Nilai Ketrampilan'!AN11)</f>
        <v/>
      </c>
      <c r="T14" s="221" t="str">
        <f>IF('Input Nilai Ketrampilan'!AS11="","",'Input Nilai Ketrampilan'!AS11)</f>
        <v/>
      </c>
      <c r="U14" s="221" t="str">
        <f>IF('Input Nilai Ketrampilan'!AX11="","",'Input Nilai Ketrampilan'!AX11)</f>
        <v/>
      </c>
      <c r="V14" s="221" t="str">
        <f>IF('Input Nilai Ketrampilan'!BC11="","",'Input Nilai Ketrampilan'!BC11)</f>
        <v/>
      </c>
      <c r="W14" s="222">
        <f>IF('Input Nilai Pengetahuan'!CK11="","",'Input Nilai Pengetahuan'!CK11)</f>
        <v>70</v>
      </c>
    </row>
    <row r="15" spans="1:23">
      <c r="A15" s="121">
        <f>'DATA SISWA'!A12</f>
        <v>8</v>
      </c>
      <c r="B15" s="122" t="str">
        <f>'DATA SISWA'!C12</f>
        <v>AT-THORIQ BINTANG PRAJA</v>
      </c>
      <c r="C15" s="220">
        <f>IF('Input Nilai Pengetahuan'!M12="","",'Input Nilai Pengetahuan'!M12)</f>
        <v>85</v>
      </c>
      <c r="D15" s="220">
        <f>IF('Input Nilai Pengetahuan'!U12="","",'Input Nilai Pengetahuan'!U12)</f>
        <v>87.5</v>
      </c>
      <c r="E15" s="220" t="str">
        <f>IF('Input Nilai Pengetahuan'!AC12="","",'Input Nilai Pengetahuan'!AC12)</f>
        <v/>
      </c>
      <c r="F15" s="220" t="str">
        <f>IF('Input Nilai Pengetahuan'!AK12="","",'Input Nilai Pengetahuan'!AK12)</f>
        <v/>
      </c>
      <c r="G15" s="220" t="str">
        <f>IF('Input Nilai Pengetahuan'!AS12="","",'Input Nilai Pengetahuan'!AS12)</f>
        <v/>
      </c>
      <c r="H15" s="220" t="str">
        <f>IF('Input Nilai Pengetahuan'!BA12="","",'Input Nilai Pengetahuan'!BA12)</f>
        <v/>
      </c>
      <c r="I15" s="220" t="str">
        <f>IF('Input Nilai Pengetahuan'!BI12="","",'Input Nilai Pengetahuan'!BI12)</f>
        <v/>
      </c>
      <c r="J15" s="220" t="str">
        <f>IF('Input Nilai Pengetahuan'!BQ12="","",'Input Nilai Pengetahuan'!BQ12)</f>
        <v/>
      </c>
      <c r="K15" s="220" t="str">
        <f>IF('Input Nilai Pengetahuan'!BY12="","",'Input Nilai Pengetahuan'!BY12)</f>
        <v/>
      </c>
      <c r="L15" s="220" t="str">
        <f>IF('Input Nilai Pengetahuan'!CG12="","",'Input Nilai Pengetahuan'!CG12)</f>
        <v/>
      </c>
      <c r="M15" s="221">
        <f>IF('Input Nilai Ketrampilan'!J12="","",('Input Nilai Ketrampilan'!J12))</f>
        <v>79</v>
      </c>
      <c r="N15" s="221">
        <f>IF('Input Nilai Ketrampilan'!O12="","",'Input Nilai Ketrampilan'!O12)</f>
        <v>79</v>
      </c>
      <c r="O15" s="221">
        <f>IF('Input Nilai Ketrampilan'!T12="","",'Input Nilai Ketrampilan'!T12)</f>
        <v>79</v>
      </c>
      <c r="P15" s="221">
        <f>IF('Input Nilai Ketrampilan'!Y12="","",'Input Nilai Ketrampilan'!Y12)</f>
        <v>79</v>
      </c>
      <c r="Q15" s="221" t="str">
        <f>IF('Input Nilai Ketrampilan'!AD12="","",'Input Nilai Ketrampilan'!AD12)</f>
        <v/>
      </c>
      <c r="R15" s="221" t="str">
        <f>IF('Input Nilai Ketrampilan'!AI12="","",'Input Nilai Ketrampilan'!AI12)</f>
        <v/>
      </c>
      <c r="S15" s="221" t="str">
        <f>IF('Input Nilai Ketrampilan'!AN12="","",'Input Nilai Ketrampilan'!AN12)</f>
        <v/>
      </c>
      <c r="T15" s="221" t="str">
        <f>IF('Input Nilai Ketrampilan'!AS12="","",'Input Nilai Ketrampilan'!AS12)</f>
        <v/>
      </c>
      <c r="U15" s="221" t="str">
        <f>IF('Input Nilai Ketrampilan'!AX12="","",'Input Nilai Ketrampilan'!AX12)</f>
        <v/>
      </c>
      <c r="V15" s="221" t="str">
        <f>IF('Input Nilai Ketrampilan'!BC12="","",'Input Nilai Ketrampilan'!BC12)</f>
        <v/>
      </c>
      <c r="W15" s="222">
        <f>IF('Input Nilai Pengetahuan'!CK12="","",'Input Nilai Pengetahuan'!CK12)</f>
        <v>66</v>
      </c>
    </row>
    <row r="16" spans="1:23">
      <c r="A16" s="121">
        <f>'DATA SISWA'!A13</f>
        <v>9</v>
      </c>
      <c r="B16" s="122" t="str">
        <f>'DATA SISWA'!C13</f>
        <v>DEWI WULANDARI</v>
      </c>
      <c r="C16" s="220">
        <f>IF('Input Nilai Pengetahuan'!M13="","",'Input Nilai Pengetahuan'!M13)</f>
        <v>85</v>
      </c>
      <c r="D16" s="220">
        <f>IF('Input Nilai Pengetahuan'!U13="","",'Input Nilai Pengetahuan'!U13)</f>
        <v>90</v>
      </c>
      <c r="E16" s="220" t="str">
        <f>IF('Input Nilai Pengetahuan'!AC13="","",'Input Nilai Pengetahuan'!AC13)</f>
        <v/>
      </c>
      <c r="F16" s="220" t="str">
        <f>IF('Input Nilai Pengetahuan'!AK13="","",'Input Nilai Pengetahuan'!AK13)</f>
        <v/>
      </c>
      <c r="G16" s="220" t="str">
        <f>IF('Input Nilai Pengetahuan'!AS13="","",'Input Nilai Pengetahuan'!AS13)</f>
        <v/>
      </c>
      <c r="H16" s="220" t="str">
        <f>IF('Input Nilai Pengetahuan'!BA13="","",'Input Nilai Pengetahuan'!BA13)</f>
        <v/>
      </c>
      <c r="I16" s="220" t="str">
        <f>IF('Input Nilai Pengetahuan'!BI13="","",'Input Nilai Pengetahuan'!BI13)</f>
        <v/>
      </c>
      <c r="J16" s="220" t="str">
        <f>IF('Input Nilai Pengetahuan'!BQ13="","",'Input Nilai Pengetahuan'!BQ13)</f>
        <v/>
      </c>
      <c r="K16" s="220" t="str">
        <f>IF('Input Nilai Pengetahuan'!BY13="","",'Input Nilai Pengetahuan'!BY13)</f>
        <v/>
      </c>
      <c r="L16" s="220" t="str">
        <f>IF('Input Nilai Pengetahuan'!CG13="","",'Input Nilai Pengetahuan'!CG13)</f>
        <v/>
      </c>
      <c r="M16" s="221">
        <f>IF('Input Nilai Ketrampilan'!J13="","",('Input Nilai Ketrampilan'!J13))</f>
        <v>78</v>
      </c>
      <c r="N16" s="221">
        <f>IF('Input Nilai Ketrampilan'!O13="","",'Input Nilai Ketrampilan'!O13)</f>
        <v>78</v>
      </c>
      <c r="O16" s="221">
        <f>IF('Input Nilai Ketrampilan'!T13="","",'Input Nilai Ketrampilan'!T13)</f>
        <v>78</v>
      </c>
      <c r="P16" s="221">
        <f>IF('Input Nilai Ketrampilan'!Y13="","",'Input Nilai Ketrampilan'!Y13)</f>
        <v>78</v>
      </c>
      <c r="Q16" s="221" t="str">
        <f>IF('Input Nilai Ketrampilan'!AD13="","",'Input Nilai Ketrampilan'!AD13)</f>
        <v/>
      </c>
      <c r="R16" s="221" t="str">
        <f>IF('Input Nilai Ketrampilan'!AI13="","",'Input Nilai Ketrampilan'!AI13)</f>
        <v/>
      </c>
      <c r="S16" s="221" t="str">
        <f>IF('Input Nilai Ketrampilan'!AN13="","",'Input Nilai Ketrampilan'!AN13)</f>
        <v/>
      </c>
      <c r="T16" s="221" t="str">
        <f>IF('Input Nilai Ketrampilan'!AS13="","",'Input Nilai Ketrampilan'!AS13)</f>
        <v/>
      </c>
      <c r="U16" s="221" t="str">
        <f>IF('Input Nilai Ketrampilan'!AX13="","",'Input Nilai Ketrampilan'!AX13)</f>
        <v/>
      </c>
      <c r="V16" s="221" t="str">
        <f>IF('Input Nilai Ketrampilan'!BC13="","",'Input Nilai Ketrampilan'!BC13)</f>
        <v/>
      </c>
      <c r="W16" s="222">
        <f>IF('Input Nilai Pengetahuan'!CK13="","",'Input Nilai Pengetahuan'!CK13)</f>
        <v>66</v>
      </c>
    </row>
    <row r="17" spans="1:23">
      <c r="A17" s="121">
        <f>'DATA SISWA'!A14</f>
        <v>10</v>
      </c>
      <c r="B17" s="122" t="str">
        <f>'DATA SISWA'!C14</f>
        <v>ENI UMAMAH</v>
      </c>
      <c r="C17" s="220">
        <f>IF('Input Nilai Pengetahuan'!M14="","",'Input Nilai Pengetahuan'!M14)</f>
        <v>80</v>
      </c>
      <c r="D17" s="220">
        <f>IF('Input Nilai Pengetahuan'!U14="","",'Input Nilai Pengetahuan'!U14)</f>
        <v>85</v>
      </c>
      <c r="E17" s="220" t="str">
        <f>IF('Input Nilai Pengetahuan'!AC14="","",'Input Nilai Pengetahuan'!AC14)</f>
        <v/>
      </c>
      <c r="F17" s="220" t="str">
        <f>IF('Input Nilai Pengetahuan'!AK14="","",'Input Nilai Pengetahuan'!AK14)</f>
        <v/>
      </c>
      <c r="G17" s="220" t="str">
        <f>IF('Input Nilai Pengetahuan'!AS14="","",'Input Nilai Pengetahuan'!AS14)</f>
        <v/>
      </c>
      <c r="H17" s="220" t="str">
        <f>IF('Input Nilai Pengetahuan'!BA14="","",'Input Nilai Pengetahuan'!BA14)</f>
        <v/>
      </c>
      <c r="I17" s="220" t="str">
        <f>IF('Input Nilai Pengetahuan'!BI14="","",'Input Nilai Pengetahuan'!BI14)</f>
        <v/>
      </c>
      <c r="J17" s="220" t="str">
        <f>IF('Input Nilai Pengetahuan'!BQ14="","",'Input Nilai Pengetahuan'!BQ14)</f>
        <v/>
      </c>
      <c r="K17" s="220" t="str">
        <f>IF('Input Nilai Pengetahuan'!BY14="","",'Input Nilai Pengetahuan'!BY14)</f>
        <v/>
      </c>
      <c r="L17" s="220" t="str">
        <f>IF('Input Nilai Pengetahuan'!CG14="","",'Input Nilai Pengetahuan'!CG14)</f>
        <v/>
      </c>
      <c r="M17" s="221">
        <f>IF('Input Nilai Ketrampilan'!J14="","",('Input Nilai Ketrampilan'!J14))</f>
        <v>79</v>
      </c>
      <c r="N17" s="221">
        <f>IF('Input Nilai Ketrampilan'!O14="","",'Input Nilai Ketrampilan'!O14)</f>
        <v>79</v>
      </c>
      <c r="O17" s="221">
        <f>IF('Input Nilai Ketrampilan'!T14="","",'Input Nilai Ketrampilan'!T14)</f>
        <v>79</v>
      </c>
      <c r="P17" s="221">
        <f>IF('Input Nilai Ketrampilan'!Y14="","",'Input Nilai Ketrampilan'!Y14)</f>
        <v>79</v>
      </c>
      <c r="Q17" s="221" t="str">
        <f>IF('Input Nilai Ketrampilan'!AD14="","",'Input Nilai Ketrampilan'!AD14)</f>
        <v/>
      </c>
      <c r="R17" s="221" t="str">
        <f>IF('Input Nilai Ketrampilan'!AI14="","",'Input Nilai Ketrampilan'!AI14)</f>
        <v/>
      </c>
      <c r="S17" s="221" t="str">
        <f>IF('Input Nilai Ketrampilan'!AN14="","",'Input Nilai Ketrampilan'!AN14)</f>
        <v/>
      </c>
      <c r="T17" s="221" t="str">
        <f>IF('Input Nilai Ketrampilan'!AS14="","",'Input Nilai Ketrampilan'!AS14)</f>
        <v/>
      </c>
      <c r="U17" s="221" t="str">
        <f>IF('Input Nilai Ketrampilan'!AX14="","",'Input Nilai Ketrampilan'!AX14)</f>
        <v/>
      </c>
      <c r="V17" s="221" t="str">
        <f>IF('Input Nilai Ketrampilan'!BC14="","",'Input Nilai Ketrampilan'!BC14)</f>
        <v/>
      </c>
      <c r="W17" s="222">
        <f>IF('Input Nilai Pengetahuan'!CK14="","",'Input Nilai Pengetahuan'!CK14)</f>
        <v>60</v>
      </c>
    </row>
    <row r="18" spans="1:23">
      <c r="A18" s="121">
        <f>'DATA SISWA'!A15</f>
        <v>11</v>
      </c>
      <c r="B18" s="122" t="str">
        <f>'DATA SISWA'!C15</f>
        <v>FADIA FASSA</v>
      </c>
      <c r="C18" s="220">
        <f>IF('Input Nilai Pengetahuan'!M15="","",'Input Nilai Pengetahuan'!M15)</f>
        <v>85</v>
      </c>
      <c r="D18" s="220">
        <f>IF('Input Nilai Pengetahuan'!U15="","",'Input Nilai Pengetahuan'!U15)</f>
        <v>87.5</v>
      </c>
      <c r="E18" s="220" t="str">
        <f>IF('Input Nilai Pengetahuan'!AC15="","",'Input Nilai Pengetahuan'!AC15)</f>
        <v/>
      </c>
      <c r="F18" s="220" t="str">
        <f>IF('Input Nilai Pengetahuan'!AK15="","",'Input Nilai Pengetahuan'!AK15)</f>
        <v/>
      </c>
      <c r="G18" s="220" t="str">
        <f>IF('Input Nilai Pengetahuan'!AS15="","",'Input Nilai Pengetahuan'!AS15)</f>
        <v/>
      </c>
      <c r="H18" s="220" t="str">
        <f>IF('Input Nilai Pengetahuan'!BA15="","",'Input Nilai Pengetahuan'!BA15)</f>
        <v/>
      </c>
      <c r="I18" s="220" t="str">
        <f>IF('Input Nilai Pengetahuan'!BI15="","",'Input Nilai Pengetahuan'!BI15)</f>
        <v/>
      </c>
      <c r="J18" s="220" t="str">
        <f>IF('Input Nilai Pengetahuan'!BQ15="","",'Input Nilai Pengetahuan'!BQ15)</f>
        <v/>
      </c>
      <c r="K18" s="220" t="str">
        <f>IF('Input Nilai Pengetahuan'!BY15="","",'Input Nilai Pengetahuan'!BY15)</f>
        <v/>
      </c>
      <c r="L18" s="220" t="str">
        <f>IF('Input Nilai Pengetahuan'!CG15="","",'Input Nilai Pengetahuan'!CG15)</f>
        <v/>
      </c>
      <c r="M18" s="221">
        <f>IF('Input Nilai Ketrampilan'!J15="","",('Input Nilai Ketrampilan'!J15))</f>
        <v>80</v>
      </c>
      <c r="N18" s="221">
        <f>IF('Input Nilai Ketrampilan'!O15="","",'Input Nilai Ketrampilan'!O15)</f>
        <v>80</v>
      </c>
      <c r="O18" s="221">
        <f>IF('Input Nilai Ketrampilan'!T15="","",'Input Nilai Ketrampilan'!T15)</f>
        <v>80</v>
      </c>
      <c r="P18" s="221">
        <f>IF('Input Nilai Ketrampilan'!Y15="","",'Input Nilai Ketrampilan'!Y15)</f>
        <v>80</v>
      </c>
      <c r="Q18" s="221" t="str">
        <f>IF('Input Nilai Ketrampilan'!AD15="","",'Input Nilai Ketrampilan'!AD15)</f>
        <v/>
      </c>
      <c r="R18" s="221" t="str">
        <f>IF('Input Nilai Ketrampilan'!AI15="","",'Input Nilai Ketrampilan'!AI15)</f>
        <v/>
      </c>
      <c r="S18" s="221" t="str">
        <f>IF('Input Nilai Ketrampilan'!AN15="","",'Input Nilai Ketrampilan'!AN15)</f>
        <v/>
      </c>
      <c r="T18" s="221" t="str">
        <f>IF('Input Nilai Ketrampilan'!AS15="","",'Input Nilai Ketrampilan'!AS15)</f>
        <v/>
      </c>
      <c r="U18" s="221" t="str">
        <f>IF('Input Nilai Ketrampilan'!AX15="","",'Input Nilai Ketrampilan'!AX15)</f>
        <v/>
      </c>
      <c r="V18" s="221" t="str">
        <f>IF('Input Nilai Ketrampilan'!BC15="","",'Input Nilai Ketrampilan'!BC15)</f>
        <v/>
      </c>
      <c r="W18" s="222">
        <f>IF('Input Nilai Pengetahuan'!CK15="","",'Input Nilai Pengetahuan'!CK15)</f>
        <v>55</v>
      </c>
    </row>
    <row r="19" spans="1:23">
      <c r="A19" s="121">
        <f>'DATA SISWA'!A16</f>
        <v>12</v>
      </c>
      <c r="B19" s="122" t="str">
        <f>'DATA SISWA'!C16</f>
        <v>FATIMATUZ  ZAHROH</v>
      </c>
      <c r="C19" s="220">
        <f>IF('Input Nilai Pengetahuan'!M16="","",'Input Nilai Pengetahuan'!M16)</f>
        <v>85</v>
      </c>
      <c r="D19" s="220">
        <f>IF('Input Nilai Pengetahuan'!U16="","",'Input Nilai Pengetahuan'!U16)</f>
        <v>85</v>
      </c>
      <c r="E19" s="220" t="str">
        <f>IF('Input Nilai Pengetahuan'!AC16="","",'Input Nilai Pengetahuan'!AC16)</f>
        <v/>
      </c>
      <c r="F19" s="220" t="str">
        <f>IF('Input Nilai Pengetahuan'!AK16="","",'Input Nilai Pengetahuan'!AK16)</f>
        <v/>
      </c>
      <c r="G19" s="220" t="str">
        <f>IF('Input Nilai Pengetahuan'!AS16="","",'Input Nilai Pengetahuan'!AS16)</f>
        <v/>
      </c>
      <c r="H19" s="220" t="str">
        <f>IF('Input Nilai Pengetahuan'!BA16="","",'Input Nilai Pengetahuan'!BA16)</f>
        <v/>
      </c>
      <c r="I19" s="220" t="str">
        <f>IF('Input Nilai Pengetahuan'!BI16="","",'Input Nilai Pengetahuan'!BI16)</f>
        <v/>
      </c>
      <c r="J19" s="220" t="str">
        <f>IF('Input Nilai Pengetahuan'!BQ16="","",'Input Nilai Pengetahuan'!BQ16)</f>
        <v/>
      </c>
      <c r="K19" s="220" t="str">
        <f>IF('Input Nilai Pengetahuan'!BY16="","",'Input Nilai Pengetahuan'!BY16)</f>
        <v/>
      </c>
      <c r="L19" s="220" t="str">
        <f>IF('Input Nilai Pengetahuan'!CG16="","",'Input Nilai Pengetahuan'!CG16)</f>
        <v/>
      </c>
      <c r="M19" s="221">
        <f>IF('Input Nilai Ketrampilan'!J16="","",('Input Nilai Ketrampilan'!J16))</f>
        <v>80</v>
      </c>
      <c r="N19" s="221">
        <f>IF('Input Nilai Ketrampilan'!O16="","",'Input Nilai Ketrampilan'!O16)</f>
        <v>80</v>
      </c>
      <c r="O19" s="221">
        <f>IF('Input Nilai Ketrampilan'!T16="","",'Input Nilai Ketrampilan'!T16)</f>
        <v>80</v>
      </c>
      <c r="P19" s="221">
        <f>IF('Input Nilai Ketrampilan'!Y16="","",'Input Nilai Ketrampilan'!Y16)</f>
        <v>80</v>
      </c>
      <c r="Q19" s="221" t="str">
        <f>IF('Input Nilai Ketrampilan'!AD16="","",'Input Nilai Ketrampilan'!AD16)</f>
        <v/>
      </c>
      <c r="R19" s="221" t="str">
        <f>IF('Input Nilai Ketrampilan'!AI16="","",'Input Nilai Ketrampilan'!AI16)</f>
        <v/>
      </c>
      <c r="S19" s="221" t="str">
        <f>IF('Input Nilai Ketrampilan'!AN16="","",'Input Nilai Ketrampilan'!AN16)</f>
        <v/>
      </c>
      <c r="T19" s="221" t="str">
        <f>IF('Input Nilai Ketrampilan'!AS16="","",'Input Nilai Ketrampilan'!AS16)</f>
        <v/>
      </c>
      <c r="U19" s="221" t="str">
        <f>IF('Input Nilai Ketrampilan'!AX16="","",'Input Nilai Ketrampilan'!AX16)</f>
        <v/>
      </c>
      <c r="V19" s="221" t="str">
        <f>IF('Input Nilai Ketrampilan'!BC16="","",'Input Nilai Ketrampilan'!BC16)</f>
        <v/>
      </c>
      <c r="W19" s="222">
        <f>IF('Input Nilai Pengetahuan'!CK16="","",'Input Nilai Pengetahuan'!CK16)</f>
        <v>66</v>
      </c>
    </row>
    <row r="20" spans="1:23">
      <c r="A20" s="121">
        <f>'DATA SISWA'!A17</f>
        <v>13</v>
      </c>
      <c r="B20" s="122" t="str">
        <f>'DATA SISWA'!C17</f>
        <v>IMAM FATONI</v>
      </c>
      <c r="C20" s="220">
        <f>IF('Input Nilai Pengetahuan'!M17="","",'Input Nilai Pengetahuan'!M17)</f>
        <v>77.5</v>
      </c>
      <c r="D20" s="220">
        <f>IF('Input Nilai Pengetahuan'!U17="","",'Input Nilai Pengetahuan'!U17)</f>
        <v>80</v>
      </c>
      <c r="E20" s="220" t="str">
        <f>IF('Input Nilai Pengetahuan'!AC17="","",'Input Nilai Pengetahuan'!AC17)</f>
        <v/>
      </c>
      <c r="F20" s="220" t="str">
        <f>IF('Input Nilai Pengetahuan'!AK17="","",'Input Nilai Pengetahuan'!AK17)</f>
        <v/>
      </c>
      <c r="G20" s="220" t="str">
        <f>IF('Input Nilai Pengetahuan'!AS17="","",'Input Nilai Pengetahuan'!AS17)</f>
        <v/>
      </c>
      <c r="H20" s="220" t="str">
        <f>IF('Input Nilai Pengetahuan'!BA17="","",'Input Nilai Pengetahuan'!BA17)</f>
        <v/>
      </c>
      <c r="I20" s="220" t="str">
        <f>IF('Input Nilai Pengetahuan'!BI17="","",'Input Nilai Pengetahuan'!BI17)</f>
        <v/>
      </c>
      <c r="J20" s="220" t="str">
        <f>IF('Input Nilai Pengetahuan'!BQ17="","",'Input Nilai Pengetahuan'!BQ17)</f>
        <v/>
      </c>
      <c r="K20" s="220" t="str">
        <f>IF('Input Nilai Pengetahuan'!BY17="","",'Input Nilai Pengetahuan'!BY17)</f>
        <v/>
      </c>
      <c r="L20" s="220" t="str">
        <f>IF('Input Nilai Pengetahuan'!CG17="","",'Input Nilai Pengetahuan'!CG17)</f>
        <v/>
      </c>
      <c r="M20" s="221">
        <f>IF('Input Nilai Ketrampilan'!J17="","",('Input Nilai Ketrampilan'!J17))</f>
        <v>79</v>
      </c>
      <c r="N20" s="221">
        <f>IF('Input Nilai Ketrampilan'!O17="","",'Input Nilai Ketrampilan'!O17)</f>
        <v>79</v>
      </c>
      <c r="O20" s="221">
        <f>IF('Input Nilai Ketrampilan'!T17="","",'Input Nilai Ketrampilan'!T17)</f>
        <v>79</v>
      </c>
      <c r="P20" s="221">
        <f>IF('Input Nilai Ketrampilan'!Y17="","",'Input Nilai Ketrampilan'!Y17)</f>
        <v>79</v>
      </c>
      <c r="Q20" s="221" t="str">
        <f>IF('Input Nilai Ketrampilan'!AD17="","",'Input Nilai Ketrampilan'!AD17)</f>
        <v/>
      </c>
      <c r="R20" s="221" t="str">
        <f>IF('Input Nilai Ketrampilan'!AI17="","",'Input Nilai Ketrampilan'!AI17)</f>
        <v/>
      </c>
      <c r="S20" s="221" t="str">
        <f>IF('Input Nilai Ketrampilan'!AN17="","",'Input Nilai Ketrampilan'!AN17)</f>
        <v/>
      </c>
      <c r="T20" s="221" t="str">
        <f>IF('Input Nilai Ketrampilan'!AS17="","",'Input Nilai Ketrampilan'!AS17)</f>
        <v/>
      </c>
      <c r="U20" s="221" t="str">
        <f>IF('Input Nilai Ketrampilan'!AX17="","",'Input Nilai Ketrampilan'!AX17)</f>
        <v/>
      </c>
      <c r="V20" s="221" t="str">
        <f>IF('Input Nilai Ketrampilan'!BC17="","",'Input Nilai Ketrampilan'!BC17)</f>
        <v/>
      </c>
      <c r="W20" s="222">
        <f>IF('Input Nilai Pengetahuan'!CK17="","",'Input Nilai Pengetahuan'!CK17)</f>
        <v>70</v>
      </c>
    </row>
    <row r="21" spans="1:23">
      <c r="A21" s="121">
        <f>'DATA SISWA'!A18</f>
        <v>14</v>
      </c>
      <c r="B21" s="122" t="str">
        <f>'DATA SISWA'!C18</f>
        <v>ISMA SRI WAHYUNI</v>
      </c>
      <c r="C21" s="220">
        <f>IF('Input Nilai Pengetahuan'!M18="","",'Input Nilai Pengetahuan'!M18)</f>
        <v>87.5</v>
      </c>
      <c r="D21" s="220">
        <f>IF('Input Nilai Pengetahuan'!U18="","",'Input Nilai Pengetahuan'!U18)</f>
        <v>85</v>
      </c>
      <c r="E21" s="220" t="str">
        <f>IF('Input Nilai Pengetahuan'!AC18="","",'Input Nilai Pengetahuan'!AC18)</f>
        <v/>
      </c>
      <c r="F21" s="220" t="str">
        <f>IF('Input Nilai Pengetahuan'!AK18="","",'Input Nilai Pengetahuan'!AK18)</f>
        <v/>
      </c>
      <c r="G21" s="220" t="str">
        <f>IF('Input Nilai Pengetahuan'!AS18="","",'Input Nilai Pengetahuan'!AS18)</f>
        <v/>
      </c>
      <c r="H21" s="220" t="str">
        <f>IF('Input Nilai Pengetahuan'!BA18="","",'Input Nilai Pengetahuan'!BA18)</f>
        <v/>
      </c>
      <c r="I21" s="220" t="str">
        <f>IF('Input Nilai Pengetahuan'!BI18="","",'Input Nilai Pengetahuan'!BI18)</f>
        <v/>
      </c>
      <c r="J21" s="220" t="str">
        <f>IF('Input Nilai Pengetahuan'!BQ18="","",'Input Nilai Pengetahuan'!BQ18)</f>
        <v/>
      </c>
      <c r="K21" s="220" t="str">
        <f>IF('Input Nilai Pengetahuan'!BY18="","",'Input Nilai Pengetahuan'!BY18)</f>
        <v/>
      </c>
      <c r="L21" s="220" t="str">
        <f>IF('Input Nilai Pengetahuan'!CG18="","",'Input Nilai Pengetahuan'!CG18)</f>
        <v/>
      </c>
      <c r="M21" s="221">
        <f>IF('Input Nilai Ketrampilan'!J18="","",('Input Nilai Ketrampilan'!J18))</f>
        <v>78</v>
      </c>
      <c r="N21" s="221">
        <f>IF('Input Nilai Ketrampilan'!O18="","",'Input Nilai Ketrampilan'!O18)</f>
        <v>78</v>
      </c>
      <c r="O21" s="221">
        <f>IF('Input Nilai Ketrampilan'!T18="","",'Input Nilai Ketrampilan'!T18)</f>
        <v>78</v>
      </c>
      <c r="P21" s="221">
        <f>IF('Input Nilai Ketrampilan'!Y18="","",'Input Nilai Ketrampilan'!Y18)</f>
        <v>78</v>
      </c>
      <c r="Q21" s="221" t="str">
        <f>IF('Input Nilai Ketrampilan'!AD18="","",'Input Nilai Ketrampilan'!AD18)</f>
        <v/>
      </c>
      <c r="R21" s="221" t="str">
        <f>IF('Input Nilai Ketrampilan'!AI18="","",'Input Nilai Ketrampilan'!AI18)</f>
        <v/>
      </c>
      <c r="S21" s="221" t="str">
        <f>IF('Input Nilai Ketrampilan'!AN18="","",'Input Nilai Ketrampilan'!AN18)</f>
        <v/>
      </c>
      <c r="T21" s="221" t="str">
        <f>IF('Input Nilai Ketrampilan'!AS18="","",'Input Nilai Ketrampilan'!AS18)</f>
        <v/>
      </c>
      <c r="U21" s="221" t="str">
        <f>IF('Input Nilai Ketrampilan'!AX18="","",'Input Nilai Ketrampilan'!AX18)</f>
        <v/>
      </c>
      <c r="V21" s="221" t="str">
        <f>IF('Input Nilai Ketrampilan'!BC18="","",'Input Nilai Ketrampilan'!BC18)</f>
        <v/>
      </c>
      <c r="W21" s="222">
        <f>IF('Input Nilai Pengetahuan'!CK18="","",'Input Nilai Pengetahuan'!CK18)</f>
        <v>66</v>
      </c>
    </row>
    <row r="22" spans="1:23">
      <c r="A22" s="121">
        <f>'DATA SISWA'!A19</f>
        <v>15</v>
      </c>
      <c r="B22" s="122" t="str">
        <f>'DATA SISWA'!C19</f>
        <v>JAKFAR SODIK ROMADHONI</v>
      </c>
      <c r="C22" s="220">
        <f>IF('Input Nilai Pengetahuan'!M19="","",'Input Nilai Pengetahuan'!M19)</f>
        <v>80</v>
      </c>
      <c r="D22" s="220">
        <f>IF('Input Nilai Pengetahuan'!U19="","",'Input Nilai Pengetahuan'!U19)</f>
        <v>82.5</v>
      </c>
      <c r="E22" s="220" t="str">
        <f>IF('Input Nilai Pengetahuan'!AC19="","",'Input Nilai Pengetahuan'!AC19)</f>
        <v/>
      </c>
      <c r="F22" s="220" t="str">
        <f>IF('Input Nilai Pengetahuan'!AK19="","",'Input Nilai Pengetahuan'!AK19)</f>
        <v/>
      </c>
      <c r="G22" s="220" t="str">
        <f>IF('Input Nilai Pengetahuan'!AS19="","",'Input Nilai Pengetahuan'!AS19)</f>
        <v/>
      </c>
      <c r="H22" s="220" t="str">
        <f>IF('Input Nilai Pengetahuan'!BA19="","",'Input Nilai Pengetahuan'!BA19)</f>
        <v/>
      </c>
      <c r="I22" s="220" t="str">
        <f>IF('Input Nilai Pengetahuan'!BI19="","",'Input Nilai Pengetahuan'!BI19)</f>
        <v/>
      </c>
      <c r="J22" s="220" t="str">
        <f>IF('Input Nilai Pengetahuan'!BQ19="","",'Input Nilai Pengetahuan'!BQ19)</f>
        <v/>
      </c>
      <c r="K22" s="220" t="str">
        <f>IF('Input Nilai Pengetahuan'!BY19="","",'Input Nilai Pengetahuan'!BY19)</f>
        <v/>
      </c>
      <c r="L22" s="220" t="str">
        <f>IF('Input Nilai Pengetahuan'!CG19="","",'Input Nilai Pengetahuan'!CG19)</f>
        <v/>
      </c>
      <c r="M22" s="221">
        <f>IF('Input Nilai Ketrampilan'!J19="","",('Input Nilai Ketrampilan'!J19))</f>
        <v>79</v>
      </c>
      <c r="N22" s="221">
        <f>IF('Input Nilai Ketrampilan'!O19="","",'Input Nilai Ketrampilan'!O19)</f>
        <v>79</v>
      </c>
      <c r="O22" s="221">
        <f>IF('Input Nilai Ketrampilan'!T19="","",'Input Nilai Ketrampilan'!T19)</f>
        <v>79</v>
      </c>
      <c r="P22" s="221">
        <f>IF('Input Nilai Ketrampilan'!Y19="","",'Input Nilai Ketrampilan'!Y19)</f>
        <v>79</v>
      </c>
      <c r="Q22" s="221" t="str">
        <f>IF('Input Nilai Ketrampilan'!AD19="","",'Input Nilai Ketrampilan'!AD19)</f>
        <v/>
      </c>
      <c r="R22" s="221" t="str">
        <f>IF('Input Nilai Ketrampilan'!AI19="","",'Input Nilai Ketrampilan'!AI19)</f>
        <v/>
      </c>
      <c r="S22" s="221" t="str">
        <f>IF('Input Nilai Ketrampilan'!AN19="","",'Input Nilai Ketrampilan'!AN19)</f>
        <v/>
      </c>
      <c r="T22" s="221" t="str">
        <f>IF('Input Nilai Ketrampilan'!AS19="","",'Input Nilai Ketrampilan'!AS19)</f>
        <v/>
      </c>
      <c r="U22" s="221" t="str">
        <f>IF('Input Nilai Ketrampilan'!AX19="","",'Input Nilai Ketrampilan'!AX19)</f>
        <v/>
      </c>
      <c r="V22" s="221" t="str">
        <f>IF('Input Nilai Ketrampilan'!BC19="","",'Input Nilai Ketrampilan'!BC19)</f>
        <v/>
      </c>
      <c r="W22" s="222">
        <f>IF('Input Nilai Pengetahuan'!CK19="","",'Input Nilai Pengetahuan'!CK19)</f>
        <v>70</v>
      </c>
    </row>
    <row r="23" spans="1:23">
      <c r="A23" s="121">
        <f>'DATA SISWA'!A20</f>
        <v>16</v>
      </c>
      <c r="B23" s="122" t="str">
        <f>'DATA SISWA'!C20</f>
        <v>KHOIRIL NISA'</v>
      </c>
      <c r="C23" s="220">
        <f>IF('Input Nilai Pengetahuan'!M20="","",'Input Nilai Pengetahuan'!M20)</f>
        <v>85</v>
      </c>
      <c r="D23" s="220">
        <f>IF('Input Nilai Pengetahuan'!U20="","",'Input Nilai Pengetahuan'!U20)</f>
        <v>85</v>
      </c>
      <c r="E23" s="220" t="str">
        <f>IF('Input Nilai Pengetahuan'!AC20="","",'Input Nilai Pengetahuan'!AC20)</f>
        <v/>
      </c>
      <c r="F23" s="220" t="str">
        <f>IF('Input Nilai Pengetahuan'!AK20="","",'Input Nilai Pengetahuan'!AK20)</f>
        <v/>
      </c>
      <c r="G23" s="220" t="str">
        <f>IF('Input Nilai Pengetahuan'!AS20="","",'Input Nilai Pengetahuan'!AS20)</f>
        <v/>
      </c>
      <c r="H23" s="220" t="str">
        <f>IF('Input Nilai Pengetahuan'!BA20="","",'Input Nilai Pengetahuan'!BA20)</f>
        <v/>
      </c>
      <c r="I23" s="220" t="str">
        <f>IF('Input Nilai Pengetahuan'!BI20="","",'Input Nilai Pengetahuan'!BI20)</f>
        <v/>
      </c>
      <c r="J23" s="220" t="str">
        <f>IF('Input Nilai Pengetahuan'!BQ20="","",'Input Nilai Pengetahuan'!BQ20)</f>
        <v/>
      </c>
      <c r="K23" s="220" t="str">
        <f>IF('Input Nilai Pengetahuan'!BY20="","",'Input Nilai Pengetahuan'!BY20)</f>
        <v/>
      </c>
      <c r="L23" s="220" t="str">
        <f>IF('Input Nilai Pengetahuan'!CG20="","",'Input Nilai Pengetahuan'!CG20)</f>
        <v/>
      </c>
      <c r="M23" s="221">
        <f>IF('Input Nilai Ketrampilan'!J20="","",('Input Nilai Ketrampilan'!J20))</f>
        <v>80</v>
      </c>
      <c r="N23" s="221">
        <f>IF('Input Nilai Ketrampilan'!O20="","",'Input Nilai Ketrampilan'!O20)</f>
        <v>80</v>
      </c>
      <c r="O23" s="221">
        <f>IF('Input Nilai Ketrampilan'!T20="","",'Input Nilai Ketrampilan'!T20)</f>
        <v>80</v>
      </c>
      <c r="P23" s="221">
        <f>IF('Input Nilai Ketrampilan'!Y20="","",'Input Nilai Ketrampilan'!Y20)</f>
        <v>80</v>
      </c>
      <c r="Q23" s="221" t="str">
        <f>IF('Input Nilai Ketrampilan'!AD20="","",'Input Nilai Ketrampilan'!AD20)</f>
        <v/>
      </c>
      <c r="R23" s="221" t="str">
        <f>IF('Input Nilai Ketrampilan'!AI20="","",'Input Nilai Ketrampilan'!AI20)</f>
        <v/>
      </c>
      <c r="S23" s="221" t="str">
        <f>IF('Input Nilai Ketrampilan'!AN20="","",'Input Nilai Ketrampilan'!AN20)</f>
        <v/>
      </c>
      <c r="T23" s="221" t="str">
        <f>IF('Input Nilai Ketrampilan'!AS20="","",'Input Nilai Ketrampilan'!AS20)</f>
        <v/>
      </c>
      <c r="U23" s="221" t="str">
        <f>IF('Input Nilai Ketrampilan'!AX20="","",'Input Nilai Ketrampilan'!AX20)</f>
        <v/>
      </c>
      <c r="V23" s="221" t="str">
        <f>IF('Input Nilai Ketrampilan'!BC20="","",'Input Nilai Ketrampilan'!BC20)</f>
        <v/>
      </c>
      <c r="W23" s="222">
        <f>IF('Input Nilai Pengetahuan'!CK20="","",'Input Nilai Pengetahuan'!CK20)</f>
        <v>60</v>
      </c>
    </row>
    <row r="24" spans="1:23">
      <c r="A24" s="121">
        <f>'DATA SISWA'!A21</f>
        <v>17</v>
      </c>
      <c r="B24" s="122" t="str">
        <f>'DATA SISWA'!C21</f>
        <v>LATIFA MAHARANI</v>
      </c>
      <c r="C24" s="220">
        <f>IF('Input Nilai Pengetahuan'!M21="","",'Input Nilai Pengetahuan'!M21)</f>
        <v>85</v>
      </c>
      <c r="D24" s="220">
        <f>IF('Input Nilai Pengetahuan'!U21="","",'Input Nilai Pengetahuan'!U21)</f>
        <v>82.5</v>
      </c>
      <c r="E24" s="220" t="str">
        <f>IF('Input Nilai Pengetahuan'!AC21="","",'Input Nilai Pengetahuan'!AC21)</f>
        <v/>
      </c>
      <c r="F24" s="220" t="str">
        <f>IF('Input Nilai Pengetahuan'!AK21="","",'Input Nilai Pengetahuan'!AK21)</f>
        <v/>
      </c>
      <c r="G24" s="220" t="str">
        <f>IF('Input Nilai Pengetahuan'!AS21="","",'Input Nilai Pengetahuan'!AS21)</f>
        <v/>
      </c>
      <c r="H24" s="220" t="str">
        <f>IF('Input Nilai Pengetahuan'!BA21="","",'Input Nilai Pengetahuan'!BA21)</f>
        <v/>
      </c>
      <c r="I24" s="220" t="str">
        <f>IF('Input Nilai Pengetahuan'!BI21="","",'Input Nilai Pengetahuan'!BI21)</f>
        <v/>
      </c>
      <c r="J24" s="220" t="str">
        <f>IF('Input Nilai Pengetahuan'!BQ21="","",'Input Nilai Pengetahuan'!BQ21)</f>
        <v/>
      </c>
      <c r="K24" s="220" t="str">
        <f>IF('Input Nilai Pengetahuan'!BY21="","",'Input Nilai Pengetahuan'!BY21)</f>
        <v/>
      </c>
      <c r="L24" s="220" t="str">
        <f>IF('Input Nilai Pengetahuan'!CG21="","",'Input Nilai Pengetahuan'!CG21)</f>
        <v/>
      </c>
      <c r="M24" s="221">
        <f>IF('Input Nilai Ketrampilan'!J21="","",('Input Nilai Ketrampilan'!J21))</f>
        <v>80</v>
      </c>
      <c r="N24" s="221">
        <f>IF('Input Nilai Ketrampilan'!O21="","",'Input Nilai Ketrampilan'!O21)</f>
        <v>80</v>
      </c>
      <c r="O24" s="221">
        <f>IF('Input Nilai Ketrampilan'!T21="","",'Input Nilai Ketrampilan'!T21)</f>
        <v>80</v>
      </c>
      <c r="P24" s="221">
        <f>IF('Input Nilai Ketrampilan'!Y21="","",'Input Nilai Ketrampilan'!Y21)</f>
        <v>80</v>
      </c>
      <c r="Q24" s="221" t="str">
        <f>IF('Input Nilai Ketrampilan'!AD21="","",'Input Nilai Ketrampilan'!AD21)</f>
        <v/>
      </c>
      <c r="R24" s="221" t="str">
        <f>IF('Input Nilai Ketrampilan'!AI21="","",'Input Nilai Ketrampilan'!AI21)</f>
        <v/>
      </c>
      <c r="S24" s="221" t="str">
        <f>IF('Input Nilai Ketrampilan'!AN21="","",'Input Nilai Ketrampilan'!AN21)</f>
        <v/>
      </c>
      <c r="T24" s="221" t="str">
        <f>IF('Input Nilai Ketrampilan'!AS21="","",'Input Nilai Ketrampilan'!AS21)</f>
        <v/>
      </c>
      <c r="U24" s="221" t="str">
        <f>IF('Input Nilai Ketrampilan'!AX21="","",'Input Nilai Ketrampilan'!AX21)</f>
        <v/>
      </c>
      <c r="V24" s="221" t="str">
        <f>IF('Input Nilai Ketrampilan'!BC21="","",'Input Nilai Ketrampilan'!BC21)</f>
        <v/>
      </c>
      <c r="W24" s="222">
        <f>IF('Input Nilai Pengetahuan'!CK21="","",'Input Nilai Pengetahuan'!CK21)</f>
        <v>55</v>
      </c>
    </row>
    <row r="25" spans="1:23">
      <c r="A25" s="121">
        <f>'DATA SISWA'!A22</f>
        <v>18</v>
      </c>
      <c r="B25" s="122" t="str">
        <f>'DATA SISWA'!C22</f>
        <v>LUQMANUL FIKRI SYAIFULLAH</v>
      </c>
      <c r="C25" s="220">
        <f>IF('Input Nilai Pengetahuan'!M22="","",'Input Nilai Pengetahuan'!M22)</f>
        <v>82.5</v>
      </c>
      <c r="D25" s="220">
        <f>IF('Input Nilai Pengetahuan'!U22="","",'Input Nilai Pengetahuan'!U22)</f>
        <v>85</v>
      </c>
      <c r="E25" s="220" t="str">
        <f>IF('Input Nilai Pengetahuan'!AC22="","",'Input Nilai Pengetahuan'!AC22)</f>
        <v/>
      </c>
      <c r="F25" s="220" t="str">
        <f>IF('Input Nilai Pengetahuan'!AK22="","",'Input Nilai Pengetahuan'!AK22)</f>
        <v/>
      </c>
      <c r="G25" s="220" t="str">
        <f>IF('Input Nilai Pengetahuan'!AS22="","",'Input Nilai Pengetahuan'!AS22)</f>
        <v/>
      </c>
      <c r="H25" s="220" t="str">
        <f>IF('Input Nilai Pengetahuan'!BA22="","",'Input Nilai Pengetahuan'!BA22)</f>
        <v/>
      </c>
      <c r="I25" s="220" t="str">
        <f>IF('Input Nilai Pengetahuan'!BI22="","",'Input Nilai Pengetahuan'!BI22)</f>
        <v/>
      </c>
      <c r="J25" s="220" t="str">
        <f>IF('Input Nilai Pengetahuan'!BQ22="","",'Input Nilai Pengetahuan'!BQ22)</f>
        <v/>
      </c>
      <c r="K25" s="220" t="str">
        <f>IF('Input Nilai Pengetahuan'!BY22="","",'Input Nilai Pengetahuan'!BY22)</f>
        <v/>
      </c>
      <c r="L25" s="220" t="str">
        <f>IF('Input Nilai Pengetahuan'!CG22="","",'Input Nilai Pengetahuan'!CG22)</f>
        <v/>
      </c>
      <c r="M25" s="221">
        <f>IF('Input Nilai Ketrampilan'!J22="","",('Input Nilai Ketrampilan'!J22))</f>
        <v>79</v>
      </c>
      <c r="N25" s="221">
        <f>IF('Input Nilai Ketrampilan'!O22="","",'Input Nilai Ketrampilan'!O22)</f>
        <v>79</v>
      </c>
      <c r="O25" s="221">
        <f>IF('Input Nilai Ketrampilan'!T22="","",'Input Nilai Ketrampilan'!T22)</f>
        <v>79</v>
      </c>
      <c r="P25" s="221">
        <f>IF('Input Nilai Ketrampilan'!Y22="","",'Input Nilai Ketrampilan'!Y22)</f>
        <v>79</v>
      </c>
      <c r="Q25" s="221" t="str">
        <f>IF('Input Nilai Ketrampilan'!AD22="","",'Input Nilai Ketrampilan'!AD22)</f>
        <v/>
      </c>
      <c r="R25" s="221" t="str">
        <f>IF('Input Nilai Ketrampilan'!AI22="","",'Input Nilai Ketrampilan'!AI22)</f>
        <v/>
      </c>
      <c r="S25" s="221" t="str">
        <f>IF('Input Nilai Ketrampilan'!AN22="","",'Input Nilai Ketrampilan'!AN22)</f>
        <v/>
      </c>
      <c r="T25" s="221" t="str">
        <f>IF('Input Nilai Ketrampilan'!AS22="","",'Input Nilai Ketrampilan'!AS22)</f>
        <v/>
      </c>
      <c r="U25" s="221" t="str">
        <f>IF('Input Nilai Ketrampilan'!AX22="","",'Input Nilai Ketrampilan'!AX22)</f>
        <v/>
      </c>
      <c r="V25" s="221" t="str">
        <f>IF('Input Nilai Ketrampilan'!BC22="","",'Input Nilai Ketrampilan'!BC22)</f>
        <v/>
      </c>
      <c r="W25" s="222">
        <f>IF('Input Nilai Pengetahuan'!CK22="","",'Input Nilai Pengetahuan'!CK22)</f>
        <v>70</v>
      </c>
    </row>
    <row r="26" spans="1:23">
      <c r="A26" s="121">
        <f>'DATA SISWA'!A23</f>
        <v>19</v>
      </c>
      <c r="B26" s="122" t="str">
        <f>'DATA SISWA'!C23</f>
        <v>MAR'ATUS SOLEHAH</v>
      </c>
      <c r="C26" s="220">
        <f>IF('Input Nilai Pengetahuan'!M23="","",'Input Nilai Pengetahuan'!M23)</f>
        <v>82.5</v>
      </c>
      <c r="D26" s="220">
        <f>IF('Input Nilai Pengetahuan'!U23="","",'Input Nilai Pengetahuan'!U23)</f>
        <v>90</v>
      </c>
      <c r="E26" s="220" t="str">
        <f>IF('Input Nilai Pengetahuan'!AC23="","",'Input Nilai Pengetahuan'!AC23)</f>
        <v/>
      </c>
      <c r="F26" s="220" t="str">
        <f>IF('Input Nilai Pengetahuan'!AK23="","",'Input Nilai Pengetahuan'!AK23)</f>
        <v/>
      </c>
      <c r="G26" s="220" t="str">
        <f>IF('Input Nilai Pengetahuan'!AS23="","",'Input Nilai Pengetahuan'!AS23)</f>
        <v/>
      </c>
      <c r="H26" s="220" t="str">
        <f>IF('Input Nilai Pengetahuan'!BA23="","",'Input Nilai Pengetahuan'!BA23)</f>
        <v/>
      </c>
      <c r="I26" s="220" t="str">
        <f>IF('Input Nilai Pengetahuan'!BI23="","",'Input Nilai Pengetahuan'!BI23)</f>
        <v/>
      </c>
      <c r="J26" s="220" t="str">
        <f>IF('Input Nilai Pengetahuan'!BQ23="","",'Input Nilai Pengetahuan'!BQ23)</f>
        <v/>
      </c>
      <c r="K26" s="220" t="str">
        <f>IF('Input Nilai Pengetahuan'!BY23="","",'Input Nilai Pengetahuan'!BY23)</f>
        <v/>
      </c>
      <c r="L26" s="220" t="str">
        <f>IF('Input Nilai Pengetahuan'!CG23="","",'Input Nilai Pengetahuan'!CG23)</f>
        <v/>
      </c>
      <c r="M26" s="221">
        <f>IF('Input Nilai Ketrampilan'!J23="","",('Input Nilai Ketrampilan'!J23))</f>
        <v>78</v>
      </c>
      <c r="N26" s="221">
        <f>IF('Input Nilai Ketrampilan'!O23="","",'Input Nilai Ketrampilan'!O23)</f>
        <v>78</v>
      </c>
      <c r="O26" s="221">
        <f>IF('Input Nilai Ketrampilan'!T23="","",'Input Nilai Ketrampilan'!T23)</f>
        <v>78</v>
      </c>
      <c r="P26" s="221">
        <f>IF('Input Nilai Ketrampilan'!Y23="","",'Input Nilai Ketrampilan'!Y23)</f>
        <v>78</v>
      </c>
      <c r="Q26" s="221" t="str">
        <f>IF('Input Nilai Ketrampilan'!AD23="","",'Input Nilai Ketrampilan'!AD23)</f>
        <v/>
      </c>
      <c r="R26" s="221" t="str">
        <f>IF('Input Nilai Ketrampilan'!AI23="","",'Input Nilai Ketrampilan'!AI23)</f>
        <v/>
      </c>
      <c r="S26" s="221" t="str">
        <f>IF('Input Nilai Ketrampilan'!AN23="","",'Input Nilai Ketrampilan'!AN23)</f>
        <v/>
      </c>
      <c r="T26" s="221" t="str">
        <f>IF('Input Nilai Ketrampilan'!AS23="","",'Input Nilai Ketrampilan'!AS23)</f>
        <v/>
      </c>
      <c r="U26" s="221" t="str">
        <f>IF('Input Nilai Ketrampilan'!AX23="","",'Input Nilai Ketrampilan'!AX23)</f>
        <v/>
      </c>
      <c r="V26" s="221" t="str">
        <f>IF('Input Nilai Ketrampilan'!BC23="","",'Input Nilai Ketrampilan'!BC23)</f>
        <v/>
      </c>
      <c r="W26" s="222">
        <f>IF('Input Nilai Pengetahuan'!CK23="","",'Input Nilai Pengetahuan'!CK23)</f>
        <v>66</v>
      </c>
    </row>
    <row r="27" spans="1:23">
      <c r="A27" s="121">
        <f>'DATA SISWA'!A24</f>
        <v>20</v>
      </c>
      <c r="B27" s="122" t="str">
        <f>'DATA SISWA'!C24</f>
        <v>MOCH.  SHOLEH W. H</v>
      </c>
      <c r="C27" s="220">
        <f>IF('Input Nilai Pengetahuan'!M24="","",'Input Nilai Pengetahuan'!M24)</f>
        <v>87.5</v>
      </c>
      <c r="D27" s="220">
        <f>IF('Input Nilai Pengetahuan'!U24="","",'Input Nilai Pengetahuan'!U24)</f>
        <v>85</v>
      </c>
      <c r="E27" s="220" t="str">
        <f>IF('Input Nilai Pengetahuan'!AC24="","",'Input Nilai Pengetahuan'!AC24)</f>
        <v/>
      </c>
      <c r="F27" s="220" t="str">
        <f>IF('Input Nilai Pengetahuan'!AK24="","",'Input Nilai Pengetahuan'!AK24)</f>
        <v/>
      </c>
      <c r="G27" s="220" t="str">
        <f>IF('Input Nilai Pengetahuan'!AS24="","",'Input Nilai Pengetahuan'!AS24)</f>
        <v/>
      </c>
      <c r="H27" s="220" t="str">
        <f>IF('Input Nilai Pengetahuan'!BA24="","",'Input Nilai Pengetahuan'!BA24)</f>
        <v/>
      </c>
      <c r="I27" s="220" t="str">
        <f>IF('Input Nilai Pengetahuan'!BI24="","",'Input Nilai Pengetahuan'!BI24)</f>
        <v/>
      </c>
      <c r="J27" s="220" t="str">
        <f>IF('Input Nilai Pengetahuan'!BQ24="","",'Input Nilai Pengetahuan'!BQ24)</f>
        <v/>
      </c>
      <c r="K27" s="220" t="str">
        <f>IF('Input Nilai Pengetahuan'!BY24="","",'Input Nilai Pengetahuan'!BY24)</f>
        <v/>
      </c>
      <c r="L27" s="220" t="str">
        <f>IF('Input Nilai Pengetahuan'!CG24="","",'Input Nilai Pengetahuan'!CG24)</f>
        <v/>
      </c>
      <c r="M27" s="221">
        <f>IF('Input Nilai Ketrampilan'!J24="","",('Input Nilai Ketrampilan'!J24))</f>
        <v>79</v>
      </c>
      <c r="N27" s="221">
        <f>IF('Input Nilai Ketrampilan'!O24="","",'Input Nilai Ketrampilan'!O24)</f>
        <v>79</v>
      </c>
      <c r="O27" s="221">
        <f>IF('Input Nilai Ketrampilan'!T24="","",'Input Nilai Ketrampilan'!T24)</f>
        <v>79</v>
      </c>
      <c r="P27" s="221">
        <f>IF('Input Nilai Ketrampilan'!Y24="","",'Input Nilai Ketrampilan'!Y24)</f>
        <v>79</v>
      </c>
      <c r="Q27" s="221" t="str">
        <f>IF('Input Nilai Ketrampilan'!AD24="","",'Input Nilai Ketrampilan'!AD24)</f>
        <v/>
      </c>
      <c r="R27" s="221" t="str">
        <f>IF('Input Nilai Ketrampilan'!AI24="","",'Input Nilai Ketrampilan'!AI24)</f>
        <v/>
      </c>
      <c r="S27" s="221" t="str">
        <f>IF('Input Nilai Ketrampilan'!AN24="","",'Input Nilai Ketrampilan'!AN24)</f>
        <v/>
      </c>
      <c r="T27" s="221" t="str">
        <f>IF('Input Nilai Ketrampilan'!AS24="","",'Input Nilai Ketrampilan'!AS24)</f>
        <v/>
      </c>
      <c r="U27" s="221" t="str">
        <f>IF('Input Nilai Ketrampilan'!AX24="","",'Input Nilai Ketrampilan'!AX24)</f>
        <v/>
      </c>
      <c r="V27" s="221" t="str">
        <f>IF('Input Nilai Ketrampilan'!BC24="","",'Input Nilai Ketrampilan'!BC24)</f>
        <v/>
      </c>
      <c r="W27" s="222">
        <f>IF('Input Nilai Pengetahuan'!CK24="","",'Input Nilai Pengetahuan'!CK24)</f>
        <v>66</v>
      </c>
    </row>
    <row r="28" spans="1:23">
      <c r="A28" s="121">
        <f>'DATA SISWA'!A25</f>
        <v>21</v>
      </c>
      <c r="B28" s="122" t="str">
        <f>'DATA SISWA'!C25</f>
        <v>MOCH. FAWES</v>
      </c>
      <c r="C28" s="220">
        <f>IF('Input Nilai Pengetahuan'!M25="","",'Input Nilai Pengetahuan'!M25)</f>
        <v>85</v>
      </c>
      <c r="D28" s="220">
        <f>IF('Input Nilai Pengetahuan'!U25="","",'Input Nilai Pengetahuan'!U25)</f>
        <v>85</v>
      </c>
      <c r="E28" s="220" t="str">
        <f>IF('Input Nilai Pengetahuan'!AC25="","",'Input Nilai Pengetahuan'!AC25)</f>
        <v/>
      </c>
      <c r="F28" s="220" t="str">
        <f>IF('Input Nilai Pengetahuan'!AK25="","",'Input Nilai Pengetahuan'!AK25)</f>
        <v/>
      </c>
      <c r="G28" s="220" t="str">
        <f>IF('Input Nilai Pengetahuan'!AS25="","",'Input Nilai Pengetahuan'!AS25)</f>
        <v/>
      </c>
      <c r="H28" s="220" t="str">
        <f>IF('Input Nilai Pengetahuan'!BA25="","",'Input Nilai Pengetahuan'!BA25)</f>
        <v/>
      </c>
      <c r="I28" s="220" t="str">
        <f>IF('Input Nilai Pengetahuan'!BI25="","",'Input Nilai Pengetahuan'!BI25)</f>
        <v/>
      </c>
      <c r="J28" s="220" t="str">
        <f>IF('Input Nilai Pengetahuan'!BQ25="","",'Input Nilai Pengetahuan'!BQ25)</f>
        <v/>
      </c>
      <c r="K28" s="220" t="str">
        <f>IF('Input Nilai Pengetahuan'!BY25="","",'Input Nilai Pengetahuan'!BY25)</f>
        <v/>
      </c>
      <c r="L28" s="220" t="str">
        <f>IF('Input Nilai Pengetahuan'!CG25="","",'Input Nilai Pengetahuan'!CG25)</f>
        <v/>
      </c>
      <c r="M28" s="221">
        <f>IF('Input Nilai Ketrampilan'!J25="","",('Input Nilai Ketrampilan'!J25))</f>
        <v>80</v>
      </c>
      <c r="N28" s="221">
        <f>IF('Input Nilai Ketrampilan'!O25="","",'Input Nilai Ketrampilan'!O25)</f>
        <v>80</v>
      </c>
      <c r="O28" s="221">
        <f>IF('Input Nilai Ketrampilan'!T25="","",'Input Nilai Ketrampilan'!T25)</f>
        <v>80</v>
      </c>
      <c r="P28" s="221">
        <f>IF('Input Nilai Ketrampilan'!Y25="","",'Input Nilai Ketrampilan'!Y25)</f>
        <v>80</v>
      </c>
      <c r="Q28" s="221" t="str">
        <f>IF('Input Nilai Ketrampilan'!AD25="","",'Input Nilai Ketrampilan'!AD25)</f>
        <v/>
      </c>
      <c r="R28" s="221" t="str">
        <f>IF('Input Nilai Ketrampilan'!AI25="","",'Input Nilai Ketrampilan'!AI25)</f>
        <v/>
      </c>
      <c r="S28" s="221" t="str">
        <f>IF('Input Nilai Ketrampilan'!AN25="","",'Input Nilai Ketrampilan'!AN25)</f>
        <v/>
      </c>
      <c r="T28" s="221" t="str">
        <f>IF('Input Nilai Ketrampilan'!AS25="","",'Input Nilai Ketrampilan'!AS25)</f>
        <v/>
      </c>
      <c r="U28" s="221" t="str">
        <f>IF('Input Nilai Ketrampilan'!AX25="","",'Input Nilai Ketrampilan'!AX25)</f>
        <v/>
      </c>
      <c r="V28" s="221" t="str">
        <f>IF('Input Nilai Ketrampilan'!BC25="","",'Input Nilai Ketrampilan'!BC25)</f>
        <v/>
      </c>
      <c r="W28" s="222">
        <f>IF('Input Nilai Pengetahuan'!CK25="","",'Input Nilai Pengetahuan'!CK25)</f>
        <v>70</v>
      </c>
    </row>
    <row r="29" spans="1:23">
      <c r="A29" s="121">
        <f>'DATA SISWA'!A26</f>
        <v>22</v>
      </c>
      <c r="B29" s="122" t="str">
        <f>'DATA SISWA'!C26</f>
        <v>MOH SAHRUL RAMADON</v>
      </c>
      <c r="C29" s="220">
        <f>IF('Input Nilai Pengetahuan'!M26="","",'Input Nilai Pengetahuan'!M26)</f>
        <v>85</v>
      </c>
      <c r="D29" s="220">
        <f>IF('Input Nilai Pengetahuan'!U26="","",'Input Nilai Pengetahuan'!U26)</f>
        <v>85</v>
      </c>
      <c r="E29" s="220" t="str">
        <f>IF('Input Nilai Pengetahuan'!AC26="","",'Input Nilai Pengetahuan'!AC26)</f>
        <v/>
      </c>
      <c r="F29" s="220" t="str">
        <f>IF('Input Nilai Pengetahuan'!AK26="","",'Input Nilai Pengetahuan'!AK26)</f>
        <v/>
      </c>
      <c r="G29" s="220" t="str">
        <f>IF('Input Nilai Pengetahuan'!AS26="","",'Input Nilai Pengetahuan'!AS26)</f>
        <v/>
      </c>
      <c r="H29" s="220" t="str">
        <f>IF('Input Nilai Pengetahuan'!BA26="","",'Input Nilai Pengetahuan'!BA26)</f>
        <v/>
      </c>
      <c r="I29" s="220" t="str">
        <f>IF('Input Nilai Pengetahuan'!BI26="","",'Input Nilai Pengetahuan'!BI26)</f>
        <v/>
      </c>
      <c r="J29" s="220" t="str">
        <f>IF('Input Nilai Pengetahuan'!BQ26="","",'Input Nilai Pengetahuan'!BQ26)</f>
        <v/>
      </c>
      <c r="K29" s="220" t="str">
        <f>IF('Input Nilai Pengetahuan'!BY26="","",'Input Nilai Pengetahuan'!BY26)</f>
        <v/>
      </c>
      <c r="L29" s="220" t="str">
        <f>IF('Input Nilai Pengetahuan'!CG26="","",'Input Nilai Pengetahuan'!CG26)</f>
        <v/>
      </c>
      <c r="M29" s="221">
        <f>IF('Input Nilai Ketrampilan'!J26="","",('Input Nilai Ketrampilan'!J26))</f>
        <v>80</v>
      </c>
      <c r="N29" s="221">
        <f>IF('Input Nilai Ketrampilan'!O26="","",'Input Nilai Ketrampilan'!O26)</f>
        <v>80</v>
      </c>
      <c r="O29" s="221">
        <f>IF('Input Nilai Ketrampilan'!T26="","",'Input Nilai Ketrampilan'!T26)</f>
        <v>80</v>
      </c>
      <c r="P29" s="221">
        <f>IF('Input Nilai Ketrampilan'!Y26="","",'Input Nilai Ketrampilan'!Y26)</f>
        <v>80</v>
      </c>
      <c r="Q29" s="221" t="str">
        <f>IF('Input Nilai Ketrampilan'!AD26="","",'Input Nilai Ketrampilan'!AD26)</f>
        <v/>
      </c>
      <c r="R29" s="221" t="str">
        <f>IF('Input Nilai Ketrampilan'!AI26="","",'Input Nilai Ketrampilan'!AI26)</f>
        <v/>
      </c>
      <c r="S29" s="221" t="str">
        <f>IF('Input Nilai Ketrampilan'!AN26="","",'Input Nilai Ketrampilan'!AN26)</f>
        <v/>
      </c>
      <c r="T29" s="221" t="str">
        <f>IF('Input Nilai Ketrampilan'!AS26="","",'Input Nilai Ketrampilan'!AS26)</f>
        <v/>
      </c>
      <c r="U29" s="221" t="str">
        <f>IF('Input Nilai Ketrampilan'!AX26="","",'Input Nilai Ketrampilan'!AX26)</f>
        <v/>
      </c>
      <c r="V29" s="221" t="str">
        <f>IF('Input Nilai Ketrampilan'!BC26="","",'Input Nilai Ketrampilan'!BC26)</f>
        <v/>
      </c>
      <c r="W29" s="222">
        <f>IF('Input Nilai Pengetahuan'!CK26="","",'Input Nilai Pengetahuan'!CK26)</f>
        <v>60</v>
      </c>
    </row>
    <row r="30" spans="1:23">
      <c r="A30" s="121">
        <f>'DATA SISWA'!A27</f>
        <v>23</v>
      </c>
      <c r="B30" s="122" t="str">
        <f>'DATA SISWA'!C27</f>
        <v>MOHAMMAD RAMADAN PURNOMO</v>
      </c>
      <c r="C30" s="220">
        <f>IF('Input Nilai Pengetahuan'!M27="","",'Input Nilai Pengetahuan'!M27)</f>
        <v>77.5</v>
      </c>
      <c r="D30" s="220">
        <f>IF('Input Nilai Pengetahuan'!U27="","",'Input Nilai Pengetahuan'!U27)</f>
        <v>80</v>
      </c>
      <c r="E30" s="220" t="str">
        <f>IF('Input Nilai Pengetahuan'!AC27="","",'Input Nilai Pengetahuan'!AC27)</f>
        <v/>
      </c>
      <c r="F30" s="220" t="str">
        <f>IF('Input Nilai Pengetahuan'!AK27="","",'Input Nilai Pengetahuan'!AK27)</f>
        <v/>
      </c>
      <c r="G30" s="220" t="str">
        <f>IF('Input Nilai Pengetahuan'!AS27="","",'Input Nilai Pengetahuan'!AS27)</f>
        <v/>
      </c>
      <c r="H30" s="220" t="str">
        <f>IF('Input Nilai Pengetahuan'!BA27="","",'Input Nilai Pengetahuan'!BA27)</f>
        <v/>
      </c>
      <c r="I30" s="220" t="str">
        <f>IF('Input Nilai Pengetahuan'!BI27="","",'Input Nilai Pengetahuan'!BI27)</f>
        <v/>
      </c>
      <c r="J30" s="220" t="str">
        <f>IF('Input Nilai Pengetahuan'!BQ27="","",'Input Nilai Pengetahuan'!BQ27)</f>
        <v/>
      </c>
      <c r="K30" s="220" t="str">
        <f>IF('Input Nilai Pengetahuan'!BY27="","",'Input Nilai Pengetahuan'!BY27)</f>
        <v/>
      </c>
      <c r="L30" s="220" t="str">
        <f>IF('Input Nilai Pengetahuan'!CG27="","",'Input Nilai Pengetahuan'!CG27)</f>
        <v/>
      </c>
      <c r="M30" s="221">
        <f>IF('Input Nilai Ketrampilan'!J27="","",('Input Nilai Ketrampilan'!J27))</f>
        <v>79</v>
      </c>
      <c r="N30" s="221">
        <f>IF('Input Nilai Ketrampilan'!O27="","",'Input Nilai Ketrampilan'!O27)</f>
        <v>79</v>
      </c>
      <c r="O30" s="221">
        <f>IF('Input Nilai Ketrampilan'!T27="","",'Input Nilai Ketrampilan'!T27)</f>
        <v>79</v>
      </c>
      <c r="P30" s="221">
        <f>IF('Input Nilai Ketrampilan'!Y27="","",'Input Nilai Ketrampilan'!Y27)</f>
        <v>79</v>
      </c>
      <c r="Q30" s="221" t="str">
        <f>IF('Input Nilai Ketrampilan'!AD27="","",'Input Nilai Ketrampilan'!AD27)</f>
        <v/>
      </c>
      <c r="R30" s="221" t="str">
        <f>IF('Input Nilai Ketrampilan'!AI27="","",'Input Nilai Ketrampilan'!AI27)</f>
        <v/>
      </c>
      <c r="S30" s="221" t="str">
        <f>IF('Input Nilai Ketrampilan'!AN27="","",'Input Nilai Ketrampilan'!AN27)</f>
        <v/>
      </c>
      <c r="T30" s="221" t="str">
        <f>IF('Input Nilai Ketrampilan'!AS27="","",'Input Nilai Ketrampilan'!AS27)</f>
        <v/>
      </c>
      <c r="U30" s="221" t="str">
        <f>IF('Input Nilai Ketrampilan'!AX27="","",'Input Nilai Ketrampilan'!AX27)</f>
        <v/>
      </c>
      <c r="V30" s="221" t="str">
        <f>IF('Input Nilai Ketrampilan'!BC27="","",'Input Nilai Ketrampilan'!BC27)</f>
        <v/>
      </c>
      <c r="W30" s="222">
        <f>IF('Input Nilai Pengetahuan'!CK27="","",'Input Nilai Pengetahuan'!CK27)</f>
        <v>55</v>
      </c>
    </row>
    <row r="31" spans="1:23">
      <c r="A31" s="121">
        <f>'DATA SISWA'!A28</f>
        <v>24</v>
      </c>
      <c r="B31" s="122" t="str">
        <f>'DATA SISWA'!C28</f>
        <v>MOHAMMAD ROFI'I</v>
      </c>
      <c r="C31" s="220">
        <f>IF('Input Nilai Pengetahuan'!M28="","",'Input Nilai Pengetahuan'!M28)</f>
        <v>85</v>
      </c>
      <c r="D31" s="220">
        <f>IF('Input Nilai Pengetahuan'!U28="","",'Input Nilai Pengetahuan'!U28)</f>
        <v>85</v>
      </c>
      <c r="E31" s="220" t="str">
        <f>IF('Input Nilai Pengetahuan'!AC28="","",'Input Nilai Pengetahuan'!AC28)</f>
        <v/>
      </c>
      <c r="F31" s="220" t="str">
        <f>IF('Input Nilai Pengetahuan'!AK28="","",'Input Nilai Pengetahuan'!AK28)</f>
        <v/>
      </c>
      <c r="G31" s="220" t="str">
        <f>IF('Input Nilai Pengetahuan'!AS28="","",'Input Nilai Pengetahuan'!AS28)</f>
        <v/>
      </c>
      <c r="H31" s="220" t="str">
        <f>IF('Input Nilai Pengetahuan'!BA28="","",'Input Nilai Pengetahuan'!BA28)</f>
        <v/>
      </c>
      <c r="I31" s="220" t="str">
        <f>IF('Input Nilai Pengetahuan'!BI28="","",'Input Nilai Pengetahuan'!BI28)</f>
        <v/>
      </c>
      <c r="J31" s="220" t="str">
        <f>IF('Input Nilai Pengetahuan'!BQ28="","",'Input Nilai Pengetahuan'!BQ28)</f>
        <v/>
      </c>
      <c r="K31" s="220" t="str">
        <f>IF('Input Nilai Pengetahuan'!BY28="","",'Input Nilai Pengetahuan'!BY28)</f>
        <v/>
      </c>
      <c r="L31" s="220" t="str">
        <f>IF('Input Nilai Pengetahuan'!CG28="","",'Input Nilai Pengetahuan'!CG28)</f>
        <v/>
      </c>
      <c r="M31" s="221">
        <f>IF('Input Nilai Ketrampilan'!J28="","",('Input Nilai Ketrampilan'!J28))</f>
        <v>78</v>
      </c>
      <c r="N31" s="221">
        <f>IF('Input Nilai Ketrampilan'!O28="","",'Input Nilai Ketrampilan'!O28)</f>
        <v>78</v>
      </c>
      <c r="O31" s="221">
        <f>IF('Input Nilai Ketrampilan'!T28="","",'Input Nilai Ketrampilan'!T28)</f>
        <v>78</v>
      </c>
      <c r="P31" s="221">
        <f>IF('Input Nilai Ketrampilan'!Y28="","",'Input Nilai Ketrampilan'!Y28)</f>
        <v>78</v>
      </c>
      <c r="Q31" s="221" t="str">
        <f>IF('Input Nilai Ketrampilan'!AD28="","",'Input Nilai Ketrampilan'!AD28)</f>
        <v/>
      </c>
      <c r="R31" s="221" t="str">
        <f>IF('Input Nilai Ketrampilan'!AI28="","",'Input Nilai Ketrampilan'!AI28)</f>
        <v/>
      </c>
      <c r="S31" s="221" t="str">
        <f>IF('Input Nilai Ketrampilan'!AN28="","",'Input Nilai Ketrampilan'!AN28)</f>
        <v/>
      </c>
      <c r="T31" s="221" t="str">
        <f>IF('Input Nilai Ketrampilan'!AS28="","",'Input Nilai Ketrampilan'!AS28)</f>
        <v/>
      </c>
      <c r="U31" s="221" t="str">
        <f>IF('Input Nilai Ketrampilan'!AX28="","",'Input Nilai Ketrampilan'!AX28)</f>
        <v/>
      </c>
      <c r="V31" s="221" t="str">
        <f>IF('Input Nilai Ketrampilan'!BC28="","",'Input Nilai Ketrampilan'!BC28)</f>
        <v/>
      </c>
      <c r="W31" s="222">
        <f>IF('Input Nilai Pengetahuan'!CK28="","",'Input Nilai Pengetahuan'!CK28)</f>
        <v>70</v>
      </c>
    </row>
    <row r="32" spans="1:23">
      <c r="A32" s="121">
        <f>'DATA SISWA'!A29</f>
        <v>25</v>
      </c>
      <c r="B32" s="122" t="str">
        <f>'DATA SISWA'!C29</f>
        <v>NI'MATUS SHOLIHA</v>
      </c>
      <c r="C32" s="220">
        <f>IF('Input Nilai Pengetahuan'!M29="","",'Input Nilai Pengetahuan'!M29)</f>
        <v>85</v>
      </c>
      <c r="D32" s="220">
        <f>IF('Input Nilai Pengetahuan'!U29="","",'Input Nilai Pengetahuan'!U29)</f>
        <v>85</v>
      </c>
      <c r="E32" s="220" t="str">
        <f>IF('Input Nilai Pengetahuan'!AC29="","",'Input Nilai Pengetahuan'!AC29)</f>
        <v/>
      </c>
      <c r="F32" s="220" t="str">
        <f>IF('Input Nilai Pengetahuan'!AK29="","",'Input Nilai Pengetahuan'!AK29)</f>
        <v/>
      </c>
      <c r="G32" s="220" t="str">
        <f>IF('Input Nilai Pengetahuan'!AS29="","",'Input Nilai Pengetahuan'!AS29)</f>
        <v/>
      </c>
      <c r="H32" s="220" t="str">
        <f>IF('Input Nilai Pengetahuan'!BA29="","",'Input Nilai Pengetahuan'!BA29)</f>
        <v/>
      </c>
      <c r="I32" s="220" t="str">
        <f>IF('Input Nilai Pengetahuan'!BI29="","",'Input Nilai Pengetahuan'!BI29)</f>
        <v/>
      </c>
      <c r="J32" s="220" t="str">
        <f>IF('Input Nilai Pengetahuan'!BQ29="","",'Input Nilai Pengetahuan'!BQ29)</f>
        <v/>
      </c>
      <c r="K32" s="220" t="str">
        <f>IF('Input Nilai Pengetahuan'!BY29="","",'Input Nilai Pengetahuan'!BY29)</f>
        <v/>
      </c>
      <c r="L32" s="220" t="str">
        <f>IF('Input Nilai Pengetahuan'!CG29="","",'Input Nilai Pengetahuan'!CG29)</f>
        <v/>
      </c>
      <c r="M32" s="221">
        <f>IF('Input Nilai Ketrampilan'!J29="","",('Input Nilai Ketrampilan'!J29))</f>
        <v>79</v>
      </c>
      <c r="N32" s="221">
        <f>IF('Input Nilai Ketrampilan'!O29="","",'Input Nilai Ketrampilan'!O29)</f>
        <v>79</v>
      </c>
      <c r="O32" s="221">
        <f>IF('Input Nilai Ketrampilan'!T29="","",'Input Nilai Ketrampilan'!T29)</f>
        <v>79</v>
      </c>
      <c r="P32" s="221">
        <f>IF('Input Nilai Ketrampilan'!Y29="","",'Input Nilai Ketrampilan'!Y29)</f>
        <v>79</v>
      </c>
      <c r="Q32" s="221" t="str">
        <f>IF('Input Nilai Ketrampilan'!AD29="","",'Input Nilai Ketrampilan'!AD29)</f>
        <v/>
      </c>
      <c r="R32" s="221" t="str">
        <f>IF('Input Nilai Ketrampilan'!AI29="","",'Input Nilai Ketrampilan'!AI29)</f>
        <v/>
      </c>
      <c r="S32" s="221" t="str">
        <f>IF('Input Nilai Ketrampilan'!AN29="","",'Input Nilai Ketrampilan'!AN29)</f>
        <v/>
      </c>
      <c r="T32" s="221" t="str">
        <f>IF('Input Nilai Ketrampilan'!AS29="","",'Input Nilai Ketrampilan'!AS29)</f>
        <v/>
      </c>
      <c r="U32" s="221" t="str">
        <f>IF('Input Nilai Ketrampilan'!AX29="","",'Input Nilai Ketrampilan'!AX29)</f>
        <v/>
      </c>
      <c r="V32" s="221" t="str">
        <f>IF('Input Nilai Ketrampilan'!BC29="","",'Input Nilai Ketrampilan'!BC29)</f>
        <v/>
      </c>
      <c r="W32" s="222">
        <f>IF('Input Nilai Pengetahuan'!CK29="","",'Input Nilai Pengetahuan'!CK29)</f>
        <v>66</v>
      </c>
    </row>
    <row r="33" spans="1:23">
      <c r="A33" s="121">
        <f>'DATA SISWA'!A30</f>
        <v>26</v>
      </c>
      <c r="B33" s="122" t="str">
        <f>'DATA SISWA'!C30</f>
        <v>PANJI FIKRI ISLAMI</v>
      </c>
      <c r="C33" s="220">
        <f>IF('Input Nilai Pengetahuan'!M30="","",'Input Nilai Pengetahuan'!M30)</f>
        <v>87.5</v>
      </c>
      <c r="D33" s="220">
        <f>IF('Input Nilai Pengetahuan'!U30="","",'Input Nilai Pengetahuan'!U30)</f>
        <v>85</v>
      </c>
      <c r="E33" s="220" t="str">
        <f>IF('Input Nilai Pengetahuan'!AC30="","",'Input Nilai Pengetahuan'!AC30)</f>
        <v/>
      </c>
      <c r="F33" s="220" t="str">
        <f>IF('Input Nilai Pengetahuan'!AK30="","",'Input Nilai Pengetahuan'!AK30)</f>
        <v/>
      </c>
      <c r="G33" s="220" t="str">
        <f>IF('Input Nilai Pengetahuan'!AS30="","",'Input Nilai Pengetahuan'!AS30)</f>
        <v/>
      </c>
      <c r="H33" s="220" t="str">
        <f>IF('Input Nilai Pengetahuan'!BA30="","",'Input Nilai Pengetahuan'!BA30)</f>
        <v/>
      </c>
      <c r="I33" s="220" t="str">
        <f>IF('Input Nilai Pengetahuan'!BI30="","",'Input Nilai Pengetahuan'!BI30)</f>
        <v/>
      </c>
      <c r="J33" s="220" t="str">
        <f>IF('Input Nilai Pengetahuan'!BQ30="","",'Input Nilai Pengetahuan'!BQ30)</f>
        <v/>
      </c>
      <c r="K33" s="220" t="str">
        <f>IF('Input Nilai Pengetahuan'!BY30="","",'Input Nilai Pengetahuan'!BY30)</f>
        <v/>
      </c>
      <c r="L33" s="220" t="str">
        <f>IF('Input Nilai Pengetahuan'!CG30="","",'Input Nilai Pengetahuan'!CG30)</f>
        <v/>
      </c>
      <c r="M33" s="221">
        <f>IF('Input Nilai Ketrampilan'!J30="","",('Input Nilai Ketrampilan'!J30))</f>
        <v>80</v>
      </c>
      <c r="N33" s="221">
        <f>IF('Input Nilai Ketrampilan'!O30="","",'Input Nilai Ketrampilan'!O30)</f>
        <v>80</v>
      </c>
      <c r="O33" s="221">
        <f>IF('Input Nilai Ketrampilan'!T30="","",'Input Nilai Ketrampilan'!T30)</f>
        <v>80</v>
      </c>
      <c r="P33" s="221">
        <f>IF('Input Nilai Ketrampilan'!Y30="","",'Input Nilai Ketrampilan'!Y30)</f>
        <v>80</v>
      </c>
      <c r="Q33" s="221" t="str">
        <f>IF('Input Nilai Ketrampilan'!AD30="","",'Input Nilai Ketrampilan'!AD30)</f>
        <v/>
      </c>
      <c r="R33" s="221" t="str">
        <f>IF('Input Nilai Ketrampilan'!AI30="","",'Input Nilai Ketrampilan'!AI30)</f>
        <v/>
      </c>
      <c r="S33" s="221" t="str">
        <f>IF('Input Nilai Ketrampilan'!AN30="","",'Input Nilai Ketrampilan'!AN30)</f>
        <v/>
      </c>
      <c r="T33" s="221" t="str">
        <f>IF('Input Nilai Ketrampilan'!AS30="","",'Input Nilai Ketrampilan'!AS30)</f>
        <v/>
      </c>
      <c r="U33" s="221" t="str">
        <f>IF('Input Nilai Ketrampilan'!AX30="","",'Input Nilai Ketrampilan'!AX30)</f>
        <v/>
      </c>
      <c r="V33" s="221" t="str">
        <f>IF('Input Nilai Ketrampilan'!BC30="","",'Input Nilai Ketrampilan'!BC30)</f>
        <v/>
      </c>
      <c r="W33" s="222">
        <f>IF('Input Nilai Pengetahuan'!CK30="","",'Input Nilai Pengetahuan'!CK30)</f>
        <v>66</v>
      </c>
    </row>
    <row r="34" spans="1:23">
      <c r="A34" s="121">
        <f>'DATA SISWA'!A31</f>
        <v>27</v>
      </c>
      <c r="B34" s="122" t="str">
        <f>'DATA SISWA'!C31</f>
        <v>RACMAT MAULIDI ABDANY</v>
      </c>
      <c r="C34" s="220">
        <f>IF('Input Nilai Pengetahuan'!M31="","",'Input Nilai Pengetahuan'!M31)</f>
        <v>85</v>
      </c>
      <c r="D34" s="220">
        <f>IF('Input Nilai Pengetahuan'!U31="","",'Input Nilai Pengetahuan'!U31)</f>
        <v>85</v>
      </c>
      <c r="E34" s="220" t="str">
        <f>IF('Input Nilai Pengetahuan'!AC31="","",'Input Nilai Pengetahuan'!AC31)</f>
        <v/>
      </c>
      <c r="F34" s="220" t="str">
        <f>IF('Input Nilai Pengetahuan'!AK31="","",'Input Nilai Pengetahuan'!AK31)</f>
        <v/>
      </c>
      <c r="G34" s="220" t="str">
        <f>IF('Input Nilai Pengetahuan'!AS31="","",'Input Nilai Pengetahuan'!AS31)</f>
        <v/>
      </c>
      <c r="H34" s="220" t="str">
        <f>IF('Input Nilai Pengetahuan'!BA31="","",'Input Nilai Pengetahuan'!BA31)</f>
        <v/>
      </c>
      <c r="I34" s="220" t="str">
        <f>IF('Input Nilai Pengetahuan'!BI31="","",'Input Nilai Pengetahuan'!BI31)</f>
        <v/>
      </c>
      <c r="J34" s="220" t="str">
        <f>IF('Input Nilai Pengetahuan'!BQ31="","",'Input Nilai Pengetahuan'!BQ31)</f>
        <v/>
      </c>
      <c r="K34" s="220" t="str">
        <f>IF('Input Nilai Pengetahuan'!BY31="","",'Input Nilai Pengetahuan'!BY31)</f>
        <v/>
      </c>
      <c r="L34" s="220" t="str">
        <f>IF('Input Nilai Pengetahuan'!CG31="","",'Input Nilai Pengetahuan'!CG31)</f>
        <v/>
      </c>
      <c r="M34" s="221">
        <f>IF('Input Nilai Ketrampilan'!J31="","",('Input Nilai Ketrampilan'!J31))</f>
        <v>80</v>
      </c>
      <c r="N34" s="221">
        <f>IF('Input Nilai Ketrampilan'!O31="","",'Input Nilai Ketrampilan'!O31)</f>
        <v>80</v>
      </c>
      <c r="O34" s="221">
        <f>IF('Input Nilai Ketrampilan'!T31="","",'Input Nilai Ketrampilan'!T31)</f>
        <v>80</v>
      </c>
      <c r="P34" s="221">
        <f>IF('Input Nilai Ketrampilan'!Y31="","",'Input Nilai Ketrampilan'!Y31)</f>
        <v>80</v>
      </c>
      <c r="Q34" s="221" t="str">
        <f>IF('Input Nilai Ketrampilan'!AD31="","",'Input Nilai Ketrampilan'!AD31)</f>
        <v/>
      </c>
      <c r="R34" s="221" t="str">
        <f>IF('Input Nilai Ketrampilan'!AI31="","",'Input Nilai Ketrampilan'!AI31)</f>
        <v/>
      </c>
      <c r="S34" s="221" t="str">
        <f>IF('Input Nilai Ketrampilan'!AN31="","",'Input Nilai Ketrampilan'!AN31)</f>
        <v/>
      </c>
      <c r="T34" s="221" t="str">
        <f>IF('Input Nilai Ketrampilan'!AS31="","",'Input Nilai Ketrampilan'!AS31)</f>
        <v/>
      </c>
      <c r="U34" s="221" t="str">
        <f>IF('Input Nilai Ketrampilan'!AX31="","",'Input Nilai Ketrampilan'!AX31)</f>
        <v/>
      </c>
      <c r="V34" s="221" t="str">
        <f>IF('Input Nilai Ketrampilan'!BC31="","",'Input Nilai Ketrampilan'!BC31)</f>
        <v/>
      </c>
      <c r="W34" s="222">
        <f>IF('Input Nilai Pengetahuan'!CK31="","",'Input Nilai Pengetahuan'!CK31)</f>
        <v>70</v>
      </c>
    </row>
    <row r="35" spans="1:23">
      <c r="A35" s="121">
        <f>'DATA SISWA'!A32</f>
        <v>28</v>
      </c>
      <c r="B35" s="122" t="str">
        <f>'DATA SISWA'!C32</f>
        <v>RAIHAN</v>
      </c>
      <c r="C35" s="220">
        <f>IF('Input Nilai Pengetahuan'!M32="","",'Input Nilai Pengetahuan'!M32)</f>
        <v>87.5</v>
      </c>
      <c r="D35" s="220">
        <f>IF('Input Nilai Pengetahuan'!U32="","",'Input Nilai Pengetahuan'!U32)</f>
        <v>85</v>
      </c>
      <c r="E35" s="220" t="str">
        <f>IF('Input Nilai Pengetahuan'!AC32="","",'Input Nilai Pengetahuan'!AC32)</f>
        <v/>
      </c>
      <c r="F35" s="220" t="str">
        <f>IF('Input Nilai Pengetahuan'!AK32="","",'Input Nilai Pengetahuan'!AK32)</f>
        <v/>
      </c>
      <c r="G35" s="220" t="str">
        <f>IF('Input Nilai Pengetahuan'!AS32="","",'Input Nilai Pengetahuan'!AS32)</f>
        <v/>
      </c>
      <c r="H35" s="220" t="str">
        <f>IF('Input Nilai Pengetahuan'!BA32="","",'Input Nilai Pengetahuan'!BA32)</f>
        <v/>
      </c>
      <c r="I35" s="220" t="str">
        <f>IF('Input Nilai Pengetahuan'!BI32="","",'Input Nilai Pengetahuan'!BI32)</f>
        <v/>
      </c>
      <c r="J35" s="220" t="str">
        <f>IF('Input Nilai Pengetahuan'!BQ32="","",'Input Nilai Pengetahuan'!BQ32)</f>
        <v/>
      </c>
      <c r="K35" s="220" t="str">
        <f>IF('Input Nilai Pengetahuan'!BY32="","",'Input Nilai Pengetahuan'!BY32)</f>
        <v/>
      </c>
      <c r="L35" s="220" t="str">
        <f>IF('Input Nilai Pengetahuan'!CG32="","",'Input Nilai Pengetahuan'!CG32)</f>
        <v/>
      </c>
      <c r="M35" s="221">
        <f>IF('Input Nilai Ketrampilan'!J32="","",('Input Nilai Ketrampilan'!J32))</f>
        <v>79</v>
      </c>
      <c r="N35" s="221">
        <f>IF('Input Nilai Ketrampilan'!O32="","",'Input Nilai Ketrampilan'!O32)</f>
        <v>79</v>
      </c>
      <c r="O35" s="221">
        <f>IF('Input Nilai Ketrampilan'!T32="","",'Input Nilai Ketrampilan'!T32)</f>
        <v>79</v>
      </c>
      <c r="P35" s="221">
        <f>IF('Input Nilai Ketrampilan'!Y32="","",'Input Nilai Ketrampilan'!Y32)</f>
        <v>79</v>
      </c>
      <c r="Q35" s="221" t="str">
        <f>IF('Input Nilai Ketrampilan'!AD32="","",'Input Nilai Ketrampilan'!AD32)</f>
        <v/>
      </c>
      <c r="R35" s="221" t="str">
        <f>IF('Input Nilai Ketrampilan'!AI32="","",'Input Nilai Ketrampilan'!AI32)</f>
        <v/>
      </c>
      <c r="S35" s="221" t="str">
        <f>IF('Input Nilai Ketrampilan'!AN32="","",'Input Nilai Ketrampilan'!AN32)</f>
        <v/>
      </c>
      <c r="T35" s="221" t="str">
        <f>IF('Input Nilai Ketrampilan'!AS32="","",'Input Nilai Ketrampilan'!AS32)</f>
        <v/>
      </c>
      <c r="U35" s="221" t="str">
        <f>IF('Input Nilai Ketrampilan'!AX32="","",'Input Nilai Ketrampilan'!AX32)</f>
        <v/>
      </c>
      <c r="V35" s="221" t="str">
        <f>IF('Input Nilai Ketrampilan'!BC32="","",'Input Nilai Ketrampilan'!BC32)</f>
        <v/>
      </c>
      <c r="W35" s="222">
        <f>IF('Input Nilai Pengetahuan'!CK32="","",'Input Nilai Pengetahuan'!CK32)</f>
        <v>60</v>
      </c>
    </row>
    <row r="36" spans="1:23">
      <c r="A36" s="121">
        <f>'DATA SISWA'!A33</f>
        <v>29</v>
      </c>
      <c r="B36" s="122" t="str">
        <f>'DATA SISWA'!C33</f>
        <v>REFITA ANNASTASYA</v>
      </c>
      <c r="C36" s="220">
        <f>IF('Input Nilai Pengetahuan'!M33="","",'Input Nilai Pengetahuan'!M33)</f>
        <v>90</v>
      </c>
      <c r="D36" s="220">
        <f>IF('Input Nilai Pengetahuan'!U33="","",'Input Nilai Pengetahuan'!U33)</f>
        <v>87.5</v>
      </c>
      <c r="E36" s="220" t="str">
        <f>IF('Input Nilai Pengetahuan'!AC33="","",'Input Nilai Pengetahuan'!AC33)</f>
        <v/>
      </c>
      <c r="F36" s="220" t="str">
        <f>IF('Input Nilai Pengetahuan'!AK33="","",'Input Nilai Pengetahuan'!AK33)</f>
        <v/>
      </c>
      <c r="G36" s="220" t="str">
        <f>IF('Input Nilai Pengetahuan'!AS33="","",'Input Nilai Pengetahuan'!AS33)</f>
        <v/>
      </c>
      <c r="H36" s="220" t="str">
        <f>IF('Input Nilai Pengetahuan'!BA33="","",'Input Nilai Pengetahuan'!BA33)</f>
        <v/>
      </c>
      <c r="I36" s="220" t="str">
        <f>IF('Input Nilai Pengetahuan'!BI33="","",'Input Nilai Pengetahuan'!BI33)</f>
        <v/>
      </c>
      <c r="J36" s="220" t="str">
        <f>IF('Input Nilai Pengetahuan'!BQ33="","",'Input Nilai Pengetahuan'!BQ33)</f>
        <v/>
      </c>
      <c r="K36" s="220" t="str">
        <f>IF('Input Nilai Pengetahuan'!BY33="","",'Input Nilai Pengetahuan'!BY33)</f>
        <v/>
      </c>
      <c r="L36" s="220" t="str">
        <f>IF('Input Nilai Pengetahuan'!CG33="","",'Input Nilai Pengetahuan'!CG33)</f>
        <v/>
      </c>
      <c r="M36" s="221">
        <f>IF('Input Nilai Ketrampilan'!J33="","",('Input Nilai Ketrampilan'!J33))</f>
        <v>78</v>
      </c>
      <c r="N36" s="221">
        <f>IF('Input Nilai Ketrampilan'!O33="","",'Input Nilai Ketrampilan'!O33)</f>
        <v>78</v>
      </c>
      <c r="O36" s="221">
        <f>IF('Input Nilai Ketrampilan'!T33="","",'Input Nilai Ketrampilan'!T33)</f>
        <v>78</v>
      </c>
      <c r="P36" s="221">
        <f>IF('Input Nilai Ketrampilan'!Y33="","",'Input Nilai Ketrampilan'!Y33)</f>
        <v>78</v>
      </c>
      <c r="Q36" s="221" t="str">
        <f>IF('Input Nilai Ketrampilan'!AD33="","",'Input Nilai Ketrampilan'!AD33)</f>
        <v/>
      </c>
      <c r="R36" s="221" t="str">
        <f>IF('Input Nilai Ketrampilan'!AI33="","",'Input Nilai Ketrampilan'!AI33)</f>
        <v/>
      </c>
      <c r="S36" s="221" t="str">
        <f>IF('Input Nilai Ketrampilan'!AN33="","",'Input Nilai Ketrampilan'!AN33)</f>
        <v/>
      </c>
      <c r="T36" s="221" t="str">
        <f>IF('Input Nilai Ketrampilan'!AS33="","",'Input Nilai Ketrampilan'!AS33)</f>
        <v/>
      </c>
      <c r="U36" s="221" t="str">
        <f>IF('Input Nilai Ketrampilan'!AX33="","",'Input Nilai Ketrampilan'!AX33)</f>
        <v/>
      </c>
      <c r="V36" s="221" t="str">
        <f>IF('Input Nilai Ketrampilan'!BC33="","",'Input Nilai Ketrampilan'!BC33)</f>
        <v/>
      </c>
      <c r="W36" s="222">
        <f>IF('Input Nilai Pengetahuan'!CK33="","",'Input Nilai Pengetahuan'!CK33)</f>
        <v>55</v>
      </c>
    </row>
    <row r="37" spans="1:23">
      <c r="A37" s="121">
        <f>'DATA SISWA'!A34</f>
        <v>30</v>
      </c>
      <c r="B37" s="122" t="str">
        <f>'DATA SISWA'!C34</f>
        <v>RISKIYAH</v>
      </c>
      <c r="C37" s="220">
        <f>IF('Input Nilai Pengetahuan'!M34="","",'Input Nilai Pengetahuan'!M34)</f>
        <v>85</v>
      </c>
      <c r="D37" s="220">
        <f>IF('Input Nilai Pengetahuan'!U34="","",'Input Nilai Pengetahuan'!U34)</f>
        <v>87.5</v>
      </c>
      <c r="E37" s="220" t="str">
        <f>IF('Input Nilai Pengetahuan'!AC34="","",'Input Nilai Pengetahuan'!AC34)</f>
        <v/>
      </c>
      <c r="F37" s="220" t="str">
        <f>IF('Input Nilai Pengetahuan'!AK34="","",'Input Nilai Pengetahuan'!AK34)</f>
        <v/>
      </c>
      <c r="G37" s="220" t="str">
        <f>IF('Input Nilai Pengetahuan'!AS34="","",'Input Nilai Pengetahuan'!AS34)</f>
        <v/>
      </c>
      <c r="H37" s="220" t="str">
        <f>IF('Input Nilai Pengetahuan'!BA34="","",'Input Nilai Pengetahuan'!BA34)</f>
        <v/>
      </c>
      <c r="I37" s="220" t="str">
        <f>IF('Input Nilai Pengetahuan'!BI34="","",'Input Nilai Pengetahuan'!BI34)</f>
        <v/>
      </c>
      <c r="J37" s="220" t="str">
        <f>IF('Input Nilai Pengetahuan'!BQ34="","",'Input Nilai Pengetahuan'!BQ34)</f>
        <v/>
      </c>
      <c r="K37" s="220" t="str">
        <f>IF('Input Nilai Pengetahuan'!BY34="","",'Input Nilai Pengetahuan'!BY34)</f>
        <v/>
      </c>
      <c r="L37" s="220" t="str">
        <f>IF('Input Nilai Pengetahuan'!CG34="","",'Input Nilai Pengetahuan'!CG34)</f>
        <v/>
      </c>
      <c r="M37" s="221">
        <f>IF('Input Nilai Ketrampilan'!J34="","",('Input Nilai Ketrampilan'!J34))</f>
        <v>79</v>
      </c>
      <c r="N37" s="221">
        <f>IF('Input Nilai Ketrampilan'!O34="","",'Input Nilai Ketrampilan'!O34)</f>
        <v>79</v>
      </c>
      <c r="O37" s="221">
        <f>IF('Input Nilai Ketrampilan'!T34="","",'Input Nilai Ketrampilan'!T34)</f>
        <v>79</v>
      </c>
      <c r="P37" s="221">
        <f>IF('Input Nilai Ketrampilan'!Y34="","",'Input Nilai Ketrampilan'!Y34)</f>
        <v>79</v>
      </c>
      <c r="Q37" s="221" t="str">
        <f>IF('Input Nilai Ketrampilan'!AD34="","",'Input Nilai Ketrampilan'!AD34)</f>
        <v/>
      </c>
      <c r="R37" s="221" t="str">
        <f>IF('Input Nilai Ketrampilan'!AI34="","",'Input Nilai Ketrampilan'!AI34)</f>
        <v/>
      </c>
      <c r="S37" s="221" t="str">
        <f>IF('Input Nilai Ketrampilan'!AN34="","",'Input Nilai Ketrampilan'!AN34)</f>
        <v/>
      </c>
      <c r="T37" s="221" t="str">
        <f>IF('Input Nilai Ketrampilan'!AS34="","",'Input Nilai Ketrampilan'!AS34)</f>
        <v/>
      </c>
      <c r="U37" s="221" t="str">
        <f>IF('Input Nilai Ketrampilan'!AX34="","",'Input Nilai Ketrampilan'!AX34)</f>
        <v/>
      </c>
      <c r="V37" s="221" t="str">
        <f>IF('Input Nilai Ketrampilan'!BC34="","",'Input Nilai Ketrampilan'!BC34)</f>
        <v/>
      </c>
      <c r="W37" s="222">
        <f>IF('Input Nilai Pengetahuan'!CK34="","",'Input Nilai Pengetahuan'!CK34)</f>
        <v>66</v>
      </c>
    </row>
    <row r="38" spans="1:23">
      <c r="A38" s="121">
        <f>'DATA SISWA'!A35</f>
        <v>31</v>
      </c>
      <c r="B38" s="122" t="str">
        <f>'DATA SISWA'!C35</f>
        <v>SALILATUL HUSNA</v>
      </c>
      <c r="C38" s="220">
        <f>IF('Input Nilai Pengetahuan'!M35="","",'Input Nilai Pengetahuan'!M35)</f>
        <v>85</v>
      </c>
      <c r="D38" s="220">
        <f>IF('Input Nilai Pengetahuan'!U35="","",'Input Nilai Pengetahuan'!U35)</f>
        <v>85</v>
      </c>
      <c r="E38" s="220" t="str">
        <f>IF('Input Nilai Pengetahuan'!AC35="","",'Input Nilai Pengetahuan'!AC35)</f>
        <v/>
      </c>
      <c r="F38" s="220" t="str">
        <f>IF('Input Nilai Pengetahuan'!AK35="","",'Input Nilai Pengetahuan'!AK35)</f>
        <v/>
      </c>
      <c r="G38" s="220" t="str">
        <f>IF('Input Nilai Pengetahuan'!AS35="","",'Input Nilai Pengetahuan'!AS35)</f>
        <v/>
      </c>
      <c r="H38" s="220" t="str">
        <f>IF('Input Nilai Pengetahuan'!BA35="","",'Input Nilai Pengetahuan'!BA35)</f>
        <v/>
      </c>
      <c r="I38" s="220" t="str">
        <f>IF('Input Nilai Pengetahuan'!BI35="","",'Input Nilai Pengetahuan'!BI35)</f>
        <v/>
      </c>
      <c r="J38" s="220" t="str">
        <f>IF('Input Nilai Pengetahuan'!BQ35="","",'Input Nilai Pengetahuan'!BQ35)</f>
        <v/>
      </c>
      <c r="K38" s="220" t="str">
        <f>IF('Input Nilai Pengetahuan'!BY35="","",'Input Nilai Pengetahuan'!BY35)</f>
        <v/>
      </c>
      <c r="L38" s="220" t="str">
        <f>IF('Input Nilai Pengetahuan'!CG35="","",'Input Nilai Pengetahuan'!CG35)</f>
        <v/>
      </c>
      <c r="M38" s="221">
        <f>IF('Input Nilai Ketrampilan'!J35="","",('Input Nilai Ketrampilan'!J35))</f>
        <v>80</v>
      </c>
      <c r="N38" s="221">
        <f>IF('Input Nilai Ketrampilan'!O35="","",'Input Nilai Ketrampilan'!O35)</f>
        <v>80</v>
      </c>
      <c r="O38" s="221">
        <f>IF('Input Nilai Ketrampilan'!T35="","",'Input Nilai Ketrampilan'!T35)</f>
        <v>80</v>
      </c>
      <c r="P38" s="221">
        <f>IF('Input Nilai Ketrampilan'!Y35="","",'Input Nilai Ketrampilan'!Y35)</f>
        <v>80</v>
      </c>
      <c r="Q38" s="221" t="str">
        <f>IF('Input Nilai Ketrampilan'!AD35="","",'Input Nilai Ketrampilan'!AD35)</f>
        <v/>
      </c>
      <c r="R38" s="221" t="str">
        <f>IF('Input Nilai Ketrampilan'!AI35="","",'Input Nilai Ketrampilan'!AI35)</f>
        <v/>
      </c>
      <c r="S38" s="221" t="str">
        <f>IF('Input Nilai Ketrampilan'!AN35="","",'Input Nilai Ketrampilan'!AN35)</f>
        <v/>
      </c>
      <c r="T38" s="221" t="str">
        <f>IF('Input Nilai Ketrampilan'!AS35="","",'Input Nilai Ketrampilan'!AS35)</f>
        <v/>
      </c>
      <c r="U38" s="221" t="str">
        <f>IF('Input Nilai Ketrampilan'!AX35="","",'Input Nilai Ketrampilan'!AX35)</f>
        <v/>
      </c>
      <c r="V38" s="221" t="str">
        <f>IF('Input Nilai Ketrampilan'!BC35="","",'Input Nilai Ketrampilan'!BC35)</f>
        <v/>
      </c>
      <c r="W38" s="222">
        <f>IF('Input Nilai Pengetahuan'!CK35="","",'Input Nilai Pengetahuan'!CK35)</f>
        <v>66</v>
      </c>
    </row>
    <row r="39" spans="1:23">
      <c r="A39" s="121">
        <f>'DATA SISWA'!A36</f>
        <v>32</v>
      </c>
      <c r="B39" s="122" t="str">
        <f>'DATA SISWA'!C36</f>
        <v>SALMA NABILA</v>
      </c>
      <c r="C39" s="220">
        <f>IF('Input Nilai Pengetahuan'!M36="","",'Input Nilai Pengetahuan'!M36)</f>
        <v>90</v>
      </c>
      <c r="D39" s="220">
        <f>IF('Input Nilai Pengetahuan'!U36="","",'Input Nilai Pengetahuan'!U36)</f>
        <v>87.5</v>
      </c>
      <c r="E39" s="220" t="str">
        <f>IF('Input Nilai Pengetahuan'!AC36="","",'Input Nilai Pengetahuan'!AC36)</f>
        <v/>
      </c>
      <c r="F39" s="220" t="str">
        <f>IF('Input Nilai Pengetahuan'!AK36="","",'Input Nilai Pengetahuan'!AK36)</f>
        <v/>
      </c>
      <c r="G39" s="220" t="str">
        <f>IF('Input Nilai Pengetahuan'!AS36="","",'Input Nilai Pengetahuan'!AS36)</f>
        <v/>
      </c>
      <c r="H39" s="220" t="str">
        <f>IF('Input Nilai Pengetahuan'!BA36="","",'Input Nilai Pengetahuan'!BA36)</f>
        <v/>
      </c>
      <c r="I39" s="220" t="str">
        <f>IF('Input Nilai Pengetahuan'!BI36="","",'Input Nilai Pengetahuan'!BI36)</f>
        <v/>
      </c>
      <c r="J39" s="220" t="str">
        <f>IF('Input Nilai Pengetahuan'!BQ36="","",'Input Nilai Pengetahuan'!BQ36)</f>
        <v/>
      </c>
      <c r="K39" s="220" t="str">
        <f>IF('Input Nilai Pengetahuan'!BY36="","",'Input Nilai Pengetahuan'!BY36)</f>
        <v/>
      </c>
      <c r="L39" s="220" t="str">
        <f>IF('Input Nilai Pengetahuan'!CG36="","",'Input Nilai Pengetahuan'!CG36)</f>
        <v/>
      </c>
      <c r="M39" s="221">
        <f>IF('Input Nilai Ketrampilan'!J36="","",('Input Nilai Ketrampilan'!J36))</f>
        <v>80</v>
      </c>
      <c r="N39" s="221">
        <f>IF('Input Nilai Ketrampilan'!O36="","",'Input Nilai Ketrampilan'!O36)</f>
        <v>80</v>
      </c>
      <c r="O39" s="221">
        <f>IF('Input Nilai Ketrampilan'!T36="","",'Input Nilai Ketrampilan'!T36)</f>
        <v>80</v>
      </c>
      <c r="P39" s="221">
        <f>IF('Input Nilai Ketrampilan'!Y36="","",'Input Nilai Ketrampilan'!Y36)</f>
        <v>80</v>
      </c>
      <c r="Q39" s="221" t="str">
        <f>IF('Input Nilai Ketrampilan'!AD36="","",'Input Nilai Ketrampilan'!AD36)</f>
        <v/>
      </c>
      <c r="R39" s="221" t="str">
        <f>IF('Input Nilai Ketrampilan'!AI36="","",'Input Nilai Ketrampilan'!AI36)</f>
        <v/>
      </c>
      <c r="S39" s="221" t="str">
        <f>IF('Input Nilai Ketrampilan'!AN36="","",'Input Nilai Ketrampilan'!AN36)</f>
        <v/>
      </c>
      <c r="T39" s="221" t="str">
        <f>IF('Input Nilai Ketrampilan'!AS36="","",'Input Nilai Ketrampilan'!AS36)</f>
        <v/>
      </c>
      <c r="U39" s="221" t="str">
        <f>IF('Input Nilai Ketrampilan'!AX36="","",'Input Nilai Ketrampilan'!AX36)</f>
        <v/>
      </c>
      <c r="V39" s="221" t="str">
        <f>IF('Input Nilai Ketrampilan'!BC36="","",'Input Nilai Ketrampilan'!BC36)</f>
        <v/>
      </c>
      <c r="W39" s="222">
        <f>IF('Input Nilai Pengetahuan'!CK36="","",'Input Nilai Pengetahuan'!CK36)</f>
        <v>60</v>
      </c>
    </row>
    <row r="40" spans="1:23">
      <c r="A40" s="121">
        <f>'DATA SISWA'!A37</f>
        <v>33</v>
      </c>
      <c r="B40" s="122" t="str">
        <f>'DATA SISWA'!C37</f>
        <v>SITI AINUR ROHIMAH</v>
      </c>
      <c r="C40" s="220">
        <f>IF('Input Nilai Pengetahuan'!M37="","",'Input Nilai Pengetahuan'!M37)</f>
        <v>90</v>
      </c>
      <c r="D40" s="220">
        <f>IF('Input Nilai Pengetahuan'!U37="","",'Input Nilai Pengetahuan'!U37)</f>
        <v>87.5</v>
      </c>
      <c r="E40" s="220" t="str">
        <f>IF('Input Nilai Pengetahuan'!AC37="","",'Input Nilai Pengetahuan'!AC37)</f>
        <v/>
      </c>
      <c r="F40" s="220" t="str">
        <f>IF('Input Nilai Pengetahuan'!AK37="","",'Input Nilai Pengetahuan'!AK37)</f>
        <v/>
      </c>
      <c r="G40" s="220" t="str">
        <f>IF('Input Nilai Pengetahuan'!AS37="","",'Input Nilai Pengetahuan'!AS37)</f>
        <v/>
      </c>
      <c r="H40" s="220" t="str">
        <f>IF('Input Nilai Pengetahuan'!BA37="","",'Input Nilai Pengetahuan'!BA37)</f>
        <v/>
      </c>
      <c r="I40" s="220" t="str">
        <f>IF('Input Nilai Pengetahuan'!BI37="","",'Input Nilai Pengetahuan'!BI37)</f>
        <v/>
      </c>
      <c r="J40" s="220" t="str">
        <f>IF('Input Nilai Pengetahuan'!BQ37="","",'Input Nilai Pengetahuan'!BQ37)</f>
        <v/>
      </c>
      <c r="K40" s="220" t="str">
        <f>IF('Input Nilai Pengetahuan'!BY37="","",'Input Nilai Pengetahuan'!BY37)</f>
        <v/>
      </c>
      <c r="L40" s="220" t="str">
        <f>IF('Input Nilai Pengetahuan'!CG37="","",'Input Nilai Pengetahuan'!CG37)</f>
        <v/>
      </c>
      <c r="M40" s="221">
        <f>IF('Input Nilai Ketrampilan'!J37="","",('Input Nilai Ketrampilan'!J37))</f>
        <v>79</v>
      </c>
      <c r="N40" s="221">
        <f>IF('Input Nilai Ketrampilan'!O37="","",'Input Nilai Ketrampilan'!O37)</f>
        <v>79</v>
      </c>
      <c r="O40" s="221">
        <f>IF('Input Nilai Ketrampilan'!T37="","",'Input Nilai Ketrampilan'!T37)</f>
        <v>79</v>
      </c>
      <c r="P40" s="221">
        <f>IF('Input Nilai Ketrampilan'!Y37="","",'Input Nilai Ketrampilan'!Y37)</f>
        <v>79</v>
      </c>
      <c r="Q40" s="221" t="str">
        <f>IF('Input Nilai Ketrampilan'!AD37="","",'Input Nilai Ketrampilan'!AD37)</f>
        <v/>
      </c>
      <c r="R40" s="221" t="str">
        <f>IF('Input Nilai Ketrampilan'!AI37="","",'Input Nilai Ketrampilan'!AI37)</f>
        <v/>
      </c>
      <c r="S40" s="221" t="str">
        <f>IF('Input Nilai Ketrampilan'!AN37="","",'Input Nilai Ketrampilan'!AN37)</f>
        <v/>
      </c>
      <c r="T40" s="221" t="str">
        <f>IF('Input Nilai Ketrampilan'!AS37="","",'Input Nilai Ketrampilan'!AS37)</f>
        <v/>
      </c>
      <c r="U40" s="221" t="str">
        <f>IF('Input Nilai Ketrampilan'!AX37="","",'Input Nilai Ketrampilan'!AX37)</f>
        <v/>
      </c>
      <c r="V40" s="221" t="str">
        <f>IF('Input Nilai Ketrampilan'!BC37="","",'Input Nilai Ketrampilan'!BC37)</f>
        <v/>
      </c>
      <c r="W40" s="222">
        <f>IF('Input Nilai Pengetahuan'!CK37="","",'Input Nilai Pengetahuan'!CK37)</f>
        <v>60</v>
      </c>
    </row>
    <row r="41" spans="1:23">
      <c r="A41" s="121">
        <f>'DATA SISWA'!A38</f>
        <v>34</v>
      </c>
      <c r="B41" s="122" t="str">
        <f>'DATA SISWA'!C38</f>
        <v>SYARIF HIDAYATULLOH</v>
      </c>
      <c r="C41" s="220">
        <f>IF('Input Nilai Pengetahuan'!M38="","",'Input Nilai Pengetahuan'!M38)</f>
        <v>85</v>
      </c>
      <c r="D41" s="220">
        <f>IF('Input Nilai Pengetahuan'!U38="","",'Input Nilai Pengetahuan'!U38)</f>
        <v>85</v>
      </c>
      <c r="E41" s="220" t="str">
        <f>IF('Input Nilai Pengetahuan'!AC38="","",'Input Nilai Pengetahuan'!AC38)</f>
        <v/>
      </c>
      <c r="F41" s="220" t="str">
        <f>IF('Input Nilai Pengetahuan'!AK38="","",'Input Nilai Pengetahuan'!AK38)</f>
        <v/>
      </c>
      <c r="G41" s="220" t="str">
        <f>IF('Input Nilai Pengetahuan'!AS38="","",'Input Nilai Pengetahuan'!AS38)</f>
        <v/>
      </c>
      <c r="H41" s="220" t="str">
        <f>IF('Input Nilai Pengetahuan'!BA38="","",'Input Nilai Pengetahuan'!BA38)</f>
        <v/>
      </c>
      <c r="I41" s="220" t="str">
        <f>IF('Input Nilai Pengetahuan'!BI38="","",'Input Nilai Pengetahuan'!BI38)</f>
        <v/>
      </c>
      <c r="J41" s="220" t="str">
        <f>IF('Input Nilai Pengetahuan'!BQ38="","",'Input Nilai Pengetahuan'!BQ38)</f>
        <v/>
      </c>
      <c r="K41" s="220" t="str">
        <f>IF('Input Nilai Pengetahuan'!BY38="","",'Input Nilai Pengetahuan'!BY38)</f>
        <v/>
      </c>
      <c r="L41" s="220" t="str">
        <f>IF('Input Nilai Pengetahuan'!CG38="","",'Input Nilai Pengetahuan'!CG38)</f>
        <v/>
      </c>
      <c r="M41" s="221">
        <f>IF('Input Nilai Ketrampilan'!J38="","",('Input Nilai Ketrampilan'!J38))</f>
        <v>78</v>
      </c>
      <c r="N41" s="221">
        <f>IF('Input Nilai Ketrampilan'!O38="","",'Input Nilai Ketrampilan'!O38)</f>
        <v>78</v>
      </c>
      <c r="O41" s="221">
        <f>IF('Input Nilai Ketrampilan'!T38="","",'Input Nilai Ketrampilan'!T38)</f>
        <v>78</v>
      </c>
      <c r="P41" s="221">
        <f>IF('Input Nilai Ketrampilan'!Y38="","",'Input Nilai Ketrampilan'!Y38)</f>
        <v>78</v>
      </c>
      <c r="Q41" s="221" t="str">
        <f>IF('Input Nilai Ketrampilan'!AD38="","",'Input Nilai Ketrampilan'!AD38)</f>
        <v/>
      </c>
      <c r="R41" s="221" t="str">
        <f>IF('Input Nilai Ketrampilan'!AI38="","",'Input Nilai Ketrampilan'!AI38)</f>
        <v/>
      </c>
      <c r="S41" s="221" t="str">
        <f>IF('Input Nilai Ketrampilan'!AN38="","",'Input Nilai Ketrampilan'!AN38)</f>
        <v/>
      </c>
      <c r="T41" s="221" t="str">
        <f>IF('Input Nilai Ketrampilan'!AS38="","",'Input Nilai Ketrampilan'!AS38)</f>
        <v/>
      </c>
      <c r="U41" s="221" t="str">
        <f>IF('Input Nilai Ketrampilan'!AX38="","",'Input Nilai Ketrampilan'!AX38)</f>
        <v/>
      </c>
      <c r="V41" s="221" t="str">
        <f>IF('Input Nilai Ketrampilan'!BC38="","",'Input Nilai Ketrampilan'!BC38)</f>
        <v/>
      </c>
      <c r="W41" s="222">
        <f>IF('Input Nilai Pengetahuan'!CK38="","",'Input Nilai Pengetahuan'!CK38)</f>
        <v>60</v>
      </c>
    </row>
    <row r="42" spans="1:23">
      <c r="A42" s="121">
        <f>'DATA SISWA'!A39</f>
        <v>35</v>
      </c>
      <c r="B42" s="122" t="str">
        <f>'DATA SISWA'!C39</f>
        <v>URVIA ZAHNA ROHANDY</v>
      </c>
      <c r="C42" s="220">
        <f>IF('Input Nilai Pengetahuan'!M39="","",'Input Nilai Pengetahuan'!M39)</f>
        <v>85</v>
      </c>
      <c r="D42" s="220">
        <f>IF('Input Nilai Pengetahuan'!U39="","",'Input Nilai Pengetahuan'!U39)</f>
        <v>85</v>
      </c>
      <c r="E42" s="220" t="str">
        <f>IF('Input Nilai Pengetahuan'!AC39="","",'Input Nilai Pengetahuan'!AC39)</f>
        <v/>
      </c>
      <c r="F42" s="220" t="str">
        <f>IF('Input Nilai Pengetahuan'!AK39="","",'Input Nilai Pengetahuan'!AK39)</f>
        <v/>
      </c>
      <c r="G42" s="220" t="str">
        <f>IF('Input Nilai Pengetahuan'!AS39="","",'Input Nilai Pengetahuan'!AS39)</f>
        <v/>
      </c>
      <c r="H42" s="220" t="str">
        <f>IF('Input Nilai Pengetahuan'!BA39="","",'Input Nilai Pengetahuan'!BA39)</f>
        <v/>
      </c>
      <c r="I42" s="220" t="str">
        <f>IF('Input Nilai Pengetahuan'!BI39="","",'Input Nilai Pengetahuan'!BI39)</f>
        <v/>
      </c>
      <c r="J42" s="220" t="str">
        <f>IF('Input Nilai Pengetahuan'!BQ39="","",'Input Nilai Pengetahuan'!BQ39)</f>
        <v/>
      </c>
      <c r="K42" s="220" t="str">
        <f>IF('Input Nilai Pengetahuan'!BY39="","",'Input Nilai Pengetahuan'!BY39)</f>
        <v/>
      </c>
      <c r="L42" s="220" t="str">
        <f>IF('Input Nilai Pengetahuan'!CG39="","",'Input Nilai Pengetahuan'!CG39)</f>
        <v/>
      </c>
      <c r="M42" s="221">
        <f>IF('Input Nilai Ketrampilan'!J39="","",('Input Nilai Ketrampilan'!J39))</f>
        <v>79</v>
      </c>
      <c r="N42" s="221">
        <f>IF('Input Nilai Ketrampilan'!O39="","",'Input Nilai Ketrampilan'!O39)</f>
        <v>79</v>
      </c>
      <c r="O42" s="221">
        <f>IF('Input Nilai Ketrampilan'!T39="","",'Input Nilai Ketrampilan'!T39)</f>
        <v>79</v>
      </c>
      <c r="P42" s="221">
        <f>IF('Input Nilai Ketrampilan'!Y39="","",'Input Nilai Ketrampilan'!Y39)</f>
        <v>79</v>
      </c>
      <c r="Q42" s="221" t="str">
        <f>IF('Input Nilai Ketrampilan'!AD39="","",'Input Nilai Ketrampilan'!AD39)</f>
        <v/>
      </c>
      <c r="R42" s="221" t="str">
        <f>IF('Input Nilai Ketrampilan'!AI39="","",'Input Nilai Ketrampilan'!AI39)</f>
        <v/>
      </c>
      <c r="S42" s="221" t="str">
        <f>IF('Input Nilai Ketrampilan'!AN39="","",'Input Nilai Ketrampilan'!AN39)</f>
        <v/>
      </c>
      <c r="T42" s="221" t="str">
        <f>IF('Input Nilai Ketrampilan'!AS39="","",'Input Nilai Ketrampilan'!AS39)</f>
        <v/>
      </c>
      <c r="U42" s="221" t="str">
        <f>IF('Input Nilai Ketrampilan'!AX39="","",'Input Nilai Ketrampilan'!AX39)</f>
        <v/>
      </c>
      <c r="V42" s="221" t="str">
        <f>IF('Input Nilai Ketrampilan'!BC39="","",'Input Nilai Ketrampilan'!BC39)</f>
        <v/>
      </c>
      <c r="W42" s="222">
        <f>IF('Input Nilai Pengetahuan'!CK39="","",'Input Nilai Pengetahuan'!CK39)</f>
        <v>55</v>
      </c>
    </row>
    <row r="43" spans="1:23">
      <c r="A43" s="121">
        <f>'DATA SISWA'!A40</f>
        <v>36</v>
      </c>
      <c r="B43" s="122">
        <f>'DATA SISWA'!C40</f>
        <v>0</v>
      </c>
      <c r="C43" s="220" t="str">
        <f>IF('Input Nilai Pengetahuan'!M40="","",'Input Nilai Pengetahuan'!M40)</f>
        <v/>
      </c>
      <c r="D43" s="220" t="str">
        <f>IF('Input Nilai Pengetahuan'!U40="","",'Input Nilai Pengetahuan'!U40)</f>
        <v/>
      </c>
      <c r="E43" s="220" t="str">
        <f>IF('Input Nilai Pengetahuan'!AC40="","",'Input Nilai Pengetahuan'!AC40)</f>
        <v/>
      </c>
      <c r="F43" s="220" t="str">
        <f>IF('Input Nilai Pengetahuan'!AK40="","",'Input Nilai Pengetahuan'!AK40)</f>
        <v/>
      </c>
      <c r="G43" s="220" t="str">
        <f>IF('Input Nilai Pengetahuan'!AS40="","",'Input Nilai Pengetahuan'!AS40)</f>
        <v/>
      </c>
      <c r="H43" s="220" t="str">
        <f>IF('Input Nilai Pengetahuan'!BA40="","",'Input Nilai Pengetahuan'!BA40)</f>
        <v/>
      </c>
      <c r="I43" s="220" t="str">
        <f>IF('Input Nilai Pengetahuan'!BI40="","",'Input Nilai Pengetahuan'!BI40)</f>
        <v/>
      </c>
      <c r="J43" s="220" t="str">
        <f>IF('Input Nilai Pengetahuan'!BQ40="","",'Input Nilai Pengetahuan'!BQ40)</f>
        <v/>
      </c>
      <c r="K43" s="220" t="str">
        <f>IF('Input Nilai Pengetahuan'!BY40="","",'Input Nilai Pengetahuan'!BY40)</f>
        <v/>
      </c>
      <c r="L43" s="220" t="str">
        <f>IF('Input Nilai Pengetahuan'!CG40="","",'Input Nilai Pengetahuan'!CG40)</f>
        <v/>
      </c>
      <c r="M43" s="221" t="str">
        <f>IF('Input Nilai Ketrampilan'!J40="","",('Input Nilai Ketrampilan'!J40))</f>
        <v/>
      </c>
      <c r="N43" s="221" t="str">
        <f>IF('Input Nilai Ketrampilan'!O40="","",'Input Nilai Ketrampilan'!O40)</f>
        <v/>
      </c>
      <c r="O43" s="221" t="str">
        <f>IF('Input Nilai Ketrampilan'!T40="","",'Input Nilai Ketrampilan'!T40)</f>
        <v/>
      </c>
      <c r="P43" s="221" t="str">
        <f>IF('Input Nilai Ketrampilan'!Y40="","",'Input Nilai Ketrampilan'!Y40)</f>
        <v/>
      </c>
      <c r="Q43" s="221" t="str">
        <f>IF('Input Nilai Ketrampilan'!AD40="","",'Input Nilai Ketrampilan'!AD40)</f>
        <v/>
      </c>
      <c r="R43" s="221" t="str">
        <f>IF('Input Nilai Ketrampilan'!AI40="","",'Input Nilai Ketrampilan'!AI40)</f>
        <v/>
      </c>
      <c r="S43" s="221" t="str">
        <f>IF('Input Nilai Ketrampilan'!AN40="","",'Input Nilai Ketrampilan'!AN40)</f>
        <v/>
      </c>
      <c r="T43" s="221" t="str">
        <f>IF('Input Nilai Ketrampilan'!AS40="","",'Input Nilai Ketrampilan'!AS40)</f>
        <v/>
      </c>
      <c r="U43" s="221" t="str">
        <f>IF('Input Nilai Ketrampilan'!AX40="","",'Input Nilai Ketrampilan'!AX40)</f>
        <v/>
      </c>
      <c r="V43" s="221" t="str">
        <f>IF('Input Nilai Ketrampilan'!BC40="","",'Input Nilai Ketrampilan'!BC40)</f>
        <v/>
      </c>
      <c r="W43" s="222" t="str">
        <f>IF('Input Nilai Pengetahuan'!CK40="","",'Input Nilai Pengetahuan'!CK40)</f>
        <v/>
      </c>
    </row>
    <row r="44" spans="1:23">
      <c r="A44" s="121">
        <f>'DATA SISWA'!A41</f>
        <v>37</v>
      </c>
      <c r="B44" s="122">
        <f>'DATA SISWA'!C41</f>
        <v>0</v>
      </c>
      <c r="C44" s="220" t="str">
        <f>IF('Input Nilai Pengetahuan'!M41="","",'Input Nilai Pengetahuan'!M41)</f>
        <v/>
      </c>
      <c r="D44" s="220" t="str">
        <f>IF('Input Nilai Pengetahuan'!U41="","",'Input Nilai Pengetahuan'!U41)</f>
        <v/>
      </c>
      <c r="E44" s="220" t="str">
        <f>IF('Input Nilai Pengetahuan'!AC41="","",'Input Nilai Pengetahuan'!AC41)</f>
        <v/>
      </c>
      <c r="F44" s="220" t="str">
        <f>IF('Input Nilai Pengetahuan'!AK41="","",'Input Nilai Pengetahuan'!AK41)</f>
        <v/>
      </c>
      <c r="G44" s="220" t="str">
        <f>IF('Input Nilai Pengetahuan'!AS41="","",'Input Nilai Pengetahuan'!AS41)</f>
        <v/>
      </c>
      <c r="H44" s="220" t="str">
        <f>IF('Input Nilai Pengetahuan'!BA41="","",'Input Nilai Pengetahuan'!BA41)</f>
        <v/>
      </c>
      <c r="I44" s="220" t="str">
        <f>IF('Input Nilai Pengetahuan'!BI41="","",'Input Nilai Pengetahuan'!BI41)</f>
        <v/>
      </c>
      <c r="J44" s="220" t="str">
        <f>IF('Input Nilai Pengetahuan'!BQ41="","",'Input Nilai Pengetahuan'!BQ41)</f>
        <v/>
      </c>
      <c r="K44" s="220" t="str">
        <f>IF('Input Nilai Pengetahuan'!BY41="","",'Input Nilai Pengetahuan'!BY41)</f>
        <v/>
      </c>
      <c r="L44" s="220" t="str">
        <f>IF('Input Nilai Pengetahuan'!CG41="","",'Input Nilai Pengetahuan'!CG41)</f>
        <v/>
      </c>
      <c r="M44" s="221" t="str">
        <f>IF('Input Nilai Ketrampilan'!J41="","",('Input Nilai Ketrampilan'!J41))</f>
        <v/>
      </c>
      <c r="N44" s="221" t="str">
        <f>IF('Input Nilai Ketrampilan'!O41="","",'Input Nilai Ketrampilan'!O41)</f>
        <v/>
      </c>
      <c r="O44" s="221" t="str">
        <f>IF('Input Nilai Ketrampilan'!T41="","",'Input Nilai Ketrampilan'!T41)</f>
        <v/>
      </c>
      <c r="P44" s="221" t="str">
        <f>IF('Input Nilai Ketrampilan'!Y41="","",'Input Nilai Ketrampilan'!Y41)</f>
        <v/>
      </c>
      <c r="Q44" s="221" t="str">
        <f>IF('Input Nilai Ketrampilan'!AD41="","",'Input Nilai Ketrampilan'!AD41)</f>
        <v/>
      </c>
      <c r="R44" s="221" t="str">
        <f>IF('Input Nilai Ketrampilan'!AI41="","",'Input Nilai Ketrampilan'!AI41)</f>
        <v/>
      </c>
      <c r="S44" s="221" t="str">
        <f>IF('Input Nilai Ketrampilan'!AN41="","",'Input Nilai Ketrampilan'!AN41)</f>
        <v/>
      </c>
      <c r="T44" s="221" t="str">
        <f>IF('Input Nilai Ketrampilan'!AS41="","",'Input Nilai Ketrampilan'!AS41)</f>
        <v/>
      </c>
      <c r="U44" s="221" t="str">
        <f>IF('Input Nilai Ketrampilan'!AX41="","",'Input Nilai Ketrampilan'!AX41)</f>
        <v/>
      </c>
      <c r="V44" s="221" t="str">
        <f>IF('Input Nilai Ketrampilan'!BC41="","",'Input Nilai Ketrampilan'!BC41)</f>
        <v/>
      </c>
      <c r="W44" s="222" t="str">
        <f>IF('Input Nilai Pengetahuan'!CK41="","",'Input Nilai Pengetahuan'!CK41)</f>
        <v/>
      </c>
    </row>
    <row r="45" spans="1:23">
      <c r="A45" s="121">
        <f>'DATA SISWA'!A42</f>
        <v>38</v>
      </c>
      <c r="B45" s="122">
        <f>'DATA SISWA'!C42</f>
        <v>0</v>
      </c>
      <c r="C45" s="220" t="str">
        <f>IF('Input Nilai Pengetahuan'!M42="","",'Input Nilai Pengetahuan'!M42)</f>
        <v/>
      </c>
      <c r="D45" s="220" t="str">
        <f>IF('Input Nilai Pengetahuan'!U42="","",'Input Nilai Pengetahuan'!U42)</f>
        <v/>
      </c>
      <c r="E45" s="220" t="str">
        <f>IF('Input Nilai Pengetahuan'!AC42="","",'Input Nilai Pengetahuan'!AC42)</f>
        <v/>
      </c>
      <c r="F45" s="220" t="str">
        <f>IF('Input Nilai Pengetahuan'!AK42="","",'Input Nilai Pengetahuan'!AK42)</f>
        <v/>
      </c>
      <c r="G45" s="220" t="str">
        <f>IF('Input Nilai Pengetahuan'!AS42="","",'Input Nilai Pengetahuan'!AS42)</f>
        <v/>
      </c>
      <c r="H45" s="220" t="str">
        <f>IF('Input Nilai Pengetahuan'!BA42="","",'Input Nilai Pengetahuan'!BA42)</f>
        <v/>
      </c>
      <c r="I45" s="220" t="str">
        <f>IF('Input Nilai Pengetahuan'!BI42="","",'Input Nilai Pengetahuan'!BI42)</f>
        <v/>
      </c>
      <c r="J45" s="220" t="str">
        <f>IF('Input Nilai Pengetahuan'!BQ42="","",'Input Nilai Pengetahuan'!BQ42)</f>
        <v/>
      </c>
      <c r="K45" s="220" t="str">
        <f>IF('Input Nilai Pengetahuan'!BY42="","",'Input Nilai Pengetahuan'!BY42)</f>
        <v/>
      </c>
      <c r="L45" s="220" t="str">
        <f>IF('Input Nilai Pengetahuan'!CG42="","",'Input Nilai Pengetahuan'!CG42)</f>
        <v/>
      </c>
      <c r="M45" s="221" t="str">
        <f>IF('Input Nilai Ketrampilan'!J42="","",('Input Nilai Ketrampilan'!J42))</f>
        <v/>
      </c>
      <c r="N45" s="221" t="str">
        <f>IF('Input Nilai Ketrampilan'!O42="","",'Input Nilai Ketrampilan'!O42)</f>
        <v/>
      </c>
      <c r="O45" s="221" t="str">
        <f>IF('Input Nilai Ketrampilan'!T42="","",'Input Nilai Ketrampilan'!T42)</f>
        <v/>
      </c>
      <c r="P45" s="221" t="str">
        <f>IF('Input Nilai Ketrampilan'!Y42="","",'Input Nilai Ketrampilan'!Y42)</f>
        <v/>
      </c>
      <c r="Q45" s="221" t="str">
        <f>IF('Input Nilai Ketrampilan'!AD42="","",'Input Nilai Ketrampilan'!AD42)</f>
        <v/>
      </c>
      <c r="R45" s="221" t="str">
        <f>IF('Input Nilai Ketrampilan'!AI42="","",'Input Nilai Ketrampilan'!AI42)</f>
        <v/>
      </c>
      <c r="S45" s="221" t="str">
        <f>IF('Input Nilai Ketrampilan'!AN42="","",'Input Nilai Ketrampilan'!AN42)</f>
        <v/>
      </c>
      <c r="T45" s="221" t="str">
        <f>IF('Input Nilai Ketrampilan'!AS42="","",'Input Nilai Ketrampilan'!AS42)</f>
        <v/>
      </c>
      <c r="U45" s="221" t="str">
        <f>IF('Input Nilai Ketrampilan'!AX42="","",'Input Nilai Ketrampilan'!AX42)</f>
        <v/>
      </c>
      <c r="V45" s="221" t="str">
        <f>IF('Input Nilai Ketrampilan'!BC42="","",'Input Nilai Ketrampilan'!BC42)</f>
        <v/>
      </c>
      <c r="W45" s="222" t="str">
        <f>IF('Input Nilai Pengetahuan'!CK42="","",'Input Nilai Pengetahuan'!CK42)</f>
        <v/>
      </c>
    </row>
    <row r="46" spans="1:23">
      <c r="A46" s="121">
        <f>'DATA SISWA'!A43</f>
        <v>39</v>
      </c>
      <c r="B46" s="122">
        <f>'DATA SISWA'!C43</f>
        <v>0</v>
      </c>
      <c r="C46" s="220" t="str">
        <f>IF('Input Nilai Pengetahuan'!M43="","",'Input Nilai Pengetahuan'!M43)</f>
        <v/>
      </c>
      <c r="D46" s="220" t="str">
        <f>IF('Input Nilai Pengetahuan'!U43="","",'Input Nilai Pengetahuan'!U43)</f>
        <v/>
      </c>
      <c r="E46" s="220" t="str">
        <f>IF('Input Nilai Pengetahuan'!AC43="","",'Input Nilai Pengetahuan'!AC43)</f>
        <v/>
      </c>
      <c r="F46" s="220" t="str">
        <f>IF('Input Nilai Pengetahuan'!AK43="","",'Input Nilai Pengetahuan'!AK43)</f>
        <v/>
      </c>
      <c r="G46" s="220" t="str">
        <f>IF('Input Nilai Pengetahuan'!AS43="","",'Input Nilai Pengetahuan'!AS43)</f>
        <v/>
      </c>
      <c r="H46" s="220" t="str">
        <f>IF('Input Nilai Pengetahuan'!BA43="","",'Input Nilai Pengetahuan'!BA43)</f>
        <v/>
      </c>
      <c r="I46" s="220" t="str">
        <f>IF('Input Nilai Pengetahuan'!BI43="","",'Input Nilai Pengetahuan'!BI43)</f>
        <v/>
      </c>
      <c r="J46" s="220" t="str">
        <f>IF('Input Nilai Pengetahuan'!BQ43="","",'Input Nilai Pengetahuan'!BQ43)</f>
        <v/>
      </c>
      <c r="K46" s="220" t="str">
        <f>IF('Input Nilai Pengetahuan'!BY43="","",'Input Nilai Pengetahuan'!BY43)</f>
        <v/>
      </c>
      <c r="L46" s="220" t="str">
        <f>IF('Input Nilai Pengetahuan'!CG43="","",'Input Nilai Pengetahuan'!CG43)</f>
        <v/>
      </c>
      <c r="M46" s="221" t="str">
        <f>IF('Input Nilai Ketrampilan'!J43="","",('Input Nilai Ketrampilan'!J43))</f>
        <v/>
      </c>
      <c r="N46" s="221" t="str">
        <f>IF('Input Nilai Ketrampilan'!O43="","",'Input Nilai Ketrampilan'!O43)</f>
        <v/>
      </c>
      <c r="O46" s="221" t="str">
        <f>IF('Input Nilai Ketrampilan'!T43="","",'Input Nilai Ketrampilan'!T43)</f>
        <v/>
      </c>
      <c r="P46" s="221" t="str">
        <f>IF('Input Nilai Ketrampilan'!Y43="","",'Input Nilai Ketrampilan'!Y43)</f>
        <v/>
      </c>
      <c r="Q46" s="221" t="str">
        <f>IF('Input Nilai Ketrampilan'!AD43="","",'Input Nilai Ketrampilan'!AD43)</f>
        <v/>
      </c>
      <c r="R46" s="221" t="str">
        <f>IF('Input Nilai Ketrampilan'!AI43="","",'Input Nilai Ketrampilan'!AI43)</f>
        <v/>
      </c>
      <c r="S46" s="221" t="str">
        <f>IF('Input Nilai Ketrampilan'!AN43="","",'Input Nilai Ketrampilan'!AN43)</f>
        <v/>
      </c>
      <c r="T46" s="221" t="str">
        <f>IF('Input Nilai Ketrampilan'!AS43="","",'Input Nilai Ketrampilan'!AS43)</f>
        <v/>
      </c>
      <c r="U46" s="221" t="str">
        <f>IF('Input Nilai Ketrampilan'!AX43="","",'Input Nilai Ketrampilan'!AX43)</f>
        <v/>
      </c>
      <c r="V46" s="221" t="str">
        <f>IF('Input Nilai Ketrampilan'!BC43="","",'Input Nilai Ketrampilan'!BC43)</f>
        <v/>
      </c>
      <c r="W46" s="222" t="str">
        <f>IF('Input Nilai Pengetahuan'!CK43="","",'Input Nilai Pengetahuan'!CK43)</f>
        <v/>
      </c>
    </row>
    <row r="47" spans="1:23">
      <c r="A47" s="121">
        <f>'DATA SISWA'!A44</f>
        <v>40</v>
      </c>
      <c r="B47" s="122">
        <f>'DATA SISWA'!C44</f>
        <v>0</v>
      </c>
      <c r="C47" s="220" t="str">
        <f>IF('Input Nilai Pengetahuan'!M44="","",'Input Nilai Pengetahuan'!M44)</f>
        <v/>
      </c>
      <c r="D47" s="220" t="str">
        <f>IF('Input Nilai Pengetahuan'!U44="","",'Input Nilai Pengetahuan'!U44)</f>
        <v/>
      </c>
      <c r="E47" s="220" t="str">
        <f>IF('Input Nilai Pengetahuan'!AC44="","",'Input Nilai Pengetahuan'!AC44)</f>
        <v/>
      </c>
      <c r="F47" s="220" t="str">
        <f>IF('Input Nilai Pengetahuan'!AK44="","",'Input Nilai Pengetahuan'!AK44)</f>
        <v/>
      </c>
      <c r="G47" s="220" t="str">
        <f>IF('Input Nilai Pengetahuan'!AS44="","",'Input Nilai Pengetahuan'!AS44)</f>
        <v/>
      </c>
      <c r="H47" s="220" t="str">
        <f>IF('Input Nilai Pengetahuan'!BA44="","",'Input Nilai Pengetahuan'!BA44)</f>
        <v/>
      </c>
      <c r="I47" s="220" t="str">
        <f>IF('Input Nilai Pengetahuan'!BI44="","",'Input Nilai Pengetahuan'!BI44)</f>
        <v/>
      </c>
      <c r="J47" s="220" t="str">
        <f>IF('Input Nilai Pengetahuan'!BQ44="","",'Input Nilai Pengetahuan'!BQ44)</f>
        <v/>
      </c>
      <c r="K47" s="220" t="str">
        <f>IF('Input Nilai Pengetahuan'!BY44="","",'Input Nilai Pengetahuan'!BY44)</f>
        <v/>
      </c>
      <c r="L47" s="220" t="str">
        <f>IF('Input Nilai Pengetahuan'!CG44="","",'Input Nilai Pengetahuan'!CG44)</f>
        <v/>
      </c>
      <c r="M47" s="221" t="str">
        <f>IF('Input Nilai Ketrampilan'!J44="","",('Input Nilai Ketrampilan'!J44))</f>
        <v/>
      </c>
      <c r="N47" s="221" t="str">
        <f>IF('Input Nilai Ketrampilan'!O44="","",'Input Nilai Ketrampilan'!O44)</f>
        <v/>
      </c>
      <c r="O47" s="221" t="str">
        <f>IF('Input Nilai Ketrampilan'!T44="","",'Input Nilai Ketrampilan'!T44)</f>
        <v/>
      </c>
      <c r="P47" s="221" t="str">
        <f>IF('Input Nilai Ketrampilan'!Y44="","",'Input Nilai Ketrampilan'!Y44)</f>
        <v/>
      </c>
      <c r="Q47" s="221" t="str">
        <f>IF('Input Nilai Ketrampilan'!AD44="","",'Input Nilai Ketrampilan'!AD44)</f>
        <v/>
      </c>
      <c r="R47" s="221" t="str">
        <f>IF('Input Nilai Ketrampilan'!AI44="","",'Input Nilai Ketrampilan'!AI44)</f>
        <v/>
      </c>
      <c r="S47" s="221" t="str">
        <f>IF('Input Nilai Ketrampilan'!AN44="","",'Input Nilai Ketrampilan'!AN44)</f>
        <v/>
      </c>
      <c r="T47" s="221" t="str">
        <f>IF('Input Nilai Ketrampilan'!AS44="","",'Input Nilai Ketrampilan'!AS44)</f>
        <v/>
      </c>
      <c r="U47" s="221" t="str">
        <f>IF('Input Nilai Ketrampilan'!AX44="","",'Input Nilai Ketrampilan'!AX44)</f>
        <v/>
      </c>
      <c r="V47" s="221" t="str">
        <f>IF('Input Nilai Ketrampilan'!BC44="","",'Input Nilai Ketrampilan'!BC44)</f>
        <v/>
      </c>
      <c r="W47" s="222" t="str">
        <f>IF('Input Nilai Pengetahuan'!CK44="","",'Input Nilai Pengetahuan'!CK44)</f>
        <v/>
      </c>
    </row>
    <row r="48" spans="1:23">
      <c r="A48" s="121">
        <f>'DATA SISWA'!A45</f>
        <v>41</v>
      </c>
      <c r="B48" s="122">
        <f>'DATA SISWA'!C45</f>
        <v>0</v>
      </c>
      <c r="C48" s="220" t="str">
        <f>IF('Input Nilai Pengetahuan'!M45="","",'Input Nilai Pengetahuan'!M45)</f>
        <v/>
      </c>
      <c r="D48" s="220" t="str">
        <f>IF('Input Nilai Pengetahuan'!U45="","",'Input Nilai Pengetahuan'!U45)</f>
        <v/>
      </c>
      <c r="E48" s="220" t="str">
        <f>IF('Input Nilai Pengetahuan'!AC45="","",'Input Nilai Pengetahuan'!AC45)</f>
        <v/>
      </c>
      <c r="F48" s="220" t="str">
        <f>IF('Input Nilai Pengetahuan'!AK45="","",'Input Nilai Pengetahuan'!AK45)</f>
        <v/>
      </c>
      <c r="G48" s="220" t="str">
        <f>IF('Input Nilai Pengetahuan'!AS45="","",'Input Nilai Pengetahuan'!AS45)</f>
        <v/>
      </c>
      <c r="H48" s="220" t="str">
        <f>IF('Input Nilai Pengetahuan'!BA45="","",'Input Nilai Pengetahuan'!BA45)</f>
        <v/>
      </c>
      <c r="I48" s="220" t="str">
        <f>IF('Input Nilai Pengetahuan'!BI45="","",'Input Nilai Pengetahuan'!BI45)</f>
        <v/>
      </c>
      <c r="J48" s="220" t="str">
        <f>IF('Input Nilai Pengetahuan'!BQ45="","",'Input Nilai Pengetahuan'!BQ45)</f>
        <v/>
      </c>
      <c r="K48" s="220" t="str">
        <f>IF('Input Nilai Pengetahuan'!BY45="","",'Input Nilai Pengetahuan'!BY45)</f>
        <v/>
      </c>
      <c r="L48" s="220" t="str">
        <f>IF('Input Nilai Pengetahuan'!CG45="","",'Input Nilai Pengetahuan'!CG45)</f>
        <v/>
      </c>
      <c r="M48" s="221" t="str">
        <f>IF('Input Nilai Ketrampilan'!J45="","",('Input Nilai Ketrampilan'!J45))</f>
        <v/>
      </c>
      <c r="N48" s="221" t="str">
        <f>IF('Input Nilai Ketrampilan'!O45="","",'Input Nilai Ketrampilan'!O45)</f>
        <v/>
      </c>
      <c r="O48" s="221" t="str">
        <f>IF('Input Nilai Ketrampilan'!T45="","",'Input Nilai Ketrampilan'!T45)</f>
        <v/>
      </c>
      <c r="P48" s="221" t="str">
        <f>IF('Input Nilai Ketrampilan'!Y45="","",'Input Nilai Ketrampilan'!Y45)</f>
        <v/>
      </c>
      <c r="Q48" s="221" t="str">
        <f>IF('Input Nilai Ketrampilan'!AD45="","",'Input Nilai Ketrampilan'!AD45)</f>
        <v/>
      </c>
      <c r="R48" s="221" t="str">
        <f>IF('Input Nilai Ketrampilan'!AI45="","",'Input Nilai Ketrampilan'!AI45)</f>
        <v/>
      </c>
      <c r="S48" s="221" t="str">
        <f>IF('Input Nilai Ketrampilan'!AN45="","",'Input Nilai Ketrampilan'!AN45)</f>
        <v/>
      </c>
      <c r="T48" s="221" t="str">
        <f>IF('Input Nilai Ketrampilan'!AS45="","",'Input Nilai Ketrampilan'!AS45)</f>
        <v/>
      </c>
      <c r="U48" s="221" t="str">
        <f>IF('Input Nilai Ketrampilan'!AX45="","",'Input Nilai Ketrampilan'!AX45)</f>
        <v/>
      </c>
      <c r="V48" s="221" t="str">
        <f>IF('Input Nilai Ketrampilan'!BC45="","",'Input Nilai Ketrampilan'!BC45)</f>
        <v/>
      </c>
      <c r="W48" s="222" t="str">
        <f>IF('Input Nilai Pengetahuan'!CK45="","",'Input Nilai Pengetahuan'!CK45)</f>
        <v/>
      </c>
    </row>
    <row r="49" spans="1:23">
      <c r="A49" s="121">
        <f>'DATA SISWA'!A46</f>
        <v>42</v>
      </c>
      <c r="B49" s="122">
        <f>'DATA SISWA'!C46</f>
        <v>0</v>
      </c>
      <c r="C49" s="220" t="str">
        <f>IF('Input Nilai Pengetahuan'!M46="","",'Input Nilai Pengetahuan'!M46)</f>
        <v/>
      </c>
      <c r="D49" s="220" t="str">
        <f>IF('Input Nilai Pengetahuan'!U46="","",'Input Nilai Pengetahuan'!U46)</f>
        <v/>
      </c>
      <c r="E49" s="220" t="str">
        <f>IF('Input Nilai Pengetahuan'!AC46="","",'Input Nilai Pengetahuan'!AC46)</f>
        <v/>
      </c>
      <c r="F49" s="220" t="str">
        <f>IF('Input Nilai Pengetahuan'!AK46="","",'Input Nilai Pengetahuan'!AK46)</f>
        <v/>
      </c>
      <c r="G49" s="220" t="str">
        <f>IF('Input Nilai Pengetahuan'!AS46="","",'Input Nilai Pengetahuan'!AS46)</f>
        <v/>
      </c>
      <c r="H49" s="220" t="str">
        <f>IF('Input Nilai Pengetahuan'!BA46="","",'Input Nilai Pengetahuan'!BA46)</f>
        <v/>
      </c>
      <c r="I49" s="220" t="str">
        <f>IF('Input Nilai Pengetahuan'!BI46="","",'Input Nilai Pengetahuan'!BI46)</f>
        <v/>
      </c>
      <c r="J49" s="220" t="str">
        <f>IF('Input Nilai Pengetahuan'!BQ46="","",'Input Nilai Pengetahuan'!BQ46)</f>
        <v/>
      </c>
      <c r="K49" s="220" t="str">
        <f>IF('Input Nilai Pengetahuan'!BY46="","",'Input Nilai Pengetahuan'!BY46)</f>
        <v/>
      </c>
      <c r="L49" s="220" t="str">
        <f>IF('Input Nilai Pengetahuan'!CG46="","",'Input Nilai Pengetahuan'!CG46)</f>
        <v/>
      </c>
      <c r="M49" s="221" t="str">
        <f>IF('Input Nilai Ketrampilan'!J46="","",('Input Nilai Ketrampilan'!J46))</f>
        <v/>
      </c>
      <c r="N49" s="221" t="str">
        <f>IF('Input Nilai Ketrampilan'!O46="","",'Input Nilai Ketrampilan'!O46)</f>
        <v/>
      </c>
      <c r="O49" s="221" t="str">
        <f>IF('Input Nilai Ketrampilan'!T46="","",'Input Nilai Ketrampilan'!T46)</f>
        <v/>
      </c>
      <c r="P49" s="221" t="str">
        <f>IF('Input Nilai Ketrampilan'!Y46="","",'Input Nilai Ketrampilan'!Y46)</f>
        <v/>
      </c>
      <c r="Q49" s="221" t="str">
        <f>IF('Input Nilai Ketrampilan'!AD46="","",'Input Nilai Ketrampilan'!AD46)</f>
        <v/>
      </c>
      <c r="R49" s="221" t="str">
        <f>IF('Input Nilai Ketrampilan'!AI46="","",'Input Nilai Ketrampilan'!AI46)</f>
        <v/>
      </c>
      <c r="S49" s="221" t="str">
        <f>IF('Input Nilai Ketrampilan'!AN46="","",'Input Nilai Ketrampilan'!AN46)</f>
        <v/>
      </c>
      <c r="T49" s="221" t="str">
        <f>IF('Input Nilai Ketrampilan'!AS46="","",'Input Nilai Ketrampilan'!AS46)</f>
        <v/>
      </c>
      <c r="U49" s="221" t="str">
        <f>IF('Input Nilai Ketrampilan'!AX46="","",'Input Nilai Ketrampilan'!AX46)</f>
        <v/>
      </c>
      <c r="V49" s="221" t="str">
        <f>IF('Input Nilai Ketrampilan'!BC46="","",'Input Nilai Ketrampilan'!BC46)</f>
        <v/>
      </c>
      <c r="W49" s="222" t="str">
        <f>IF('Input Nilai Pengetahuan'!CK46="","",'Input Nilai Pengetahuan'!CK46)</f>
        <v/>
      </c>
    </row>
    <row r="50" spans="1:23">
      <c r="A50" s="121">
        <f>'DATA SISWA'!A47</f>
        <v>43</v>
      </c>
      <c r="B50" s="122">
        <f>'DATA SISWA'!C47</f>
        <v>0</v>
      </c>
      <c r="C50" s="220" t="str">
        <f>IF('Input Nilai Pengetahuan'!M47="","",'Input Nilai Pengetahuan'!M47)</f>
        <v/>
      </c>
      <c r="D50" s="220" t="str">
        <f>IF('Input Nilai Pengetahuan'!U47="","",'Input Nilai Pengetahuan'!U47)</f>
        <v/>
      </c>
      <c r="E50" s="220" t="str">
        <f>IF('Input Nilai Pengetahuan'!AC47="","",'Input Nilai Pengetahuan'!AC47)</f>
        <v/>
      </c>
      <c r="F50" s="220" t="str">
        <f>IF('Input Nilai Pengetahuan'!AK47="","",'Input Nilai Pengetahuan'!AK47)</f>
        <v/>
      </c>
      <c r="G50" s="220" t="str">
        <f>IF('Input Nilai Pengetahuan'!AS47="","",'Input Nilai Pengetahuan'!AS47)</f>
        <v/>
      </c>
      <c r="H50" s="220" t="str">
        <f>IF('Input Nilai Pengetahuan'!BA47="","",'Input Nilai Pengetahuan'!BA47)</f>
        <v/>
      </c>
      <c r="I50" s="220" t="str">
        <f>IF('Input Nilai Pengetahuan'!BI47="","",'Input Nilai Pengetahuan'!BI47)</f>
        <v/>
      </c>
      <c r="J50" s="220" t="str">
        <f>IF('Input Nilai Pengetahuan'!BQ47="","",'Input Nilai Pengetahuan'!BQ47)</f>
        <v/>
      </c>
      <c r="K50" s="220" t="str">
        <f>IF('Input Nilai Pengetahuan'!BY47="","",'Input Nilai Pengetahuan'!BY47)</f>
        <v/>
      </c>
      <c r="L50" s="220" t="str">
        <f>IF('Input Nilai Pengetahuan'!CG47="","",'Input Nilai Pengetahuan'!CG47)</f>
        <v/>
      </c>
      <c r="M50" s="221" t="str">
        <f>IF('Input Nilai Ketrampilan'!J47="","",('Input Nilai Ketrampilan'!J47))</f>
        <v/>
      </c>
      <c r="N50" s="221" t="str">
        <f>IF('Input Nilai Ketrampilan'!O47="","",'Input Nilai Ketrampilan'!O47)</f>
        <v/>
      </c>
      <c r="O50" s="221" t="str">
        <f>IF('Input Nilai Ketrampilan'!T47="","",'Input Nilai Ketrampilan'!T47)</f>
        <v/>
      </c>
      <c r="P50" s="221" t="str">
        <f>IF('Input Nilai Ketrampilan'!Y47="","",'Input Nilai Ketrampilan'!Y47)</f>
        <v/>
      </c>
      <c r="Q50" s="221" t="str">
        <f>IF('Input Nilai Ketrampilan'!AD47="","",'Input Nilai Ketrampilan'!AD47)</f>
        <v/>
      </c>
      <c r="R50" s="221" t="str">
        <f>IF('Input Nilai Ketrampilan'!AI47="","",'Input Nilai Ketrampilan'!AI47)</f>
        <v/>
      </c>
      <c r="S50" s="221" t="str">
        <f>IF('Input Nilai Ketrampilan'!AN47="","",'Input Nilai Ketrampilan'!AN47)</f>
        <v/>
      </c>
      <c r="T50" s="221" t="str">
        <f>IF('Input Nilai Ketrampilan'!AS47="","",'Input Nilai Ketrampilan'!AS47)</f>
        <v/>
      </c>
      <c r="U50" s="221" t="str">
        <f>IF('Input Nilai Ketrampilan'!AX47="","",'Input Nilai Ketrampilan'!AX47)</f>
        <v/>
      </c>
      <c r="V50" s="221" t="str">
        <f>IF('Input Nilai Ketrampilan'!BC47="","",'Input Nilai Ketrampilan'!BC47)</f>
        <v/>
      </c>
      <c r="W50" s="222" t="str">
        <f>IF('Input Nilai Pengetahuan'!CK47="","",'Input Nilai Pengetahuan'!CK47)</f>
        <v/>
      </c>
    </row>
    <row r="51" spans="1:23">
      <c r="A51" s="121">
        <f>'DATA SISWA'!A48</f>
        <v>44</v>
      </c>
      <c r="B51" s="122">
        <f>'DATA SISWA'!C48</f>
        <v>0</v>
      </c>
      <c r="C51" s="220" t="str">
        <f>IF('Input Nilai Pengetahuan'!M48="","",'Input Nilai Pengetahuan'!M48)</f>
        <v/>
      </c>
      <c r="D51" s="220" t="str">
        <f>IF('Input Nilai Pengetahuan'!U48="","",'Input Nilai Pengetahuan'!U48)</f>
        <v/>
      </c>
      <c r="E51" s="220" t="str">
        <f>IF('Input Nilai Pengetahuan'!AC48="","",'Input Nilai Pengetahuan'!AC48)</f>
        <v/>
      </c>
      <c r="F51" s="220" t="str">
        <f>IF('Input Nilai Pengetahuan'!AK48="","",'Input Nilai Pengetahuan'!AK48)</f>
        <v/>
      </c>
      <c r="G51" s="220" t="str">
        <f>IF('Input Nilai Pengetahuan'!AS48="","",'Input Nilai Pengetahuan'!AS48)</f>
        <v/>
      </c>
      <c r="H51" s="220" t="str">
        <f>IF('Input Nilai Pengetahuan'!BA48="","",'Input Nilai Pengetahuan'!BA48)</f>
        <v/>
      </c>
      <c r="I51" s="220" t="str">
        <f>IF('Input Nilai Pengetahuan'!BI48="","",'Input Nilai Pengetahuan'!BI48)</f>
        <v/>
      </c>
      <c r="J51" s="220" t="str">
        <f>IF('Input Nilai Pengetahuan'!BQ48="","",'Input Nilai Pengetahuan'!BQ48)</f>
        <v/>
      </c>
      <c r="K51" s="220" t="str">
        <f>IF('Input Nilai Pengetahuan'!BY48="","",'Input Nilai Pengetahuan'!BY48)</f>
        <v/>
      </c>
      <c r="L51" s="220" t="str">
        <f>IF('Input Nilai Pengetahuan'!CG48="","",'Input Nilai Pengetahuan'!CG48)</f>
        <v/>
      </c>
      <c r="M51" s="221" t="str">
        <f>IF('Input Nilai Ketrampilan'!J48="","",('Input Nilai Ketrampilan'!J48))</f>
        <v/>
      </c>
      <c r="N51" s="221" t="str">
        <f>IF('Input Nilai Ketrampilan'!O48="","",'Input Nilai Ketrampilan'!O48)</f>
        <v/>
      </c>
      <c r="O51" s="221" t="str">
        <f>IF('Input Nilai Ketrampilan'!T48="","",'Input Nilai Ketrampilan'!T48)</f>
        <v/>
      </c>
      <c r="P51" s="221" t="str">
        <f>IF('Input Nilai Ketrampilan'!Y48="","",'Input Nilai Ketrampilan'!Y48)</f>
        <v/>
      </c>
      <c r="Q51" s="221" t="str">
        <f>IF('Input Nilai Ketrampilan'!AD48="","",'Input Nilai Ketrampilan'!AD48)</f>
        <v/>
      </c>
      <c r="R51" s="221" t="str">
        <f>IF('Input Nilai Ketrampilan'!AI48="","",'Input Nilai Ketrampilan'!AI48)</f>
        <v/>
      </c>
      <c r="S51" s="221" t="str">
        <f>IF('Input Nilai Ketrampilan'!AN48="","",'Input Nilai Ketrampilan'!AN48)</f>
        <v/>
      </c>
      <c r="T51" s="221" t="str">
        <f>IF('Input Nilai Ketrampilan'!AS48="","",'Input Nilai Ketrampilan'!AS48)</f>
        <v/>
      </c>
      <c r="U51" s="221" t="str">
        <f>IF('Input Nilai Ketrampilan'!AX48="","",'Input Nilai Ketrampilan'!AX48)</f>
        <v/>
      </c>
      <c r="V51" s="221" t="str">
        <f>IF('Input Nilai Ketrampilan'!BC48="","",'Input Nilai Ketrampilan'!BC48)</f>
        <v/>
      </c>
      <c r="W51" s="222" t="str">
        <f>IF('Input Nilai Pengetahuan'!CK48="","",'Input Nilai Pengetahuan'!CK48)</f>
        <v/>
      </c>
    </row>
    <row r="52" spans="1:23">
      <c r="A52" s="121">
        <f>'DATA SISWA'!A49</f>
        <v>45</v>
      </c>
      <c r="B52" s="122">
        <f>'DATA SISWA'!C49</f>
        <v>0</v>
      </c>
      <c r="C52" s="220" t="str">
        <f>IF('Input Nilai Pengetahuan'!M49="","",'Input Nilai Pengetahuan'!M49)</f>
        <v/>
      </c>
      <c r="D52" s="220" t="str">
        <f>IF('Input Nilai Pengetahuan'!U49="","",'Input Nilai Pengetahuan'!U49)</f>
        <v/>
      </c>
      <c r="E52" s="220" t="str">
        <f>IF('Input Nilai Pengetahuan'!AC49="","",'Input Nilai Pengetahuan'!AC49)</f>
        <v/>
      </c>
      <c r="F52" s="220" t="str">
        <f>IF('Input Nilai Pengetahuan'!AK49="","",'Input Nilai Pengetahuan'!AK49)</f>
        <v/>
      </c>
      <c r="G52" s="220" t="str">
        <f>IF('Input Nilai Pengetahuan'!AS49="","",'Input Nilai Pengetahuan'!AS49)</f>
        <v/>
      </c>
      <c r="H52" s="220" t="str">
        <f>IF('Input Nilai Pengetahuan'!BA49="","",'Input Nilai Pengetahuan'!BA49)</f>
        <v/>
      </c>
      <c r="I52" s="220" t="str">
        <f>IF('Input Nilai Pengetahuan'!BI49="","",'Input Nilai Pengetahuan'!BI49)</f>
        <v/>
      </c>
      <c r="J52" s="220" t="str">
        <f>IF('Input Nilai Pengetahuan'!BQ49="","",'Input Nilai Pengetahuan'!BQ49)</f>
        <v/>
      </c>
      <c r="K52" s="220" t="str">
        <f>IF('Input Nilai Pengetahuan'!BY49="","",'Input Nilai Pengetahuan'!BY49)</f>
        <v/>
      </c>
      <c r="L52" s="220" t="str">
        <f>IF('Input Nilai Pengetahuan'!CG49="","",'Input Nilai Pengetahuan'!CG49)</f>
        <v/>
      </c>
      <c r="M52" s="221" t="str">
        <f>IF('Input Nilai Ketrampilan'!J49="","",('Input Nilai Ketrampilan'!J49))</f>
        <v/>
      </c>
      <c r="N52" s="221" t="str">
        <f>IF('Input Nilai Ketrampilan'!O49="","",'Input Nilai Ketrampilan'!O49)</f>
        <v/>
      </c>
      <c r="O52" s="221" t="str">
        <f>IF('Input Nilai Ketrampilan'!T49="","",'Input Nilai Ketrampilan'!T49)</f>
        <v/>
      </c>
      <c r="P52" s="221" t="str">
        <f>IF('Input Nilai Ketrampilan'!Y49="","",'Input Nilai Ketrampilan'!Y49)</f>
        <v/>
      </c>
      <c r="Q52" s="221" t="str">
        <f>IF('Input Nilai Ketrampilan'!AD49="","",'Input Nilai Ketrampilan'!AD49)</f>
        <v/>
      </c>
      <c r="R52" s="221" t="str">
        <f>IF('Input Nilai Ketrampilan'!AI49="","",'Input Nilai Ketrampilan'!AI49)</f>
        <v/>
      </c>
      <c r="S52" s="221" t="str">
        <f>IF('Input Nilai Ketrampilan'!AN49="","",'Input Nilai Ketrampilan'!AN49)</f>
        <v/>
      </c>
      <c r="T52" s="221" t="str">
        <f>IF('Input Nilai Ketrampilan'!AS49="","",'Input Nilai Ketrampilan'!AS49)</f>
        <v/>
      </c>
      <c r="U52" s="221" t="str">
        <f>IF('Input Nilai Ketrampilan'!AX49="","",'Input Nilai Ketrampilan'!AX49)</f>
        <v/>
      </c>
      <c r="V52" s="221" t="str">
        <f>IF('Input Nilai Ketrampilan'!BC49="","",'Input Nilai Ketrampilan'!BC49)</f>
        <v/>
      </c>
      <c r="W52" s="222" t="str">
        <f>IF('Input Nilai Pengetahuan'!CK49="","",'Input Nilai Pengetahuan'!CK49)</f>
        <v/>
      </c>
    </row>
    <row r="53" spans="1:23">
      <c r="A53" s="121">
        <f>'DATA SISWA'!A50</f>
        <v>46</v>
      </c>
      <c r="B53" s="122">
        <f>'DATA SISWA'!C50</f>
        <v>0</v>
      </c>
      <c r="C53" s="220" t="str">
        <f>IF('Input Nilai Pengetahuan'!M50="","",'Input Nilai Pengetahuan'!M50)</f>
        <v/>
      </c>
      <c r="D53" s="220" t="str">
        <f>IF('Input Nilai Pengetahuan'!U50="","",'Input Nilai Pengetahuan'!U50)</f>
        <v/>
      </c>
      <c r="E53" s="220" t="str">
        <f>IF('Input Nilai Pengetahuan'!AC50="","",'Input Nilai Pengetahuan'!AC50)</f>
        <v/>
      </c>
      <c r="F53" s="220" t="str">
        <f>IF('Input Nilai Pengetahuan'!AK50="","",'Input Nilai Pengetahuan'!AK50)</f>
        <v/>
      </c>
      <c r="G53" s="220" t="str">
        <f>IF('Input Nilai Pengetahuan'!AS50="","",'Input Nilai Pengetahuan'!AS50)</f>
        <v/>
      </c>
      <c r="H53" s="220" t="str">
        <f>IF('Input Nilai Pengetahuan'!BA50="","",'Input Nilai Pengetahuan'!BA50)</f>
        <v/>
      </c>
      <c r="I53" s="220" t="str">
        <f>IF('Input Nilai Pengetahuan'!BI50="","",'Input Nilai Pengetahuan'!BI50)</f>
        <v/>
      </c>
      <c r="J53" s="220" t="str">
        <f>IF('Input Nilai Pengetahuan'!BQ50="","",'Input Nilai Pengetahuan'!BQ50)</f>
        <v/>
      </c>
      <c r="K53" s="220" t="str">
        <f>IF('Input Nilai Pengetahuan'!BY50="","",'Input Nilai Pengetahuan'!BY50)</f>
        <v/>
      </c>
      <c r="L53" s="220" t="str">
        <f>IF('Input Nilai Pengetahuan'!CG50="","",'Input Nilai Pengetahuan'!CG50)</f>
        <v/>
      </c>
      <c r="M53" s="221" t="str">
        <f>IF('Input Nilai Ketrampilan'!J50="","",('Input Nilai Ketrampilan'!J50))</f>
        <v/>
      </c>
      <c r="N53" s="221" t="str">
        <f>IF('Input Nilai Ketrampilan'!O50="","",'Input Nilai Ketrampilan'!O50)</f>
        <v/>
      </c>
      <c r="O53" s="221" t="str">
        <f>IF('Input Nilai Ketrampilan'!T50="","",'Input Nilai Ketrampilan'!T50)</f>
        <v/>
      </c>
      <c r="P53" s="221" t="str">
        <f>IF('Input Nilai Ketrampilan'!Y50="","",'Input Nilai Ketrampilan'!Y50)</f>
        <v/>
      </c>
      <c r="Q53" s="221" t="str">
        <f>IF('Input Nilai Ketrampilan'!AD50="","",'Input Nilai Ketrampilan'!AD50)</f>
        <v/>
      </c>
      <c r="R53" s="221" t="str">
        <f>IF('Input Nilai Ketrampilan'!AI50="","",'Input Nilai Ketrampilan'!AI50)</f>
        <v/>
      </c>
      <c r="S53" s="221" t="str">
        <f>IF('Input Nilai Ketrampilan'!AN50="","",'Input Nilai Ketrampilan'!AN50)</f>
        <v/>
      </c>
      <c r="T53" s="221" t="str">
        <f>IF('Input Nilai Ketrampilan'!AS50="","",'Input Nilai Ketrampilan'!AS50)</f>
        <v/>
      </c>
      <c r="U53" s="221" t="str">
        <f>IF('Input Nilai Ketrampilan'!AX50="","",'Input Nilai Ketrampilan'!AX50)</f>
        <v/>
      </c>
      <c r="V53" s="221" t="str">
        <f>IF('Input Nilai Ketrampilan'!BC50="","",'Input Nilai Ketrampilan'!BC50)</f>
        <v/>
      </c>
      <c r="W53" s="222" t="str">
        <f>IF('Input Nilai Pengetahuan'!CK50="","",'Input Nilai Pengetahuan'!CK50)</f>
        <v/>
      </c>
    </row>
    <row r="54" spans="1:23">
      <c r="A54" s="121">
        <f>'DATA SISWA'!A51</f>
        <v>47</v>
      </c>
      <c r="B54" s="122">
        <f>'DATA SISWA'!C51</f>
        <v>0</v>
      </c>
      <c r="C54" s="220" t="str">
        <f>IF('Input Nilai Pengetahuan'!M51="","",'Input Nilai Pengetahuan'!M51)</f>
        <v/>
      </c>
      <c r="D54" s="220" t="str">
        <f>IF('Input Nilai Pengetahuan'!U51="","",'Input Nilai Pengetahuan'!U51)</f>
        <v/>
      </c>
      <c r="E54" s="220" t="str">
        <f>IF('Input Nilai Pengetahuan'!AC51="","",'Input Nilai Pengetahuan'!AC51)</f>
        <v/>
      </c>
      <c r="F54" s="220" t="str">
        <f>IF('Input Nilai Pengetahuan'!AK51="","",'Input Nilai Pengetahuan'!AK51)</f>
        <v/>
      </c>
      <c r="G54" s="220" t="str">
        <f>IF('Input Nilai Pengetahuan'!AS51="","",'Input Nilai Pengetahuan'!AS51)</f>
        <v/>
      </c>
      <c r="H54" s="220" t="str">
        <f>IF('Input Nilai Pengetahuan'!BA51="","",'Input Nilai Pengetahuan'!BA51)</f>
        <v/>
      </c>
      <c r="I54" s="220" t="str">
        <f>IF('Input Nilai Pengetahuan'!BI51="","",'Input Nilai Pengetahuan'!BI51)</f>
        <v/>
      </c>
      <c r="J54" s="220" t="str">
        <f>IF('Input Nilai Pengetahuan'!BQ51="","",'Input Nilai Pengetahuan'!BQ51)</f>
        <v/>
      </c>
      <c r="K54" s="220" t="str">
        <f>IF('Input Nilai Pengetahuan'!BY51="","",'Input Nilai Pengetahuan'!BY51)</f>
        <v/>
      </c>
      <c r="L54" s="220" t="str">
        <f>IF('Input Nilai Pengetahuan'!CG51="","",'Input Nilai Pengetahuan'!CG51)</f>
        <v/>
      </c>
      <c r="M54" s="221" t="str">
        <f>IF('Input Nilai Ketrampilan'!J51="","",('Input Nilai Ketrampilan'!J51))</f>
        <v/>
      </c>
      <c r="N54" s="221" t="str">
        <f>IF('Input Nilai Ketrampilan'!O51="","",'Input Nilai Ketrampilan'!O51)</f>
        <v/>
      </c>
      <c r="O54" s="221" t="str">
        <f>IF('Input Nilai Ketrampilan'!T51="","",'Input Nilai Ketrampilan'!T51)</f>
        <v/>
      </c>
      <c r="P54" s="221" t="str">
        <f>IF('Input Nilai Ketrampilan'!Y51="","",'Input Nilai Ketrampilan'!Y51)</f>
        <v/>
      </c>
      <c r="Q54" s="221" t="str">
        <f>IF('Input Nilai Ketrampilan'!AD51="","",'Input Nilai Ketrampilan'!AD51)</f>
        <v/>
      </c>
      <c r="R54" s="221" t="str">
        <f>IF('Input Nilai Ketrampilan'!AI51="","",'Input Nilai Ketrampilan'!AI51)</f>
        <v/>
      </c>
      <c r="S54" s="221" t="str">
        <f>IF('Input Nilai Ketrampilan'!AN51="","",'Input Nilai Ketrampilan'!AN51)</f>
        <v/>
      </c>
      <c r="T54" s="221" t="str">
        <f>IF('Input Nilai Ketrampilan'!AS51="","",'Input Nilai Ketrampilan'!AS51)</f>
        <v/>
      </c>
      <c r="U54" s="221" t="str">
        <f>IF('Input Nilai Ketrampilan'!AX51="","",'Input Nilai Ketrampilan'!AX51)</f>
        <v/>
      </c>
      <c r="V54" s="221" t="str">
        <f>IF('Input Nilai Ketrampilan'!BC51="","",'Input Nilai Ketrampilan'!BC51)</f>
        <v/>
      </c>
      <c r="W54" s="222" t="str">
        <f>IF('Input Nilai Pengetahuan'!CK51="","",'Input Nilai Pengetahuan'!CK51)</f>
        <v/>
      </c>
    </row>
    <row r="55" spans="1:23">
      <c r="A55" s="121">
        <f>'DATA SISWA'!A52</f>
        <v>48</v>
      </c>
      <c r="B55" s="122">
        <f>'DATA SISWA'!C52</f>
        <v>0</v>
      </c>
      <c r="C55" s="220" t="str">
        <f>IF('Input Nilai Pengetahuan'!M52="","",'Input Nilai Pengetahuan'!M52)</f>
        <v/>
      </c>
      <c r="D55" s="220" t="str">
        <f>IF('Input Nilai Pengetahuan'!U52="","",'Input Nilai Pengetahuan'!U52)</f>
        <v/>
      </c>
      <c r="E55" s="220" t="str">
        <f>IF('Input Nilai Pengetahuan'!AC52="","",'Input Nilai Pengetahuan'!AC52)</f>
        <v/>
      </c>
      <c r="F55" s="220" t="str">
        <f>IF('Input Nilai Pengetahuan'!AK52="","",'Input Nilai Pengetahuan'!AK52)</f>
        <v/>
      </c>
      <c r="G55" s="220" t="str">
        <f>IF('Input Nilai Pengetahuan'!AS52="","",'Input Nilai Pengetahuan'!AS52)</f>
        <v/>
      </c>
      <c r="H55" s="220" t="str">
        <f>IF('Input Nilai Pengetahuan'!BA52="","",'Input Nilai Pengetahuan'!BA52)</f>
        <v/>
      </c>
      <c r="I55" s="220" t="str">
        <f>IF('Input Nilai Pengetahuan'!BI52="","",'Input Nilai Pengetahuan'!BI52)</f>
        <v/>
      </c>
      <c r="J55" s="220" t="str">
        <f>IF('Input Nilai Pengetahuan'!BQ52="","",'Input Nilai Pengetahuan'!BQ52)</f>
        <v/>
      </c>
      <c r="K55" s="220" t="str">
        <f>IF('Input Nilai Pengetahuan'!BY52="","",'Input Nilai Pengetahuan'!BY52)</f>
        <v/>
      </c>
      <c r="L55" s="220" t="str">
        <f>IF('Input Nilai Pengetahuan'!CG52="","",'Input Nilai Pengetahuan'!CG52)</f>
        <v/>
      </c>
      <c r="M55" s="221" t="str">
        <f>IF('Input Nilai Ketrampilan'!J52="","",('Input Nilai Ketrampilan'!J52))</f>
        <v/>
      </c>
      <c r="N55" s="221" t="str">
        <f>IF('Input Nilai Ketrampilan'!O52="","",'Input Nilai Ketrampilan'!O52)</f>
        <v/>
      </c>
      <c r="O55" s="221" t="str">
        <f>IF('Input Nilai Ketrampilan'!T52="","",'Input Nilai Ketrampilan'!T52)</f>
        <v/>
      </c>
      <c r="P55" s="221" t="str">
        <f>IF('Input Nilai Ketrampilan'!Y52="","",'Input Nilai Ketrampilan'!Y52)</f>
        <v/>
      </c>
      <c r="Q55" s="221" t="str">
        <f>IF('Input Nilai Ketrampilan'!AD52="","",'Input Nilai Ketrampilan'!AD52)</f>
        <v/>
      </c>
      <c r="R55" s="221" t="str">
        <f>IF('Input Nilai Ketrampilan'!AI52="","",'Input Nilai Ketrampilan'!AI52)</f>
        <v/>
      </c>
      <c r="S55" s="221" t="str">
        <f>IF('Input Nilai Ketrampilan'!AN52="","",'Input Nilai Ketrampilan'!AN52)</f>
        <v/>
      </c>
      <c r="T55" s="221" t="str">
        <f>IF('Input Nilai Ketrampilan'!AS52="","",'Input Nilai Ketrampilan'!AS52)</f>
        <v/>
      </c>
      <c r="U55" s="221" t="str">
        <f>IF('Input Nilai Ketrampilan'!AX52="","",'Input Nilai Ketrampilan'!AX52)</f>
        <v/>
      </c>
      <c r="V55" s="221" t="str">
        <f>IF('Input Nilai Ketrampilan'!BC52="","",'Input Nilai Ketrampilan'!BC52)</f>
        <v/>
      </c>
      <c r="W55" s="222" t="str">
        <f>IF('Input Nilai Pengetahuan'!CK52="","",'Input Nilai Pengetahuan'!CK52)</f>
        <v/>
      </c>
    </row>
  </sheetData>
  <sheetProtection password="D05F" sheet="1" objects="1" scenarios="1" formatCells="0" formatColumns="0" formatRows="0" insertColumns="0" insertRows="0" insertHyperlinks="0" deleteColumns="0" deleteRows="0"/>
  <mergeCells count="6">
    <mergeCell ref="C6:L6"/>
    <mergeCell ref="M6:V6"/>
    <mergeCell ref="A5:A7"/>
    <mergeCell ref="B5:B7"/>
    <mergeCell ref="C5:L5"/>
    <mergeCell ref="M5:V5"/>
  </mergeCells>
  <dataValidations count="2">
    <dataValidation type="whole" operator="lessThan" allowBlank="1" showInputMessage="1" showErrorMessage="1" sqref="M8:W55">
      <formula1>100</formula1>
    </dataValidation>
    <dataValidation operator="lessThan" allowBlank="1" showInputMessage="1" showErrorMessage="1" sqref="C8:L55"/>
  </dataValidations>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sheetPr codeName="Sheet4"/>
  <dimension ref="A1:V69"/>
  <sheetViews>
    <sheetView workbookViewId="0">
      <pane xSplit="3" ySplit="13" topLeftCell="D14" activePane="bottomRight" state="frozen"/>
      <selection pane="topRight" activeCell="C1" sqref="C1"/>
      <selection pane="bottomLeft" activeCell="A14" sqref="A14"/>
      <selection pane="bottomRight"/>
    </sheetView>
  </sheetViews>
  <sheetFormatPr defaultColWidth="0" defaultRowHeight="15" customHeight="1" zeroHeight="1"/>
  <cols>
    <col min="1" max="1" width="4.5703125" style="132" bestFit="1" customWidth="1"/>
    <col min="2" max="2" width="7.140625" style="132" customWidth="1"/>
    <col min="3" max="3" width="36.42578125" style="132" bestFit="1" customWidth="1"/>
    <col min="4" max="4" width="7.42578125" style="132" customWidth="1"/>
    <col min="5" max="5" width="5.42578125" style="132" bestFit="1" customWidth="1"/>
    <col min="6" max="6" width="44.5703125" style="132" customWidth="1"/>
    <col min="7" max="7" width="7.85546875" style="132" customWidth="1"/>
    <col min="8" max="8" width="5.28515625" style="132" customWidth="1"/>
    <col min="9" max="9" width="44.5703125" style="132" customWidth="1"/>
    <col min="10" max="10" width="7.140625" style="132" customWidth="1"/>
    <col min="11" max="11" width="9.28515625" style="132" customWidth="1"/>
    <col min="12" max="17" width="7" style="132" customWidth="1"/>
    <col min="18" max="18" width="10" style="132" customWidth="1"/>
    <col min="19" max="19" width="11.5703125" style="132" customWidth="1"/>
    <col min="20" max="20" width="9.140625" style="85" customWidth="1"/>
    <col min="21" max="22" width="0" style="85" hidden="1" customWidth="1"/>
    <col min="23" max="16384" width="9.140625" style="85" hidden="1"/>
  </cols>
  <sheetData>
    <row r="1" spans="1:19">
      <c r="D1" s="522"/>
      <c r="E1" s="523"/>
      <c r="F1" s="523"/>
      <c r="G1" s="523"/>
      <c r="H1" s="523"/>
      <c r="I1" s="523"/>
      <c r="J1" s="523"/>
      <c r="K1" s="523"/>
      <c r="L1" s="523"/>
      <c r="M1" s="523"/>
      <c r="N1" s="523"/>
      <c r="O1" s="523"/>
      <c r="P1" s="523"/>
      <c r="Q1" s="523"/>
      <c r="R1" s="523"/>
      <c r="S1" s="524"/>
    </row>
    <row r="2" spans="1:19" ht="15.75">
      <c r="D2" s="525" t="str">
        <f>UPPER('[1]Data Raport'!C3:F3)</f>
        <v/>
      </c>
      <c r="E2" s="526"/>
      <c r="F2" s="526"/>
      <c r="G2" s="526"/>
      <c r="H2" s="526"/>
      <c r="I2" s="526"/>
      <c r="J2" s="526"/>
      <c r="K2" s="526"/>
      <c r="L2" s="526"/>
      <c r="M2" s="526"/>
      <c r="N2" s="526"/>
      <c r="O2" s="526"/>
      <c r="P2" s="526"/>
      <c r="Q2" s="526"/>
      <c r="R2" s="526"/>
      <c r="S2" s="527"/>
    </row>
    <row r="3" spans="1:19" ht="9" customHeight="1">
      <c r="D3" s="528" t="str">
        <f>UPPER('[1]Data Raport'!C5:F5)</f>
        <v/>
      </c>
      <c r="E3" s="529"/>
      <c r="F3" s="529"/>
      <c r="G3" s="529"/>
      <c r="H3" s="529"/>
      <c r="I3" s="529"/>
      <c r="J3" s="529"/>
      <c r="K3" s="529"/>
      <c r="L3" s="529"/>
      <c r="M3" s="529"/>
      <c r="N3" s="529"/>
      <c r="O3" s="529"/>
      <c r="P3" s="529"/>
      <c r="Q3" s="529"/>
      <c r="R3" s="529"/>
      <c r="S3" s="530"/>
    </row>
    <row r="4" spans="1:19" ht="8.25" customHeight="1">
      <c r="D4" s="531" t="s">
        <v>290</v>
      </c>
      <c r="E4" s="532"/>
      <c r="F4" s="532"/>
      <c r="G4" s="532"/>
      <c r="H4" s="532"/>
      <c r="I4" s="532"/>
      <c r="J4" s="532"/>
      <c r="K4" s="532"/>
      <c r="L4" s="532"/>
      <c r="M4" s="532"/>
      <c r="N4" s="532"/>
      <c r="O4" s="532"/>
      <c r="P4" s="532"/>
      <c r="Q4" s="532"/>
      <c r="R4" s="532"/>
      <c r="S4" s="533"/>
    </row>
    <row r="5" spans="1:19" ht="8.25" customHeight="1">
      <c r="D5" s="534"/>
      <c r="E5" s="535"/>
      <c r="F5" s="535"/>
      <c r="G5" s="535"/>
      <c r="H5" s="535"/>
      <c r="I5" s="535"/>
      <c r="J5" s="535"/>
      <c r="K5" s="535"/>
      <c r="L5" s="535"/>
      <c r="M5" s="535"/>
      <c r="N5" s="535"/>
      <c r="O5" s="535"/>
      <c r="P5" s="535"/>
      <c r="Q5" s="535"/>
      <c r="R5" s="535"/>
      <c r="S5" s="536"/>
    </row>
    <row r="6" spans="1:19" ht="8.25" customHeight="1">
      <c r="D6" s="537"/>
      <c r="E6" s="538"/>
      <c r="F6" s="538"/>
      <c r="G6" s="538"/>
      <c r="H6" s="538"/>
      <c r="I6" s="538"/>
      <c r="J6" s="538"/>
      <c r="K6" s="538"/>
      <c r="L6" s="538"/>
      <c r="M6" s="538"/>
      <c r="N6" s="538"/>
      <c r="O6" s="538"/>
      <c r="P6" s="538"/>
      <c r="Q6" s="538"/>
      <c r="R6" s="538"/>
      <c r="S6" s="539"/>
    </row>
    <row r="7" spans="1:19" ht="15.75">
      <c r="G7" s="237"/>
      <c r="H7" s="237"/>
      <c r="I7" s="237"/>
      <c r="J7" s="237"/>
      <c r="K7" s="237"/>
      <c r="L7" s="237"/>
      <c r="M7" s="237"/>
      <c r="N7" s="237"/>
      <c r="O7" s="237"/>
      <c r="P7" s="237"/>
      <c r="Q7" s="237"/>
      <c r="R7" s="237"/>
      <c r="S7" s="237"/>
    </row>
    <row r="8" spans="1:19">
      <c r="C8" s="133" t="s">
        <v>245</v>
      </c>
      <c r="D8" s="257" t="str">
        <f>menu!D13</f>
        <v>BHS INDONESIA</v>
      </c>
      <c r="E8" s="238"/>
      <c r="F8" s="231"/>
      <c r="H8" s="239" t="s">
        <v>291</v>
      </c>
      <c r="I8" s="258" t="str">
        <f>menu!D15&amp;"/"&amp;menu!E15</f>
        <v>2/</v>
      </c>
      <c r="J8" s="240"/>
      <c r="K8" s="240"/>
      <c r="L8" s="240"/>
      <c r="M8" s="240"/>
      <c r="N8" s="240"/>
      <c r="O8" s="240"/>
      <c r="P8" s="239"/>
      <c r="Q8" s="193"/>
      <c r="R8" s="193"/>
      <c r="S8" s="193"/>
    </row>
    <row r="9" spans="1:19">
      <c r="C9" s="133" t="s">
        <v>248</v>
      </c>
      <c r="D9" s="540" t="str">
        <f>menu!D14&amp;menu!E14</f>
        <v>VII-J</v>
      </c>
      <c r="E9" s="540"/>
      <c r="F9" s="231"/>
      <c r="H9" s="241" t="s">
        <v>249</v>
      </c>
      <c r="I9" s="259" t="str">
        <f>menu!D16</f>
        <v>2016-2017</v>
      </c>
      <c r="J9" s="242"/>
      <c r="K9" s="242"/>
      <c r="L9" s="242"/>
      <c r="M9" s="242"/>
      <c r="N9" s="242"/>
      <c r="O9" s="242"/>
      <c r="P9" s="541"/>
      <c r="Q9" s="541"/>
      <c r="R9" s="242"/>
      <c r="S9" s="193"/>
    </row>
    <row r="10" spans="1:19">
      <c r="C10" s="133"/>
      <c r="D10" s="231"/>
      <c r="E10" s="231"/>
      <c r="F10" s="231"/>
      <c r="G10" s="135"/>
      <c r="H10" s="135"/>
      <c r="I10" s="135"/>
      <c r="J10" s="135"/>
      <c r="K10" s="135"/>
      <c r="L10" s="135"/>
      <c r="M10" s="135"/>
      <c r="N10" s="135"/>
      <c r="O10" s="135"/>
      <c r="P10" s="510"/>
      <c r="Q10" s="510"/>
      <c r="R10" s="243"/>
      <c r="S10" s="193"/>
    </row>
    <row r="11" spans="1:19">
      <c r="D11" s="153"/>
      <c r="E11" s="153"/>
      <c r="F11" s="153"/>
    </row>
    <row r="12" spans="1:19" s="248" customFormat="1">
      <c r="A12" s="511" t="s">
        <v>262</v>
      </c>
      <c r="B12" s="518" t="s">
        <v>294</v>
      </c>
      <c r="C12" s="511" t="s">
        <v>239</v>
      </c>
      <c r="D12" s="512" t="s">
        <v>35</v>
      </c>
      <c r="E12" s="513"/>
      <c r="F12" s="514"/>
      <c r="G12" s="515" t="s">
        <v>244</v>
      </c>
      <c r="H12" s="516"/>
      <c r="I12" s="517"/>
      <c r="J12" s="520" t="s">
        <v>434</v>
      </c>
      <c r="K12" s="521"/>
      <c r="L12" s="244"/>
      <c r="M12" s="244"/>
      <c r="N12" s="244"/>
      <c r="O12" s="244"/>
      <c r="P12" s="245" t="s">
        <v>433</v>
      </c>
      <c r="Q12" s="246"/>
      <c r="R12" s="246"/>
      <c r="S12" s="247"/>
    </row>
    <row r="13" spans="1:19">
      <c r="A13" s="511"/>
      <c r="B13" s="519"/>
      <c r="C13" s="511"/>
      <c r="D13" s="249" t="s">
        <v>272</v>
      </c>
      <c r="E13" s="250" t="s">
        <v>292</v>
      </c>
      <c r="F13" s="250" t="s">
        <v>293</v>
      </c>
      <c r="G13" s="251" t="s">
        <v>272</v>
      </c>
      <c r="H13" s="252" t="s">
        <v>292</v>
      </c>
      <c r="I13" s="252" t="s">
        <v>293</v>
      </c>
      <c r="J13" s="253" t="s">
        <v>298</v>
      </c>
      <c r="K13" s="253" t="s">
        <v>221</v>
      </c>
      <c r="L13" s="91" t="s">
        <v>8</v>
      </c>
      <c r="M13" s="91" t="s">
        <v>9</v>
      </c>
      <c r="N13" s="91" t="s">
        <v>6</v>
      </c>
      <c r="O13" s="91" t="s">
        <v>10</v>
      </c>
      <c r="P13" s="91" t="s">
        <v>184</v>
      </c>
      <c r="Q13" s="91" t="s">
        <v>12</v>
      </c>
      <c r="R13" s="254" t="s">
        <v>430</v>
      </c>
      <c r="S13" s="254" t="s">
        <v>221</v>
      </c>
    </row>
    <row r="14" spans="1:19" s="141" customFormat="1" ht="23.25" customHeight="1">
      <c r="A14" s="205">
        <f>'DATA SISWA'!A5</f>
        <v>1</v>
      </c>
      <c r="B14" s="205" t="str">
        <f>'DATA SISWA'!B5</f>
        <v>7643</v>
      </c>
      <c r="C14" s="204" t="str">
        <f>'DATA SISWA'!C5</f>
        <v>ABD MANNAN</v>
      </c>
      <c r="D14" s="229">
        <f>IF('Input Nilai Pengetahuan'!CQ5="","",'Input Nilai Pengetahuan'!CQ5)</f>
        <v>76</v>
      </c>
      <c r="E14" s="229" t="str">
        <f>IF('Input Nilai Pengetahuan'!CR5="","",'Input Nilai Pengetahuan'!CR5)</f>
        <v>B</v>
      </c>
      <c r="F14" s="230" t="str">
        <f>IF('Input Nilai Pengetahuan'!CV5="","",'Input Nilai Pengetahuan'!CV5)</f>
        <v>Penguasaan materi sudah baik dalam Menelaah struktur  dan kebahasaan puisi rakyat (pantun, syair, dan bentuk puisi rakyat setempat) yang dibaca dan didengar</v>
      </c>
      <c r="G14" s="229">
        <f>IF('Input Nilai Ketrampilan'!BF5="","",'Input Nilai Ketrampilan'!BF5)</f>
        <v>78</v>
      </c>
      <c r="H14" s="229" t="str">
        <f>IF('Input Nilai Ketrampilan'!BG5="","",'Input Nilai Ketrampilan'!BG5)</f>
        <v>B</v>
      </c>
      <c r="I14" s="230" t="str">
        <f>IF('Input Nilai Ketrampilan'!BK5="","",'Input Nilai Ketrampilan'!BK5)</f>
        <v>Terampil Menyimpulkan isi puisi rakyat (pantun, syair, dan bentuk puisi rakyat setempat) yang disajikan dalam bentuk tulis dan lisan</v>
      </c>
      <c r="J14" s="236">
        <f>IF('Input Nilai Sikap'!H7="","",'Input Nilai Sikap'!H7)</f>
        <v>3</v>
      </c>
      <c r="K14" s="233" t="str">
        <f>IF('Input Nilai Sikap'!I7="","",'Input Nilai Sikap'!I7)</f>
        <v>Melaksanakan sholat dhuhur berjemaah dan sholatt dhuha, berdo'a di awal di akhir kegiatan pembelajaran , serta melaksanakan kegiatan amaliyah siswa</v>
      </c>
      <c r="L14" s="234">
        <f>IF('Input Nilai Sikap'!M7="","",'Input Nilai Sikap'!M7)</f>
        <v>3</v>
      </c>
      <c r="M14" s="234">
        <f>IF('Input Nilai Sikap'!Q7="","",'Input Nilai Sikap'!Q7)</f>
        <v>3</v>
      </c>
      <c r="N14" s="234">
        <f>IF('Input Nilai Sikap'!U7="","",'Input Nilai Sikap'!U7)</f>
        <v>3</v>
      </c>
      <c r="O14" s="234">
        <f>IF('Input Nilai Sikap'!Y7="","",'Input Nilai Sikap'!Y7)</f>
        <v>3</v>
      </c>
      <c r="P14" s="235">
        <f>IF('Input Nilai Sikap'!AC7="","",'Input Nilai Sikap'!AC7)</f>
        <v>3</v>
      </c>
      <c r="Q14" s="235">
        <f>IF('Input Nilai Sikap'!AG7="","",'Input Nilai Sikap'!AG7)</f>
        <v>3</v>
      </c>
      <c r="R14" s="235">
        <f>IF('Input Nilai Sikap'!AK7="","",'Input Nilai Sikap'!AK7)</f>
        <v>3</v>
      </c>
      <c r="S14" s="233" t="str">
        <f>IF('Input Nilai Sikap'!AL7="","",'Input Nilai Sikap'!AL7)</f>
        <v>Santun dalam bersikap, disiplin dalam mentaati tata tertib madrasah, peduli pada lingkungan, orang tua, bertanggung jawab dalam melaksanakan tugas, baik sebagai individu maupun makhluk sosial</v>
      </c>
    </row>
    <row r="15" spans="1:19" s="141" customFormat="1" ht="23.25" customHeight="1">
      <c r="A15" s="205">
        <f>'DATA SISWA'!A6</f>
        <v>2</v>
      </c>
      <c r="B15" s="205">
        <f>'DATA SISWA'!B6</f>
        <v>0</v>
      </c>
      <c r="C15" s="204">
        <f>'DATA SISWA'!C6</f>
        <v>0</v>
      </c>
      <c r="D15" s="229" t="str">
        <f>IF('Input Nilai Pengetahuan'!CQ6="","",'Input Nilai Pengetahuan'!CQ6)</f>
        <v/>
      </c>
      <c r="E15" s="229" t="str">
        <f>IF('Input Nilai Pengetahuan'!CR6="","",'Input Nilai Pengetahuan'!CR6)</f>
        <v/>
      </c>
      <c r="F15" s="230" t="str">
        <f>IF('Input Nilai Pengetahuan'!CV6="","",'Input Nilai Pengetahuan'!CV6)</f>
        <v/>
      </c>
      <c r="G15" s="229" t="str">
        <f>IF('Input Nilai Ketrampilan'!BF6="","",'Input Nilai Ketrampilan'!BF6)</f>
        <v/>
      </c>
      <c r="H15" s="229" t="str">
        <f>IF('Input Nilai Ketrampilan'!BG6="","",'Input Nilai Ketrampilan'!BG6)</f>
        <v/>
      </c>
      <c r="I15" s="230" t="str">
        <f>IF('Input Nilai Ketrampilan'!BK6="","",'Input Nilai Ketrampilan'!BK6)</f>
        <v/>
      </c>
      <c r="J15" s="236">
        <f>IF('Input Nilai Sikap'!H8="","",'Input Nilai Sikap'!H8)</f>
        <v>3</v>
      </c>
      <c r="K15" s="233" t="str">
        <f>IF('Input Nilai Sikap'!I8="","",'Input Nilai Sikap'!I8)</f>
        <v>Melaksanakan sholat dhuhur berjemaah dan sholatt dhuha, berdo'a di awal di akhir kegiatan pembelajaran , serta melaksanakan kegiatan amaliyah siswa</v>
      </c>
      <c r="L15" s="234">
        <f>IF('Input Nilai Sikap'!M8="","",'Input Nilai Sikap'!M8)</f>
        <v>3</v>
      </c>
      <c r="M15" s="234">
        <f>IF('Input Nilai Sikap'!Q8="","",'Input Nilai Sikap'!Q8)</f>
        <v>3</v>
      </c>
      <c r="N15" s="234">
        <f>IF('Input Nilai Sikap'!U8="","",'Input Nilai Sikap'!U8)</f>
        <v>3</v>
      </c>
      <c r="O15" s="234">
        <f>IF('Input Nilai Sikap'!Y8="","",'Input Nilai Sikap'!Y8)</f>
        <v>3</v>
      </c>
      <c r="P15" s="235">
        <f>IF('Input Nilai Sikap'!AC8="","",'Input Nilai Sikap'!AC8)</f>
        <v>3</v>
      </c>
      <c r="Q15" s="235">
        <f>IF('Input Nilai Sikap'!AG8="","",'Input Nilai Sikap'!AG8)</f>
        <v>3</v>
      </c>
      <c r="R15" s="235">
        <f>IF('Input Nilai Sikap'!AK8="","",'Input Nilai Sikap'!AK8)</f>
        <v>3</v>
      </c>
      <c r="S15" s="233" t="str">
        <f>IF('Input Nilai Sikap'!AL8="","",'Input Nilai Sikap'!AL8)</f>
        <v>Santun dalam bersikap, disiplin dalam mentaati tata tertib madrasah, peduli pada lingkungan, orang tua, bertanggung jawab dalam melaksanakan tugas, baik sebagai individu maupun makhluk sosial</v>
      </c>
    </row>
    <row r="16" spans="1:19" s="141" customFormat="1" ht="23.25" customHeight="1">
      <c r="A16" s="205">
        <f>'DATA SISWA'!A7</f>
        <v>3</v>
      </c>
      <c r="B16" s="205" t="str">
        <f>'DATA SISWA'!B7</f>
        <v>7645</v>
      </c>
      <c r="C16" s="204" t="str">
        <f>'DATA SISWA'!C7</f>
        <v>ACHMAD ALFARESI</v>
      </c>
      <c r="D16" s="229">
        <f>IF('Input Nilai Pengetahuan'!CQ7="","",'Input Nilai Pengetahuan'!CQ7)</f>
        <v>79</v>
      </c>
      <c r="E16" s="229" t="str">
        <f>IF('Input Nilai Pengetahuan'!CR7="","",'Input Nilai Pengetahuan'!CR7)</f>
        <v>B</v>
      </c>
      <c r="F16" s="230" t="str">
        <f>IF('Input Nilai Pengetahuan'!CV7="","",'Input Nilai Pengetahuan'!CV7)</f>
        <v>Penguasaan materi sudah baik dalam Menelaah struktur  dan kebahasaan puisi rakyat (pantun, syair, dan bentuk puisi rakyat setempat) yang dibaca dan didengar</v>
      </c>
      <c r="G16" s="229">
        <f>IF('Input Nilai Ketrampilan'!BF7="","",'Input Nilai Ketrampilan'!BF7)</f>
        <v>79</v>
      </c>
      <c r="H16" s="229" t="str">
        <f>IF('Input Nilai Ketrampilan'!BG7="","",'Input Nilai Ketrampilan'!BG7)</f>
        <v>B</v>
      </c>
      <c r="I16" s="230" t="str">
        <f>IF('Input Nilai Ketrampilan'!BK7="","",'Input Nilai Ketrampilan'!BK7)</f>
        <v>Terampil Menyimpulkan isi puisi rakyat (pantun, syair, dan bentuk puisi rakyat setempat) yang disajikan dalam bentuk tulis dan lisan</v>
      </c>
      <c r="J16" s="236">
        <f>IF('Input Nilai Sikap'!H9="","",'Input Nilai Sikap'!H9)</f>
        <v>3</v>
      </c>
      <c r="K16" s="233" t="str">
        <f>IF('Input Nilai Sikap'!I9="","",'Input Nilai Sikap'!I9)</f>
        <v>Melaksanakan sholat dhuhur berjemaah dan sholatt dhuha, berdo'a di awal di akhir kegiatan pembelajaran , serta melaksanakan kegiatan amaliyah siswa</v>
      </c>
      <c r="L16" s="234">
        <f>IF('Input Nilai Sikap'!M9="","",'Input Nilai Sikap'!M9)</f>
        <v>3</v>
      </c>
      <c r="M16" s="234">
        <f>IF('Input Nilai Sikap'!Q9="","",'Input Nilai Sikap'!Q9)</f>
        <v>3</v>
      </c>
      <c r="N16" s="234">
        <f>IF('Input Nilai Sikap'!U9="","",'Input Nilai Sikap'!U9)</f>
        <v>3</v>
      </c>
      <c r="O16" s="234">
        <f>IF('Input Nilai Sikap'!Y9="","",'Input Nilai Sikap'!Y9)</f>
        <v>3</v>
      </c>
      <c r="P16" s="235">
        <f>IF('Input Nilai Sikap'!AC9="","",'Input Nilai Sikap'!AC9)</f>
        <v>3</v>
      </c>
      <c r="Q16" s="235">
        <f>IF('Input Nilai Sikap'!AG9="","",'Input Nilai Sikap'!AG9)</f>
        <v>3</v>
      </c>
      <c r="R16" s="235">
        <f>IF('Input Nilai Sikap'!AK9="","",'Input Nilai Sikap'!AK9)</f>
        <v>3</v>
      </c>
      <c r="S16" s="233" t="str">
        <f>IF('Input Nilai Sikap'!AL9="","",'Input Nilai Sikap'!AL9)</f>
        <v>Santun dalam bersikap, disiplin dalam mentaati tata tertib madrasah, peduli pada lingkungan, orang tua, bertanggung jawab dalam melaksanakan tugas, baik sebagai individu maupun makhluk sosial</v>
      </c>
    </row>
    <row r="17" spans="1:19" s="141" customFormat="1" ht="23.25" customHeight="1">
      <c r="A17" s="205">
        <f>'DATA SISWA'!A8</f>
        <v>4</v>
      </c>
      <c r="B17" s="205" t="str">
        <f>'DATA SISWA'!B8</f>
        <v>7674</v>
      </c>
      <c r="C17" s="204" t="str">
        <f>'DATA SISWA'!C8</f>
        <v>AGITA ZAHRAH MUFIDAH</v>
      </c>
      <c r="D17" s="229">
        <f>IF('Input Nilai Pengetahuan'!CQ8="","",'Input Nilai Pengetahuan'!CQ8)</f>
        <v>77</v>
      </c>
      <c r="E17" s="229" t="str">
        <f>IF('Input Nilai Pengetahuan'!CR8="","",'Input Nilai Pengetahuan'!CR8)</f>
        <v>B</v>
      </c>
      <c r="F17" s="230" t="str">
        <f>IF('Input Nilai Pengetahuan'!CV8="","",'Input Nilai Pengetahuan'!CV8)</f>
        <v>Penguasaan materi sudah baik dalam Menelaah struktur  dan kebahasaan puisi rakyat (pantun, syair, dan bentuk puisi rakyat setempat) yang dibaca dan didengar</v>
      </c>
      <c r="G17" s="229">
        <f>IF('Input Nilai Ketrampilan'!BF8="","",'Input Nilai Ketrampilan'!BF8)</f>
        <v>78</v>
      </c>
      <c r="H17" s="229" t="str">
        <f>IF('Input Nilai Ketrampilan'!BG8="","",'Input Nilai Ketrampilan'!BG8)</f>
        <v>B</v>
      </c>
      <c r="I17" s="230" t="str">
        <f>IF('Input Nilai Ketrampilan'!BK8="","",'Input Nilai Ketrampilan'!BK8)</f>
        <v>Terampil Menyimpulkan isi puisi rakyat (pantun, syair, dan bentuk puisi rakyat setempat) yang disajikan dalam bentuk tulis dan lisan</v>
      </c>
      <c r="J17" s="236">
        <f>IF('Input Nilai Sikap'!H10="","",'Input Nilai Sikap'!H10)</f>
        <v>3</v>
      </c>
      <c r="K17" s="233" t="str">
        <f>IF('Input Nilai Sikap'!I10="","",'Input Nilai Sikap'!I10)</f>
        <v>Melaksanakan sholat dhuhur berjemaah dan sholatt dhuha, berdo'a di awal di akhir kegiatan pembelajaran , serta melaksanakan kegiatan amaliyah siswa</v>
      </c>
      <c r="L17" s="234">
        <f>IF('Input Nilai Sikap'!M10="","",'Input Nilai Sikap'!M10)</f>
        <v>3</v>
      </c>
      <c r="M17" s="234">
        <f>IF('Input Nilai Sikap'!Q10="","",'Input Nilai Sikap'!Q10)</f>
        <v>3</v>
      </c>
      <c r="N17" s="234">
        <f>IF('Input Nilai Sikap'!U10="","",'Input Nilai Sikap'!U10)</f>
        <v>3</v>
      </c>
      <c r="O17" s="234">
        <f>IF('Input Nilai Sikap'!Y10="","",'Input Nilai Sikap'!Y10)</f>
        <v>3</v>
      </c>
      <c r="P17" s="235">
        <f>IF('Input Nilai Sikap'!AC10="","",'Input Nilai Sikap'!AC10)</f>
        <v>3</v>
      </c>
      <c r="Q17" s="235">
        <f>IF('Input Nilai Sikap'!AG10="","",'Input Nilai Sikap'!AG10)</f>
        <v>3</v>
      </c>
      <c r="R17" s="235">
        <f>IF('Input Nilai Sikap'!AK10="","",'Input Nilai Sikap'!AK10)</f>
        <v>3</v>
      </c>
      <c r="S17" s="233" t="str">
        <f>IF('Input Nilai Sikap'!AL10="","",'Input Nilai Sikap'!AL10)</f>
        <v>Santun dalam bersikap, disiplin dalam mentaati tata tertib madrasah, peduli pada lingkungan, orang tua, bertanggung jawab dalam melaksanakan tugas, baik sebagai individu maupun makhluk sosial</v>
      </c>
    </row>
    <row r="18" spans="1:19" s="141" customFormat="1" ht="23.25" customHeight="1">
      <c r="A18" s="205">
        <f>'DATA SISWA'!A9</f>
        <v>5</v>
      </c>
      <c r="B18" s="205" t="str">
        <f>'DATA SISWA'!B9</f>
        <v>7646</v>
      </c>
      <c r="C18" s="204" t="str">
        <f>'DATA SISWA'!C9</f>
        <v>AHMAD HAMBALI</v>
      </c>
      <c r="D18" s="229">
        <f>IF('Input Nilai Pengetahuan'!CQ9="","",'Input Nilai Pengetahuan'!CQ9)</f>
        <v>77</v>
      </c>
      <c r="E18" s="229" t="str">
        <f>IF('Input Nilai Pengetahuan'!CR9="","",'Input Nilai Pengetahuan'!CR9)</f>
        <v>B</v>
      </c>
      <c r="F18" s="230" t="str">
        <f>IF('Input Nilai Pengetahuan'!CV9="","",'Input Nilai Pengetahuan'!CV9)</f>
        <v>Penguasaan materi sudah baik dalam Mengidentifikasi informasi (pesan, rima, dan pilihan kata) dari puisi rakyat (pantun, syair, dan bentuk puisi rakyat setempat) yang dibaca dan didengar</v>
      </c>
      <c r="G18" s="229">
        <f>IF('Input Nilai Ketrampilan'!BF9="","",'Input Nilai Ketrampilan'!BF9)</f>
        <v>79</v>
      </c>
      <c r="H18" s="229" t="str">
        <f>IF('Input Nilai Ketrampilan'!BG9="","",'Input Nilai Ketrampilan'!BG9)</f>
        <v>B</v>
      </c>
      <c r="I18" s="230" t="str">
        <f>IF('Input Nilai Ketrampilan'!BK9="","",'Input Nilai Ketrampilan'!BK9)</f>
        <v>Terampil Menyimpulkan isi puisi rakyat (pantun, syair, dan bentuk puisi rakyat setempat) yang disajikan dalam bentuk tulis dan lisan</v>
      </c>
      <c r="J18" s="236">
        <f>IF('Input Nilai Sikap'!H11="","",'Input Nilai Sikap'!H11)</f>
        <v>3</v>
      </c>
      <c r="K18" s="233" t="str">
        <f>IF('Input Nilai Sikap'!I11="","",'Input Nilai Sikap'!I11)</f>
        <v>Melaksanakan sholat dhuhur berjemaah dan sholatt dhuha, berdo'a di awal di akhir kegiatan pembelajaran , serta melaksanakan kegiatan amaliyah siswa</v>
      </c>
      <c r="L18" s="234">
        <f>IF('Input Nilai Sikap'!M11="","",'Input Nilai Sikap'!M11)</f>
        <v>3</v>
      </c>
      <c r="M18" s="234">
        <f>IF('Input Nilai Sikap'!Q11="","",'Input Nilai Sikap'!Q11)</f>
        <v>3</v>
      </c>
      <c r="N18" s="234">
        <f>IF('Input Nilai Sikap'!U11="","",'Input Nilai Sikap'!U11)</f>
        <v>3</v>
      </c>
      <c r="O18" s="234">
        <f>IF('Input Nilai Sikap'!Y11="","",'Input Nilai Sikap'!Y11)</f>
        <v>3</v>
      </c>
      <c r="P18" s="235">
        <f>IF('Input Nilai Sikap'!AC11="","",'Input Nilai Sikap'!AC11)</f>
        <v>3</v>
      </c>
      <c r="Q18" s="235">
        <f>IF('Input Nilai Sikap'!AG11="","",'Input Nilai Sikap'!AG11)</f>
        <v>3</v>
      </c>
      <c r="R18" s="235">
        <f>IF('Input Nilai Sikap'!AK11="","",'Input Nilai Sikap'!AK11)</f>
        <v>3</v>
      </c>
      <c r="S18" s="233" t="str">
        <f>IF('Input Nilai Sikap'!AL11="","",'Input Nilai Sikap'!AL11)</f>
        <v>Santun dalam bersikap, disiplin dalam mentaati tata tertib madrasah, peduli pada lingkungan, orang tua, bertanggung jawab dalam melaksanakan tugas, baik sebagai individu maupun makhluk sosial</v>
      </c>
    </row>
    <row r="19" spans="1:19" s="141" customFormat="1" ht="23.25" customHeight="1">
      <c r="A19" s="205">
        <f>'DATA SISWA'!A10</f>
        <v>6</v>
      </c>
      <c r="B19" s="205" t="str">
        <f>'DATA SISWA'!B10</f>
        <v>7647</v>
      </c>
      <c r="C19" s="204" t="str">
        <f>'DATA SISWA'!C10</f>
        <v>AHMADI</v>
      </c>
      <c r="D19" s="229">
        <f>IF('Input Nilai Pengetahuan'!CQ10="","",'Input Nilai Pengetahuan'!CQ10)</f>
        <v>79</v>
      </c>
      <c r="E19" s="229" t="str">
        <f>IF('Input Nilai Pengetahuan'!CR10="","",'Input Nilai Pengetahuan'!CR10)</f>
        <v>B</v>
      </c>
      <c r="F19" s="230" t="str">
        <f>IF('Input Nilai Pengetahuan'!CV10="","",'Input Nilai Pengetahuan'!CV10)</f>
        <v>Penguasaan materi sudah baik dalam Mengidentifikasi informasi (pesan, rima, dan pilihan kata) dari puisi rakyat (pantun, syair, dan bentuk puisi rakyat setempat) yang dibaca dan didengar</v>
      </c>
      <c r="G19" s="229">
        <f>IF('Input Nilai Ketrampilan'!BF10="","",'Input Nilai Ketrampilan'!BF10)</f>
        <v>80</v>
      </c>
      <c r="H19" s="229" t="str">
        <f>IF('Input Nilai Ketrampilan'!BG10="","",'Input Nilai Ketrampilan'!BG10)</f>
        <v>B</v>
      </c>
      <c r="I19" s="230" t="str">
        <f>IF('Input Nilai Ketrampilan'!BK10="","",'Input Nilai Ketrampilan'!BK10)</f>
        <v>Terampil Menyimpulkan isi puisi rakyat (pantun, syair, dan bentuk puisi rakyat setempat) yang disajikan dalam bentuk tulis dan lisan</v>
      </c>
      <c r="J19" s="236">
        <f>IF('Input Nilai Sikap'!H12="","",'Input Nilai Sikap'!H12)</f>
        <v>3</v>
      </c>
      <c r="K19" s="233" t="str">
        <f>IF('Input Nilai Sikap'!I12="","",'Input Nilai Sikap'!I12)</f>
        <v>Melaksanakan sholat dhuhur berjemaah dan sholatt dhuha, berdo'a di awal di akhir kegiatan pembelajaran , serta melaksanakan kegiatan amaliyah siswa</v>
      </c>
      <c r="L19" s="234">
        <f>IF('Input Nilai Sikap'!M12="","",'Input Nilai Sikap'!M12)</f>
        <v>3</v>
      </c>
      <c r="M19" s="234">
        <f>IF('Input Nilai Sikap'!Q12="","",'Input Nilai Sikap'!Q12)</f>
        <v>3</v>
      </c>
      <c r="N19" s="234">
        <f>IF('Input Nilai Sikap'!U12="","",'Input Nilai Sikap'!U12)</f>
        <v>3</v>
      </c>
      <c r="O19" s="234">
        <f>IF('Input Nilai Sikap'!Y12="","",'Input Nilai Sikap'!Y12)</f>
        <v>3</v>
      </c>
      <c r="P19" s="235">
        <f>IF('Input Nilai Sikap'!AC12="","",'Input Nilai Sikap'!AC12)</f>
        <v>3</v>
      </c>
      <c r="Q19" s="235">
        <f>IF('Input Nilai Sikap'!AG12="","",'Input Nilai Sikap'!AG12)</f>
        <v>3</v>
      </c>
      <c r="R19" s="235">
        <f>IF('Input Nilai Sikap'!AK12="","",'Input Nilai Sikap'!AK12)</f>
        <v>3</v>
      </c>
      <c r="S19" s="233" t="str">
        <f>IF('Input Nilai Sikap'!AL12="","",'Input Nilai Sikap'!AL12)</f>
        <v>Santun dalam bersikap, disiplin dalam mentaati tata tertib madrasah, peduli pada lingkungan, orang tua, bertanggung jawab dalam melaksanakan tugas, baik sebagai individu maupun makhluk sosial</v>
      </c>
    </row>
    <row r="20" spans="1:19" s="141" customFormat="1" ht="23.25" customHeight="1">
      <c r="A20" s="205">
        <f>'DATA SISWA'!A11</f>
        <v>7</v>
      </c>
      <c r="B20" s="205" t="str">
        <f>'DATA SISWA'!B11</f>
        <v>7648</v>
      </c>
      <c r="C20" s="204" t="str">
        <f>'DATA SISWA'!C11</f>
        <v xml:space="preserve">AINUR ROFIK </v>
      </c>
      <c r="D20" s="229">
        <f>IF('Input Nilai Pengetahuan'!CQ11="","",'Input Nilai Pengetahuan'!CQ11)</f>
        <v>76</v>
      </c>
      <c r="E20" s="229" t="str">
        <f>IF('Input Nilai Pengetahuan'!CR11="","",'Input Nilai Pengetahuan'!CR11)</f>
        <v>B</v>
      </c>
      <c r="F20" s="230" t="str">
        <f>IF('Input Nilai Pengetahuan'!CV11="","",'Input Nilai Pengetahuan'!CV11)</f>
        <v>Penguasaan materi sudah baik dalam Menelaah struktur  dan kebahasaan puisi rakyat (pantun, syair, dan bentuk puisi rakyat setempat) yang dibaca dan didengar</v>
      </c>
      <c r="G20" s="229">
        <f>IF('Input Nilai Ketrampilan'!BF11="","",'Input Nilai Ketrampilan'!BF11)</f>
        <v>80</v>
      </c>
      <c r="H20" s="229" t="str">
        <f>IF('Input Nilai Ketrampilan'!BG11="","",'Input Nilai Ketrampilan'!BG11)</f>
        <v>B</v>
      </c>
      <c r="I20" s="230" t="str">
        <f>IF('Input Nilai Ketrampilan'!BK11="","",'Input Nilai Ketrampilan'!BK11)</f>
        <v>Terampil Menyimpulkan isi puisi rakyat (pantun, syair, dan bentuk puisi rakyat setempat) yang disajikan dalam bentuk tulis dan lisan</v>
      </c>
      <c r="J20" s="236">
        <f>IF('Input Nilai Sikap'!H13="","",'Input Nilai Sikap'!H13)</f>
        <v>3</v>
      </c>
      <c r="K20" s="233" t="str">
        <f>IF('Input Nilai Sikap'!I13="","",'Input Nilai Sikap'!I13)</f>
        <v>Melaksanakan sholat dhuhur berjemaah dan sholatt dhuha, berdo'a di awal di akhir kegiatan pembelajaran , serta melaksanakan kegiatan amaliyah siswa</v>
      </c>
      <c r="L20" s="234">
        <f>IF('Input Nilai Sikap'!M13="","",'Input Nilai Sikap'!M13)</f>
        <v>3</v>
      </c>
      <c r="M20" s="234">
        <f>IF('Input Nilai Sikap'!Q13="","",'Input Nilai Sikap'!Q13)</f>
        <v>3</v>
      </c>
      <c r="N20" s="234">
        <f>IF('Input Nilai Sikap'!U13="","",'Input Nilai Sikap'!U13)</f>
        <v>3</v>
      </c>
      <c r="O20" s="234">
        <f>IF('Input Nilai Sikap'!Y13="","",'Input Nilai Sikap'!Y13)</f>
        <v>3</v>
      </c>
      <c r="P20" s="235">
        <f>IF('Input Nilai Sikap'!AC13="","",'Input Nilai Sikap'!AC13)</f>
        <v>3</v>
      </c>
      <c r="Q20" s="235">
        <f>IF('Input Nilai Sikap'!AG13="","",'Input Nilai Sikap'!AG13)</f>
        <v>3</v>
      </c>
      <c r="R20" s="235">
        <f>IF('Input Nilai Sikap'!AK13="","",'Input Nilai Sikap'!AK13)</f>
        <v>3</v>
      </c>
      <c r="S20" s="233" t="str">
        <f>IF('Input Nilai Sikap'!AL13="","",'Input Nilai Sikap'!AL13)</f>
        <v>Santun dalam bersikap, disiplin dalam mentaati tata tertib madrasah, peduli pada lingkungan, orang tua, bertanggung jawab dalam melaksanakan tugas, baik sebagai individu maupun makhluk sosial</v>
      </c>
    </row>
    <row r="21" spans="1:19" s="141" customFormat="1" ht="23.25" customHeight="1">
      <c r="A21" s="205">
        <f>'DATA SISWA'!A12</f>
        <v>8</v>
      </c>
      <c r="B21" s="205" t="str">
        <f>'DATA SISWA'!B12</f>
        <v>7377</v>
      </c>
      <c r="C21" s="204" t="str">
        <f>'DATA SISWA'!C12</f>
        <v>AT-THORIQ BINTANG PRAJA</v>
      </c>
      <c r="D21" s="229">
        <f>IF('Input Nilai Pengetahuan'!CQ12="","",'Input Nilai Pengetahuan'!CQ12)</f>
        <v>79</v>
      </c>
      <c r="E21" s="229" t="str">
        <f>IF('Input Nilai Pengetahuan'!CR12="","",'Input Nilai Pengetahuan'!CR12)</f>
        <v>B</v>
      </c>
      <c r="F21" s="230" t="str">
        <f>IF('Input Nilai Pengetahuan'!CV12="","",'Input Nilai Pengetahuan'!CV12)</f>
        <v>Penguasaan materi sudah baik dalam Menelaah struktur  dan kebahasaan puisi rakyat (pantun, syair, dan bentuk puisi rakyat setempat) yang dibaca dan didengar</v>
      </c>
      <c r="G21" s="229">
        <f>IF('Input Nilai Ketrampilan'!BF12="","",'Input Nilai Ketrampilan'!BF12)</f>
        <v>79</v>
      </c>
      <c r="H21" s="229" t="str">
        <f>IF('Input Nilai Ketrampilan'!BG12="","",'Input Nilai Ketrampilan'!BG12)</f>
        <v>B</v>
      </c>
      <c r="I21" s="230" t="str">
        <f>IF('Input Nilai Ketrampilan'!BK12="","",'Input Nilai Ketrampilan'!BK12)</f>
        <v>Terampil Menyimpulkan isi puisi rakyat (pantun, syair, dan bentuk puisi rakyat setempat) yang disajikan dalam bentuk tulis dan lisan</v>
      </c>
      <c r="J21" s="236">
        <f>IF('Input Nilai Sikap'!H14="","",'Input Nilai Sikap'!H14)</f>
        <v>3</v>
      </c>
      <c r="K21" s="233" t="str">
        <f>IF('Input Nilai Sikap'!I14="","",'Input Nilai Sikap'!I14)</f>
        <v>Melaksanakan sholat dhuhur berjemaah dan sholatt dhuha, berdo'a di awal di akhir kegiatan pembelajaran , serta melaksanakan kegiatan amaliyah siswa</v>
      </c>
      <c r="L21" s="234">
        <f>IF('Input Nilai Sikap'!M14="","",'Input Nilai Sikap'!M14)</f>
        <v>3</v>
      </c>
      <c r="M21" s="234">
        <f>IF('Input Nilai Sikap'!Q14="","",'Input Nilai Sikap'!Q14)</f>
        <v>3</v>
      </c>
      <c r="N21" s="234">
        <f>IF('Input Nilai Sikap'!U14="","",'Input Nilai Sikap'!U14)</f>
        <v>3</v>
      </c>
      <c r="O21" s="234">
        <f>IF('Input Nilai Sikap'!Y14="","",'Input Nilai Sikap'!Y14)</f>
        <v>3</v>
      </c>
      <c r="P21" s="235">
        <f>IF('Input Nilai Sikap'!AC14="","",'Input Nilai Sikap'!AC14)</f>
        <v>3</v>
      </c>
      <c r="Q21" s="235">
        <f>IF('Input Nilai Sikap'!AG14="","",'Input Nilai Sikap'!AG14)</f>
        <v>3</v>
      </c>
      <c r="R21" s="235">
        <f>IF('Input Nilai Sikap'!AK14="","",'Input Nilai Sikap'!AK14)</f>
        <v>3</v>
      </c>
      <c r="S21" s="233" t="str">
        <f>IF('Input Nilai Sikap'!AL14="","",'Input Nilai Sikap'!AL14)</f>
        <v>Santun dalam bersikap, disiplin dalam mentaati tata tertib madrasah, peduli pada lingkungan, orang tua, bertanggung jawab dalam melaksanakan tugas, baik sebagai individu maupun makhluk sosial</v>
      </c>
    </row>
    <row r="22" spans="1:19" s="141" customFormat="1" ht="23.25" customHeight="1">
      <c r="A22" s="205">
        <f>'DATA SISWA'!A13</f>
        <v>9</v>
      </c>
      <c r="B22" s="205" t="str">
        <f>'DATA SISWA'!B13</f>
        <v>7649</v>
      </c>
      <c r="C22" s="204" t="str">
        <f>'DATA SISWA'!C13</f>
        <v>DEWI WULANDARI</v>
      </c>
      <c r="D22" s="229">
        <f>IF('Input Nilai Pengetahuan'!CQ13="","",'Input Nilai Pengetahuan'!CQ13)</f>
        <v>80</v>
      </c>
      <c r="E22" s="229" t="str">
        <f>IF('Input Nilai Pengetahuan'!CR13="","",'Input Nilai Pengetahuan'!CR13)</f>
        <v>B</v>
      </c>
      <c r="F22" s="230" t="str">
        <f>IF('Input Nilai Pengetahuan'!CV13="","",'Input Nilai Pengetahuan'!CV13)</f>
        <v>Penguasaan materi sudah baik dalam Menelaah struktur  dan kebahasaan puisi rakyat (pantun, syair, dan bentuk puisi rakyat setempat) yang dibaca dan didengar</v>
      </c>
      <c r="G22" s="229">
        <f>IF('Input Nilai Ketrampilan'!BF13="","",'Input Nilai Ketrampilan'!BF13)</f>
        <v>78</v>
      </c>
      <c r="H22" s="229" t="str">
        <f>IF('Input Nilai Ketrampilan'!BG13="","",'Input Nilai Ketrampilan'!BG13)</f>
        <v>B</v>
      </c>
      <c r="I22" s="230" t="str">
        <f>IF('Input Nilai Ketrampilan'!BK13="","",'Input Nilai Ketrampilan'!BK13)</f>
        <v>Terampil Menyimpulkan isi puisi rakyat (pantun, syair, dan bentuk puisi rakyat setempat) yang disajikan dalam bentuk tulis dan lisan</v>
      </c>
      <c r="J22" s="236">
        <f>IF('Input Nilai Sikap'!H15="","",'Input Nilai Sikap'!H15)</f>
        <v>3</v>
      </c>
      <c r="K22" s="233" t="str">
        <f>IF('Input Nilai Sikap'!I15="","",'Input Nilai Sikap'!I15)</f>
        <v>Melaksanakan sholat dhuhur berjemaah dan sholatt dhuha, berdo'a di awal di akhir kegiatan pembelajaran , serta melaksanakan kegiatan amaliyah siswa</v>
      </c>
      <c r="L22" s="234">
        <f>IF('Input Nilai Sikap'!M15="","",'Input Nilai Sikap'!M15)</f>
        <v>3</v>
      </c>
      <c r="M22" s="234">
        <f>IF('Input Nilai Sikap'!Q15="","",'Input Nilai Sikap'!Q15)</f>
        <v>3</v>
      </c>
      <c r="N22" s="234">
        <f>IF('Input Nilai Sikap'!U15="","",'Input Nilai Sikap'!U15)</f>
        <v>3</v>
      </c>
      <c r="O22" s="234">
        <f>IF('Input Nilai Sikap'!Y15="","",'Input Nilai Sikap'!Y15)</f>
        <v>3</v>
      </c>
      <c r="P22" s="235">
        <f>IF('Input Nilai Sikap'!AC15="","",'Input Nilai Sikap'!AC15)</f>
        <v>3</v>
      </c>
      <c r="Q22" s="235">
        <f>IF('Input Nilai Sikap'!AG15="","",'Input Nilai Sikap'!AG15)</f>
        <v>3</v>
      </c>
      <c r="R22" s="235">
        <f>IF('Input Nilai Sikap'!AK15="","",'Input Nilai Sikap'!AK15)</f>
        <v>3</v>
      </c>
      <c r="S22" s="233" t="str">
        <f>IF('Input Nilai Sikap'!AL15="","",'Input Nilai Sikap'!AL15)</f>
        <v>Santun dalam bersikap, disiplin dalam mentaati tata tertib madrasah, peduli pada lingkungan, orang tua, bertanggung jawab dalam melaksanakan tugas, baik sebagai individu maupun makhluk sosial</v>
      </c>
    </row>
    <row r="23" spans="1:19" s="141" customFormat="1" ht="23.25" customHeight="1">
      <c r="A23" s="205">
        <f>'DATA SISWA'!A14</f>
        <v>10</v>
      </c>
      <c r="B23" s="205" t="str">
        <f>'DATA SISWA'!B14</f>
        <v>7650</v>
      </c>
      <c r="C23" s="204" t="str">
        <f>'DATA SISWA'!C14</f>
        <v>ENI UMAMAH</v>
      </c>
      <c r="D23" s="229">
        <f>IF('Input Nilai Pengetahuan'!CQ14="","",'Input Nilai Pengetahuan'!CQ14)</f>
        <v>76</v>
      </c>
      <c r="E23" s="229" t="str">
        <f>IF('Input Nilai Pengetahuan'!CR14="","",'Input Nilai Pengetahuan'!CR14)</f>
        <v>B</v>
      </c>
      <c r="F23" s="230" t="str">
        <f>IF('Input Nilai Pengetahuan'!CV14="","",'Input Nilai Pengetahuan'!CV14)</f>
        <v>Penguasaan materi sudah baik dalam Menelaah struktur  dan kebahasaan puisi rakyat (pantun, syair, dan bentuk puisi rakyat setempat) yang dibaca dan didengar</v>
      </c>
      <c r="G23" s="229">
        <f>IF('Input Nilai Ketrampilan'!BF14="","",'Input Nilai Ketrampilan'!BF14)</f>
        <v>79</v>
      </c>
      <c r="H23" s="229" t="str">
        <f>IF('Input Nilai Ketrampilan'!BG14="","",'Input Nilai Ketrampilan'!BG14)</f>
        <v>B</v>
      </c>
      <c r="I23" s="230" t="str">
        <f>IF('Input Nilai Ketrampilan'!BK14="","",'Input Nilai Ketrampilan'!BK14)</f>
        <v>Terampil Menyimpulkan isi puisi rakyat (pantun, syair, dan bentuk puisi rakyat setempat) yang disajikan dalam bentuk tulis dan lisan</v>
      </c>
      <c r="J23" s="236">
        <f>IF('Input Nilai Sikap'!H16="","",'Input Nilai Sikap'!H16)</f>
        <v>3</v>
      </c>
      <c r="K23" s="233" t="str">
        <f>IF('Input Nilai Sikap'!I16="","",'Input Nilai Sikap'!I16)</f>
        <v>Melaksanakan sholat dhuhur berjemaah dan sholatt dhuha, berdo'a di awal di akhir kegiatan pembelajaran , serta melaksanakan kegiatan amaliyah siswa</v>
      </c>
      <c r="L23" s="234">
        <f>IF('Input Nilai Sikap'!M16="","",'Input Nilai Sikap'!M16)</f>
        <v>3</v>
      </c>
      <c r="M23" s="234">
        <f>IF('Input Nilai Sikap'!Q16="","",'Input Nilai Sikap'!Q16)</f>
        <v>3</v>
      </c>
      <c r="N23" s="234">
        <f>IF('Input Nilai Sikap'!U16="","",'Input Nilai Sikap'!U16)</f>
        <v>3</v>
      </c>
      <c r="O23" s="234">
        <f>IF('Input Nilai Sikap'!Y16="","",'Input Nilai Sikap'!Y16)</f>
        <v>3</v>
      </c>
      <c r="P23" s="235">
        <f>IF('Input Nilai Sikap'!AC16="","",'Input Nilai Sikap'!AC16)</f>
        <v>3</v>
      </c>
      <c r="Q23" s="235">
        <f>IF('Input Nilai Sikap'!AG16="","",'Input Nilai Sikap'!AG16)</f>
        <v>3</v>
      </c>
      <c r="R23" s="235">
        <f>IF('Input Nilai Sikap'!AK16="","",'Input Nilai Sikap'!AK16)</f>
        <v>3</v>
      </c>
      <c r="S23" s="233" t="str">
        <f>IF('Input Nilai Sikap'!AL16="","",'Input Nilai Sikap'!AL16)</f>
        <v>Santun dalam bersikap, disiplin dalam mentaati tata tertib madrasah, peduli pada lingkungan, orang tua, bertanggung jawab dalam melaksanakan tugas, baik sebagai individu maupun makhluk sosial</v>
      </c>
    </row>
    <row r="24" spans="1:19" s="141" customFormat="1" ht="23.25" customHeight="1">
      <c r="A24" s="205">
        <f>'DATA SISWA'!A15</f>
        <v>11</v>
      </c>
      <c r="B24" s="205" t="str">
        <f>'DATA SISWA'!B15</f>
        <v>7651</v>
      </c>
      <c r="C24" s="204" t="str">
        <f>'DATA SISWA'!C15</f>
        <v>FADIA FASSA</v>
      </c>
      <c r="D24" s="229">
        <f>IF('Input Nilai Pengetahuan'!CQ15="","",'Input Nilai Pengetahuan'!CQ15)</f>
        <v>76</v>
      </c>
      <c r="E24" s="229" t="str">
        <f>IF('Input Nilai Pengetahuan'!CR15="","",'Input Nilai Pengetahuan'!CR15)</f>
        <v>B</v>
      </c>
      <c r="F24" s="230" t="str">
        <f>IF('Input Nilai Pengetahuan'!CV15="","",'Input Nilai Pengetahuan'!CV15)</f>
        <v>Penguasaan materi sudah baik dalam Menelaah struktur  dan kebahasaan puisi rakyat (pantun, syair, dan bentuk puisi rakyat setempat) yang dibaca dan didengar</v>
      </c>
      <c r="G24" s="229">
        <f>IF('Input Nilai Ketrampilan'!BF15="","",'Input Nilai Ketrampilan'!BF15)</f>
        <v>80</v>
      </c>
      <c r="H24" s="229" t="str">
        <f>IF('Input Nilai Ketrampilan'!BG15="","",'Input Nilai Ketrampilan'!BG15)</f>
        <v>B</v>
      </c>
      <c r="I24" s="230" t="str">
        <f>IF('Input Nilai Ketrampilan'!BK15="","",'Input Nilai Ketrampilan'!BK15)</f>
        <v>Terampil Menyimpulkan isi puisi rakyat (pantun, syair, dan bentuk puisi rakyat setempat) yang disajikan dalam bentuk tulis dan lisan</v>
      </c>
      <c r="J24" s="236">
        <f>IF('Input Nilai Sikap'!H17="","",'Input Nilai Sikap'!H17)</f>
        <v>3</v>
      </c>
      <c r="K24" s="233" t="str">
        <f>IF('Input Nilai Sikap'!I17="","",'Input Nilai Sikap'!I17)</f>
        <v>Melaksanakan sholat dhuhur berjemaah dan sholatt dhuha, berdo'a di awal di akhir kegiatan pembelajaran , serta melaksanakan kegiatan amaliyah siswa</v>
      </c>
      <c r="L24" s="234">
        <f>IF('Input Nilai Sikap'!M17="","",'Input Nilai Sikap'!M17)</f>
        <v>3</v>
      </c>
      <c r="M24" s="234">
        <f>IF('Input Nilai Sikap'!Q17="","",'Input Nilai Sikap'!Q17)</f>
        <v>3</v>
      </c>
      <c r="N24" s="234">
        <f>IF('Input Nilai Sikap'!U17="","",'Input Nilai Sikap'!U17)</f>
        <v>3</v>
      </c>
      <c r="O24" s="234">
        <f>IF('Input Nilai Sikap'!Y17="","",'Input Nilai Sikap'!Y17)</f>
        <v>3</v>
      </c>
      <c r="P24" s="235">
        <f>IF('Input Nilai Sikap'!AC17="","",'Input Nilai Sikap'!AC17)</f>
        <v>3</v>
      </c>
      <c r="Q24" s="235">
        <f>IF('Input Nilai Sikap'!AG17="","",'Input Nilai Sikap'!AG17)</f>
        <v>3</v>
      </c>
      <c r="R24" s="235">
        <f>IF('Input Nilai Sikap'!AK17="","",'Input Nilai Sikap'!AK17)</f>
        <v>3</v>
      </c>
      <c r="S24" s="233" t="str">
        <f>IF('Input Nilai Sikap'!AL17="","",'Input Nilai Sikap'!AL17)</f>
        <v>Santun dalam bersikap, disiplin dalam mentaati tata tertib madrasah, peduli pada lingkungan, orang tua, bertanggung jawab dalam melaksanakan tugas, baik sebagai individu maupun makhluk sosial</v>
      </c>
    </row>
    <row r="25" spans="1:19" s="141" customFormat="1" ht="23.25" customHeight="1">
      <c r="A25" s="205">
        <f>'DATA SISWA'!A16</f>
        <v>12</v>
      </c>
      <c r="B25" s="205" t="str">
        <f>'DATA SISWA'!B16</f>
        <v>7652</v>
      </c>
      <c r="C25" s="204" t="str">
        <f>'DATA SISWA'!C16</f>
        <v>FATIMATUZ  ZAHROH</v>
      </c>
      <c r="D25" s="229">
        <f>IF('Input Nilai Pengetahuan'!CQ16="","",'Input Nilai Pengetahuan'!CQ16)</f>
        <v>80</v>
      </c>
      <c r="E25" s="229" t="str">
        <f>IF('Input Nilai Pengetahuan'!CR16="","",'Input Nilai Pengetahuan'!CR16)</f>
        <v>B</v>
      </c>
      <c r="F25" s="230" t="str">
        <f>IF('Input Nilai Pengetahuan'!CV16="","",'Input Nilai Pengetahuan'!CV16)</f>
        <v>Penguasaan materi sudah baik dalam Mengidentifikasi informasi (pesan, rima, dan pilihan kata) dari puisi rakyat (pantun, syair, dan bentuk puisi rakyat setempat) yang dibaca dan didengar</v>
      </c>
      <c r="G25" s="229">
        <f>IF('Input Nilai Ketrampilan'!BF16="","",'Input Nilai Ketrampilan'!BF16)</f>
        <v>80</v>
      </c>
      <c r="H25" s="229" t="str">
        <f>IF('Input Nilai Ketrampilan'!BG16="","",'Input Nilai Ketrampilan'!BG16)</f>
        <v>B</v>
      </c>
      <c r="I25" s="230" t="str">
        <f>IF('Input Nilai Ketrampilan'!BK16="","",'Input Nilai Ketrampilan'!BK16)</f>
        <v>Terampil Menyimpulkan isi puisi rakyat (pantun, syair, dan bentuk puisi rakyat setempat) yang disajikan dalam bentuk tulis dan lisan</v>
      </c>
      <c r="J25" s="236">
        <f>IF('Input Nilai Sikap'!H18="","",'Input Nilai Sikap'!H18)</f>
        <v>3</v>
      </c>
      <c r="K25" s="233" t="str">
        <f>IF('Input Nilai Sikap'!I18="","",'Input Nilai Sikap'!I18)</f>
        <v>Melaksanakan sholat dhuhur berjemaah dan sholatt dhuha, berdo'a di awal di akhir kegiatan pembelajaran , serta melaksanakan kegiatan amaliyah siswa</v>
      </c>
      <c r="L25" s="234">
        <f>IF('Input Nilai Sikap'!M18="","",'Input Nilai Sikap'!M18)</f>
        <v>3</v>
      </c>
      <c r="M25" s="234">
        <f>IF('Input Nilai Sikap'!Q18="","",'Input Nilai Sikap'!Q18)</f>
        <v>3</v>
      </c>
      <c r="N25" s="234">
        <f>IF('Input Nilai Sikap'!U18="","",'Input Nilai Sikap'!U18)</f>
        <v>3</v>
      </c>
      <c r="O25" s="234">
        <f>IF('Input Nilai Sikap'!Y18="","",'Input Nilai Sikap'!Y18)</f>
        <v>3</v>
      </c>
      <c r="P25" s="235">
        <f>IF('Input Nilai Sikap'!AC18="","",'Input Nilai Sikap'!AC18)</f>
        <v>3</v>
      </c>
      <c r="Q25" s="235">
        <f>IF('Input Nilai Sikap'!AG18="","",'Input Nilai Sikap'!AG18)</f>
        <v>3</v>
      </c>
      <c r="R25" s="235">
        <f>IF('Input Nilai Sikap'!AK18="","",'Input Nilai Sikap'!AK18)</f>
        <v>3</v>
      </c>
      <c r="S25" s="233" t="str">
        <f>IF('Input Nilai Sikap'!AL18="","",'Input Nilai Sikap'!AL18)</f>
        <v>Santun dalam bersikap, disiplin dalam mentaati tata tertib madrasah, peduli pada lingkungan, orang tua, bertanggung jawab dalam melaksanakan tugas, baik sebagai individu maupun makhluk sosial</v>
      </c>
    </row>
    <row r="26" spans="1:19" s="141" customFormat="1" ht="23.25" customHeight="1">
      <c r="A26" s="205">
        <f>'DATA SISWA'!A17</f>
        <v>13</v>
      </c>
      <c r="B26" s="205" t="str">
        <f>'DATA SISWA'!B17</f>
        <v>7653</v>
      </c>
      <c r="C26" s="204" t="str">
        <f>'DATA SISWA'!C17</f>
        <v>IMAM FATONI</v>
      </c>
      <c r="D26" s="229">
        <f>IF('Input Nilai Pengetahuan'!CQ17="","",'Input Nilai Pengetahuan'!CQ17)</f>
        <v>76</v>
      </c>
      <c r="E26" s="229" t="str">
        <f>IF('Input Nilai Pengetahuan'!CR17="","",'Input Nilai Pengetahuan'!CR17)</f>
        <v>B</v>
      </c>
      <c r="F26" s="230" t="str">
        <f>IF('Input Nilai Pengetahuan'!CV17="","",'Input Nilai Pengetahuan'!CV17)</f>
        <v>Penguasaan materi sudah baik dalam Menelaah struktur  dan kebahasaan puisi rakyat (pantun, syair, dan bentuk puisi rakyat setempat) yang dibaca dan didengar</v>
      </c>
      <c r="G26" s="229">
        <f>IF('Input Nilai Ketrampilan'!BF17="","",'Input Nilai Ketrampilan'!BF17)</f>
        <v>79</v>
      </c>
      <c r="H26" s="229" t="str">
        <f>IF('Input Nilai Ketrampilan'!BG17="","",'Input Nilai Ketrampilan'!BG17)</f>
        <v>B</v>
      </c>
      <c r="I26" s="230" t="str">
        <f>IF('Input Nilai Ketrampilan'!BK17="","",'Input Nilai Ketrampilan'!BK17)</f>
        <v>Terampil Menyimpulkan isi puisi rakyat (pantun, syair, dan bentuk puisi rakyat setempat) yang disajikan dalam bentuk tulis dan lisan</v>
      </c>
      <c r="J26" s="236">
        <f>IF('Input Nilai Sikap'!H19="","",'Input Nilai Sikap'!H19)</f>
        <v>3</v>
      </c>
      <c r="K26" s="233" t="str">
        <f>IF('Input Nilai Sikap'!I19="","",'Input Nilai Sikap'!I19)</f>
        <v>Melaksanakan sholat dhuhur berjemaah dan sholatt dhuha, berdo'a di awal di akhir kegiatan pembelajaran , serta melaksanakan kegiatan amaliyah siswa</v>
      </c>
      <c r="L26" s="234">
        <f>IF('Input Nilai Sikap'!M19="","",'Input Nilai Sikap'!M19)</f>
        <v>3</v>
      </c>
      <c r="M26" s="234">
        <f>IF('Input Nilai Sikap'!Q19="","",'Input Nilai Sikap'!Q19)</f>
        <v>3</v>
      </c>
      <c r="N26" s="234">
        <f>IF('Input Nilai Sikap'!U19="","",'Input Nilai Sikap'!U19)</f>
        <v>3</v>
      </c>
      <c r="O26" s="234">
        <f>IF('Input Nilai Sikap'!Y19="","",'Input Nilai Sikap'!Y19)</f>
        <v>3</v>
      </c>
      <c r="P26" s="235">
        <f>IF('Input Nilai Sikap'!AC19="","",'Input Nilai Sikap'!AC19)</f>
        <v>3</v>
      </c>
      <c r="Q26" s="235">
        <f>IF('Input Nilai Sikap'!AG19="","",'Input Nilai Sikap'!AG19)</f>
        <v>3</v>
      </c>
      <c r="R26" s="235">
        <f>IF('Input Nilai Sikap'!AK19="","",'Input Nilai Sikap'!AK19)</f>
        <v>3</v>
      </c>
      <c r="S26" s="233" t="str">
        <f>IF('Input Nilai Sikap'!AL19="","",'Input Nilai Sikap'!AL19)</f>
        <v>Santun dalam bersikap, disiplin dalam mentaati tata tertib madrasah, peduli pada lingkungan, orang tua, bertanggung jawab dalam melaksanakan tugas, baik sebagai individu maupun makhluk sosial</v>
      </c>
    </row>
    <row r="27" spans="1:19" s="141" customFormat="1" ht="23.25" customHeight="1">
      <c r="A27" s="205">
        <f>'DATA SISWA'!A18</f>
        <v>14</v>
      </c>
      <c r="B27" s="205" t="str">
        <f>'DATA SISWA'!B18</f>
        <v>7654</v>
      </c>
      <c r="C27" s="204" t="str">
        <f>'DATA SISWA'!C18</f>
        <v>ISMA SRI WAHYUNI</v>
      </c>
      <c r="D27" s="229">
        <f>IF('Input Nilai Pengetahuan'!CQ18="","",'Input Nilai Pengetahuan'!CQ18)</f>
        <v>79</v>
      </c>
      <c r="E27" s="229" t="str">
        <f>IF('Input Nilai Pengetahuan'!CR18="","",'Input Nilai Pengetahuan'!CR18)</f>
        <v>B</v>
      </c>
      <c r="F27" s="230" t="str">
        <f>IF('Input Nilai Pengetahuan'!CV18="","",'Input Nilai Pengetahuan'!CV18)</f>
        <v>Penguasaan materi sudah baik dalam Mengidentifikasi informasi (pesan, rima, dan pilihan kata) dari puisi rakyat (pantun, syair, dan bentuk puisi rakyat setempat) yang dibaca dan didengar</v>
      </c>
      <c r="G27" s="229">
        <f>IF('Input Nilai Ketrampilan'!BF18="","",'Input Nilai Ketrampilan'!BF18)</f>
        <v>78</v>
      </c>
      <c r="H27" s="229" t="str">
        <f>IF('Input Nilai Ketrampilan'!BG18="","",'Input Nilai Ketrampilan'!BG18)</f>
        <v>B</v>
      </c>
      <c r="I27" s="230" t="str">
        <f>IF('Input Nilai Ketrampilan'!BK18="","",'Input Nilai Ketrampilan'!BK18)</f>
        <v>Terampil Menyimpulkan isi puisi rakyat (pantun, syair, dan bentuk puisi rakyat setempat) yang disajikan dalam bentuk tulis dan lisan</v>
      </c>
      <c r="J27" s="236">
        <f>IF('Input Nilai Sikap'!H20="","",'Input Nilai Sikap'!H20)</f>
        <v>3</v>
      </c>
      <c r="K27" s="233" t="str">
        <f>IF('Input Nilai Sikap'!I20="","",'Input Nilai Sikap'!I20)</f>
        <v>Melaksanakan sholat dhuhur berjemaah dan sholatt dhuha, berdo'a di awal di akhir kegiatan pembelajaran , serta melaksanakan kegiatan amaliyah siswa</v>
      </c>
      <c r="L27" s="234">
        <f>IF('Input Nilai Sikap'!M20="","",'Input Nilai Sikap'!M20)</f>
        <v>3</v>
      </c>
      <c r="M27" s="234">
        <f>IF('Input Nilai Sikap'!Q20="","",'Input Nilai Sikap'!Q20)</f>
        <v>3</v>
      </c>
      <c r="N27" s="234">
        <f>IF('Input Nilai Sikap'!U20="","",'Input Nilai Sikap'!U20)</f>
        <v>3</v>
      </c>
      <c r="O27" s="234">
        <f>IF('Input Nilai Sikap'!Y20="","",'Input Nilai Sikap'!Y20)</f>
        <v>3</v>
      </c>
      <c r="P27" s="235">
        <f>IF('Input Nilai Sikap'!AC20="","",'Input Nilai Sikap'!AC20)</f>
        <v>3</v>
      </c>
      <c r="Q27" s="235">
        <f>IF('Input Nilai Sikap'!AG20="","",'Input Nilai Sikap'!AG20)</f>
        <v>3</v>
      </c>
      <c r="R27" s="235">
        <f>IF('Input Nilai Sikap'!AK20="","",'Input Nilai Sikap'!AK20)</f>
        <v>3</v>
      </c>
      <c r="S27" s="233" t="str">
        <f>IF('Input Nilai Sikap'!AL20="","",'Input Nilai Sikap'!AL20)</f>
        <v>Santun dalam bersikap, disiplin dalam mentaati tata tertib madrasah, peduli pada lingkungan, orang tua, bertanggung jawab dalam melaksanakan tugas, baik sebagai individu maupun makhluk sosial</v>
      </c>
    </row>
    <row r="28" spans="1:19" s="141" customFormat="1" ht="23.25" customHeight="1">
      <c r="A28" s="205">
        <f>'DATA SISWA'!A19</f>
        <v>15</v>
      </c>
      <c r="B28" s="205" t="str">
        <f>'DATA SISWA'!B19</f>
        <v>7655</v>
      </c>
      <c r="C28" s="204" t="str">
        <f>'DATA SISWA'!C19</f>
        <v>JAKFAR SODIK ROMADHONI</v>
      </c>
      <c r="D28" s="229">
        <f>IF('Input Nilai Pengetahuan'!CQ19="","",'Input Nilai Pengetahuan'!CQ19)</f>
        <v>77</v>
      </c>
      <c r="E28" s="229" t="str">
        <f>IF('Input Nilai Pengetahuan'!CR19="","",'Input Nilai Pengetahuan'!CR19)</f>
        <v>B</v>
      </c>
      <c r="F28" s="230" t="str">
        <f>IF('Input Nilai Pengetahuan'!CV19="","",'Input Nilai Pengetahuan'!CV19)</f>
        <v>Penguasaan materi sudah baik dalam Menelaah struktur  dan kebahasaan puisi rakyat (pantun, syair, dan bentuk puisi rakyat setempat) yang dibaca dan didengar</v>
      </c>
      <c r="G28" s="229">
        <f>IF('Input Nilai Ketrampilan'!BF19="","",'Input Nilai Ketrampilan'!BF19)</f>
        <v>79</v>
      </c>
      <c r="H28" s="229" t="str">
        <f>IF('Input Nilai Ketrampilan'!BG19="","",'Input Nilai Ketrampilan'!BG19)</f>
        <v>B</v>
      </c>
      <c r="I28" s="230" t="str">
        <f>IF('Input Nilai Ketrampilan'!BK19="","",'Input Nilai Ketrampilan'!BK19)</f>
        <v>Terampil Menyimpulkan isi puisi rakyat (pantun, syair, dan bentuk puisi rakyat setempat) yang disajikan dalam bentuk tulis dan lisan</v>
      </c>
      <c r="J28" s="236">
        <f>IF('Input Nilai Sikap'!H21="","",'Input Nilai Sikap'!H21)</f>
        <v>3</v>
      </c>
      <c r="K28" s="233" t="str">
        <f>IF('Input Nilai Sikap'!I21="","",'Input Nilai Sikap'!I21)</f>
        <v>Melaksanakan sholat dhuhur berjemaah dan sholatt dhuha, berdo'a di awal di akhir kegiatan pembelajaran , serta melaksanakan kegiatan amaliyah siswa</v>
      </c>
      <c r="L28" s="234">
        <f>IF('Input Nilai Sikap'!M21="","",'Input Nilai Sikap'!M21)</f>
        <v>3</v>
      </c>
      <c r="M28" s="234">
        <f>IF('Input Nilai Sikap'!Q21="","",'Input Nilai Sikap'!Q21)</f>
        <v>3</v>
      </c>
      <c r="N28" s="234">
        <f>IF('Input Nilai Sikap'!U21="","",'Input Nilai Sikap'!U21)</f>
        <v>3</v>
      </c>
      <c r="O28" s="234">
        <f>IF('Input Nilai Sikap'!Y21="","",'Input Nilai Sikap'!Y21)</f>
        <v>3</v>
      </c>
      <c r="P28" s="235">
        <f>IF('Input Nilai Sikap'!AC21="","",'Input Nilai Sikap'!AC21)</f>
        <v>3</v>
      </c>
      <c r="Q28" s="235">
        <f>IF('Input Nilai Sikap'!AG21="","",'Input Nilai Sikap'!AG21)</f>
        <v>3</v>
      </c>
      <c r="R28" s="235">
        <f>IF('Input Nilai Sikap'!AK21="","",'Input Nilai Sikap'!AK21)</f>
        <v>3</v>
      </c>
      <c r="S28" s="233" t="str">
        <f>IF('Input Nilai Sikap'!AL21="","",'Input Nilai Sikap'!AL21)</f>
        <v>Santun dalam bersikap, disiplin dalam mentaati tata tertib madrasah, peduli pada lingkungan, orang tua, bertanggung jawab dalam melaksanakan tugas, baik sebagai individu maupun makhluk sosial</v>
      </c>
    </row>
    <row r="29" spans="1:19" s="141" customFormat="1" ht="23.25" customHeight="1">
      <c r="A29" s="205">
        <f>'DATA SISWA'!A20</f>
        <v>16</v>
      </c>
      <c r="B29" s="205" t="str">
        <f>'DATA SISWA'!B20</f>
        <v>7656</v>
      </c>
      <c r="C29" s="204" t="str">
        <f>'DATA SISWA'!C20</f>
        <v>KHOIRIL NISA'</v>
      </c>
      <c r="D29" s="229">
        <f>IF('Input Nilai Pengetahuan'!CQ20="","",'Input Nilai Pengetahuan'!CQ20)</f>
        <v>77</v>
      </c>
      <c r="E29" s="229" t="str">
        <f>IF('Input Nilai Pengetahuan'!CR20="","",'Input Nilai Pengetahuan'!CR20)</f>
        <v>B</v>
      </c>
      <c r="F29" s="230" t="str">
        <f>IF('Input Nilai Pengetahuan'!CV20="","",'Input Nilai Pengetahuan'!CV20)</f>
        <v>Penguasaan materi sudah baik dalam Mengidentifikasi informasi (pesan, rima, dan pilihan kata) dari puisi rakyat (pantun, syair, dan bentuk puisi rakyat setempat) yang dibaca dan didengar</v>
      </c>
      <c r="G29" s="229">
        <f>IF('Input Nilai Ketrampilan'!BF20="","",'Input Nilai Ketrampilan'!BF20)</f>
        <v>80</v>
      </c>
      <c r="H29" s="229" t="str">
        <f>IF('Input Nilai Ketrampilan'!BG20="","",'Input Nilai Ketrampilan'!BG20)</f>
        <v>B</v>
      </c>
      <c r="I29" s="230" t="str">
        <f>IF('Input Nilai Ketrampilan'!BK20="","",'Input Nilai Ketrampilan'!BK20)</f>
        <v>Terampil Menyimpulkan isi puisi rakyat (pantun, syair, dan bentuk puisi rakyat setempat) yang disajikan dalam bentuk tulis dan lisan</v>
      </c>
      <c r="J29" s="236">
        <f>IF('Input Nilai Sikap'!H22="","",'Input Nilai Sikap'!H22)</f>
        <v>3</v>
      </c>
      <c r="K29" s="233" t="str">
        <f>IF('Input Nilai Sikap'!I22="","",'Input Nilai Sikap'!I22)</f>
        <v>Melaksanakan sholat dhuhur berjemaah dan sholatt dhuha, berdo'a di awal di akhir kegiatan pembelajaran , serta melaksanakan kegiatan amaliyah siswa</v>
      </c>
      <c r="L29" s="234">
        <f>IF('Input Nilai Sikap'!M22="","",'Input Nilai Sikap'!M22)</f>
        <v>3</v>
      </c>
      <c r="M29" s="234">
        <f>IF('Input Nilai Sikap'!Q22="","",'Input Nilai Sikap'!Q22)</f>
        <v>3</v>
      </c>
      <c r="N29" s="234">
        <f>IF('Input Nilai Sikap'!U22="","",'Input Nilai Sikap'!U22)</f>
        <v>3</v>
      </c>
      <c r="O29" s="234">
        <f>IF('Input Nilai Sikap'!Y22="","",'Input Nilai Sikap'!Y22)</f>
        <v>3</v>
      </c>
      <c r="P29" s="235">
        <f>IF('Input Nilai Sikap'!AC22="","",'Input Nilai Sikap'!AC22)</f>
        <v>3</v>
      </c>
      <c r="Q29" s="235">
        <f>IF('Input Nilai Sikap'!AG22="","",'Input Nilai Sikap'!AG22)</f>
        <v>3</v>
      </c>
      <c r="R29" s="235">
        <f>IF('Input Nilai Sikap'!AK22="","",'Input Nilai Sikap'!AK22)</f>
        <v>3</v>
      </c>
      <c r="S29" s="233" t="str">
        <f>IF('Input Nilai Sikap'!AL22="","",'Input Nilai Sikap'!AL22)</f>
        <v>Santun dalam bersikap, disiplin dalam mentaati tata tertib madrasah, peduli pada lingkungan, orang tua, bertanggung jawab dalam melaksanakan tugas, baik sebagai individu maupun makhluk sosial</v>
      </c>
    </row>
    <row r="30" spans="1:19" s="141" customFormat="1" ht="23.25" customHeight="1">
      <c r="A30" s="205">
        <f>'DATA SISWA'!A21</f>
        <v>17</v>
      </c>
      <c r="B30" s="205" t="str">
        <f>'DATA SISWA'!B21</f>
        <v>7657</v>
      </c>
      <c r="C30" s="204" t="str">
        <f>'DATA SISWA'!C21</f>
        <v>LATIFA MAHARANI</v>
      </c>
      <c r="D30" s="229">
        <f>IF('Input Nilai Pengetahuan'!CQ21="","",'Input Nilai Pengetahuan'!CQ21)</f>
        <v>75</v>
      </c>
      <c r="E30" s="229" t="str">
        <f>IF('Input Nilai Pengetahuan'!CR21="","",'Input Nilai Pengetahuan'!CR21)</f>
        <v>B</v>
      </c>
      <c r="F30" s="230" t="str">
        <f>IF('Input Nilai Pengetahuan'!CV21="","",'Input Nilai Pengetahuan'!CV21)</f>
        <v>Penguasaan materi sudah baik dalam Mengidentifikasi informasi (pesan, rima, dan pilihan kata) dari puisi rakyat (pantun, syair, dan bentuk puisi rakyat setempat) yang dibaca dan didengar</v>
      </c>
      <c r="G30" s="229">
        <f>IF('Input Nilai Ketrampilan'!BF21="","",'Input Nilai Ketrampilan'!BF21)</f>
        <v>80</v>
      </c>
      <c r="H30" s="229" t="str">
        <f>IF('Input Nilai Ketrampilan'!BG21="","",'Input Nilai Ketrampilan'!BG21)</f>
        <v>B</v>
      </c>
      <c r="I30" s="230" t="str">
        <f>IF('Input Nilai Ketrampilan'!BK21="","",'Input Nilai Ketrampilan'!BK21)</f>
        <v>Terampil Menyimpulkan isi puisi rakyat (pantun, syair, dan bentuk puisi rakyat setempat) yang disajikan dalam bentuk tulis dan lisan</v>
      </c>
      <c r="J30" s="236">
        <f>IF('Input Nilai Sikap'!H23="","",'Input Nilai Sikap'!H23)</f>
        <v>3</v>
      </c>
      <c r="K30" s="233" t="str">
        <f>IF('Input Nilai Sikap'!I23="","",'Input Nilai Sikap'!I23)</f>
        <v>Melaksanakan sholat dhuhur berjemaah dan sholatt dhuha, berdo'a di awal di akhir kegiatan pembelajaran , serta melaksanakan kegiatan amaliyah siswa</v>
      </c>
      <c r="L30" s="234">
        <f>IF('Input Nilai Sikap'!M23="","",'Input Nilai Sikap'!M23)</f>
        <v>3</v>
      </c>
      <c r="M30" s="234">
        <f>IF('Input Nilai Sikap'!Q23="","",'Input Nilai Sikap'!Q23)</f>
        <v>3</v>
      </c>
      <c r="N30" s="234">
        <f>IF('Input Nilai Sikap'!U23="","",'Input Nilai Sikap'!U23)</f>
        <v>3</v>
      </c>
      <c r="O30" s="234">
        <f>IF('Input Nilai Sikap'!Y23="","",'Input Nilai Sikap'!Y23)</f>
        <v>3</v>
      </c>
      <c r="P30" s="235">
        <f>IF('Input Nilai Sikap'!AC23="","",'Input Nilai Sikap'!AC23)</f>
        <v>3</v>
      </c>
      <c r="Q30" s="235">
        <f>IF('Input Nilai Sikap'!AG23="","",'Input Nilai Sikap'!AG23)</f>
        <v>3</v>
      </c>
      <c r="R30" s="235">
        <f>IF('Input Nilai Sikap'!AK23="","",'Input Nilai Sikap'!AK23)</f>
        <v>3</v>
      </c>
      <c r="S30" s="233" t="str">
        <f>IF('Input Nilai Sikap'!AL23="","",'Input Nilai Sikap'!AL23)</f>
        <v>Santun dalam bersikap, disiplin dalam mentaati tata tertib madrasah, peduli pada lingkungan, orang tua, bertanggung jawab dalam melaksanakan tugas, baik sebagai individu maupun makhluk sosial</v>
      </c>
    </row>
    <row r="31" spans="1:19" s="141" customFormat="1" ht="23.25" customHeight="1">
      <c r="A31" s="205">
        <f>'DATA SISWA'!A22</f>
        <v>18</v>
      </c>
      <c r="B31" s="205" t="str">
        <f>'DATA SISWA'!B22</f>
        <v>7658</v>
      </c>
      <c r="C31" s="204" t="str">
        <f>'DATA SISWA'!C22</f>
        <v>LUQMANUL FIKRI SYAIFULLAH</v>
      </c>
      <c r="D31" s="229">
        <f>IF('Input Nilai Pengetahuan'!CQ22="","",'Input Nilai Pengetahuan'!CQ22)</f>
        <v>79</v>
      </c>
      <c r="E31" s="229" t="str">
        <f>IF('Input Nilai Pengetahuan'!CR22="","",'Input Nilai Pengetahuan'!CR22)</f>
        <v>B</v>
      </c>
      <c r="F31" s="230" t="str">
        <f>IF('Input Nilai Pengetahuan'!CV22="","",'Input Nilai Pengetahuan'!CV22)</f>
        <v>Penguasaan materi sudah baik dalam Menelaah struktur  dan kebahasaan puisi rakyat (pantun, syair, dan bentuk puisi rakyat setempat) yang dibaca dan didengar</v>
      </c>
      <c r="G31" s="229">
        <f>IF('Input Nilai Ketrampilan'!BF22="","",'Input Nilai Ketrampilan'!BF22)</f>
        <v>79</v>
      </c>
      <c r="H31" s="229" t="str">
        <f>IF('Input Nilai Ketrampilan'!BG22="","",'Input Nilai Ketrampilan'!BG22)</f>
        <v>B</v>
      </c>
      <c r="I31" s="230" t="str">
        <f>IF('Input Nilai Ketrampilan'!BK22="","",'Input Nilai Ketrampilan'!BK22)</f>
        <v>Terampil Menyimpulkan isi puisi rakyat (pantun, syair, dan bentuk puisi rakyat setempat) yang disajikan dalam bentuk tulis dan lisan</v>
      </c>
      <c r="J31" s="236">
        <f>IF('Input Nilai Sikap'!H24="","",'Input Nilai Sikap'!H24)</f>
        <v>3</v>
      </c>
      <c r="K31" s="233" t="str">
        <f>IF('Input Nilai Sikap'!I24="","",'Input Nilai Sikap'!I24)</f>
        <v>Melaksanakan sholat dhuhur berjemaah dan sholatt dhuha, berdo'a di awal di akhir kegiatan pembelajaran , serta melaksanakan kegiatan amaliyah siswa</v>
      </c>
      <c r="L31" s="234">
        <f>IF('Input Nilai Sikap'!M24="","",'Input Nilai Sikap'!M24)</f>
        <v>3</v>
      </c>
      <c r="M31" s="234">
        <f>IF('Input Nilai Sikap'!Q24="","",'Input Nilai Sikap'!Q24)</f>
        <v>3</v>
      </c>
      <c r="N31" s="234">
        <f>IF('Input Nilai Sikap'!U24="","",'Input Nilai Sikap'!U24)</f>
        <v>3</v>
      </c>
      <c r="O31" s="234">
        <f>IF('Input Nilai Sikap'!Y24="","",'Input Nilai Sikap'!Y24)</f>
        <v>3</v>
      </c>
      <c r="P31" s="235">
        <f>IF('Input Nilai Sikap'!AC24="","",'Input Nilai Sikap'!AC24)</f>
        <v>3</v>
      </c>
      <c r="Q31" s="235">
        <f>IF('Input Nilai Sikap'!AG24="","",'Input Nilai Sikap'!AG24)</f>
        <v>3</v>
      </c>
      <c r="R31" s="235">
        <f>IF('Input Nilai Sikap'!AK24="","",'Input Nilai Sikap'!AK24)</f>
        <v>3</v>
      </c>
      <c r="S31" s="233" t="str">
        <f>IF('Input Nilai Sikap'!AL24="","",'Input Nilai Sikap'!AL24)</f>
        <v>Santun dalam bersikap, disiplin dalam mentaati tata tertib madrasah, peduli pada lingkungan, orang tua, bertanggung jawab dalam melaksanakan tugas, baik sebagai individu maupun makhluk sosial</v>
      </c>
    </row>
    <row r="32" spans="1:19" s="141" customFormat="1" ht="23.25" customHeight="1">
      <c r="A32" s="205">
        <f>'DATA SISWA'!A23</f>
        <v>19</v>
      </c>
      <c r="B32" s="205" t="str">
        <f>'DATA SISWA'!B23</f>
        <v>7659</v>
      </c>
      <c r="C32" s="204" t="str">
        <f>'DATA SISWA'!C23</f>
        <v>MAR'ATUS SOLEHAH</v>
      </c>
      <c r="D32" s="229">
        <f>IF('Input Nilai Pengetahuan'!CQ23="","",'Input Nilai Pengetahuan'!CQ23)</f>
        <v>79</v>
      </c>
      <c r="E32" s="229" t="str">
        <f>IF('Input Nilai Pengetahuan'!CR23="","",'Input Nilai Pengetahuan'!CR23)</f>
        <v>B</v>
      </c>
      <c r="F32" s="230" t="str">
        <f>IF('Input Nilai Pengetahuan'!CV23="","",'Input Nilai Pengetahuan'!CV23)</f>
        <v>Penguasaan materi sudah baik dalam Menelaah struktur  dan kebahasaan puisi rakyat (pantun, syair, dan bentuk puisi rakyat setempat) yang dibaca dan didengar</v>
      </c>
      <c r="G32" s="229">
        <f>IF('Input Nilai Ketrampilan'!BF23="","",'Input Nilai Ketrampilan'!BF23)</f>
        <v>78</v>
      </c>
      <c r="H32" s="229" t="str">
        <f>IF('Input Nilai Ketrampilan'!BG23="","",'Input Nilai Ketrampilan'!BG23)</f>
        <v>B</v>
      </c>
      <c r="I32" s="230" t="str">
        <f>IF('Input Nilai Ketrampilan'!BK23="","",'Input Nilai Ketrampilan'!BK23)</f>
        <v>Terampil Menyimpulkan isi puisi rakyat (pantun, syair, dan bentuk puisi rakyat setempat) yang disajikan dalam bentuk tulis dan lisan</v>
      </c>
      <c r="J32" s="236">
        <f>IF('Input Nilai Sikap'!H25="","",'Input Nilai Sikap'!H25)</f>
        <v>3</v>
      </c>
      <c r="K32" s="233" t="str">
        <f>IF('Input Nilai Sikap'!I25="","",'Input Nilai Sikap'!I25)</f>
        <v>Melaksanakan sholat dhuhur berjemaah dan sholatt dhuha, berdo'a di awal di akhir kegiatan pembelajaran , serta melaksanakan kegiatan amaliyah siswa</v>
      </c>
      <c r="L32" s="234">
        <f>IF('Input Nilai Sikap'!M25="","",'Input Nilai Sikap'!M25)</f>
        <v>3</v>
      </c>
      <c r="M32" s="234">
        <f>IF('Input Nilai Sikap'!Q25="","",'Input Nilai Sikap'!Q25)</f>
        <v>3</v>
      </c>
      <c r="N32" s="234">
        <f>IF('Input Nilai Sikap'!U25="","",'Input Nilai Sikap'!U25)</f>
        <v>3</v>
      </c>
      <c r="O32" s="234">
        <f>IF('Input Nilai Sikap'!Y25="","",'Input Nilai Sikap'!Y25)</f>
        <v>3</v>
      </c>
      <c r="P32" s="235">
        <f>IF('Input Nilai Sikap'!AC25="","",'Input Nilai Sikap'!AC25)</f>
        <v>3</v>
      </c>
      <c r="Q32" s="235">
        <f>IF('Input Nilai Sikap'!AG25="","",'Input Nilai Sikap'!AG25)</f>
        <v>3</v>
      </c>
      <c r="R32" s="235">
        <f>IF('Input Nilai Sikap'!AK25="","",'Input Nilai Sikap'!AK25)</f>
        <v>3</v>
      </c>
      <c r="S32" s="233" t="str">
        <f>IF('Input Nilai Sikap'!AL25="","",'Input Nilai Sikap'!AL25)</f>
        <v>Santun dalam bersikap, disiplin dalam mentaati tata tertib madrasah, peduli pada lingkungan, orang tua, bertanggung jawab dalam melaksanakan tugas, baik sebagai individu maupun makhluk sosial</v>
      </c>
    </row>
    <row r="33" spans="1:19" s="141" customFormat="1" ht="23.25" customHeight="1">
      <c r="A33" s="205">
        <f>'DATA SISWA'!A24</f>
        <v>20</v>
      </c>
      <c r="B33" s="205" t="str">
        <f>'DATA SISWA'!B24</f>
        <v>7660</v>
      </c>
      <c r="C33" s="204" t="str">
        <f>'DATA SISWA'!C24</f>
        <v>MOCH.  SHOLEH W. H</v>
      </c>
      <c r="D33" s="229">
        <f>IF('Input Nilai Pengetahuan'!CQ24="","",'Input Nilai Pengetahuan'!CQ24)</f>
        <v>79</v>
      </c>
      <c r="E33" s="229" t="str">
        <f>IF('Input Nilai Pengetahuan'!CR24="","",'Input Nilai Pengetahuan'!CR24)</f>
        <v>B</v>
      </c>
      <c r="F33" s="230" t="str">
        <f>IF('Input Nilai Pengetahuan'!CV24="","",'Input Nilai Pengetahuan'!CV24)</f>
        <v>Penguasaan materi sudah baik dalam Mengidentifikasi informasi (pesan, rima, dan pilihan kata) dari puisi rakyat (pantun, syair, dan bentuk puisi rakyat setempat) yang dibaca dan didengar</v>
      </c>
      <c r="G33" s="229">
        <f>IF('Input Nilai Ketrampilan'!BF24="","",'Input Nilai Ketrampilan'!BF24)</f>
        <v>79</v>
      </c>
      <c r="H33" s="229" t="str">
        <f>IF('Input Nilai Ketrampilan'!BG24="","",'Input Nilai Ketrampilan'!BG24)</f>
        <v>B</v>
      </c>
      <c r="I33" s="230" t="str">
        <f>IF('Input Nilai Ketrampilan'!BK24="","",'Input Nilai Ketrampilan'!BK24)</f>
        <v>Terampil Menyimpulkan isi puisi rakyat (pantun, syair, dan bentuk puisi rakyat setempat) yang disajikan dalam bentuk tulis dan lisan</v>
      </c>
      <c r="J33" s="236">
        <f>IF('Input Nilai Sikap'!H26="","",'Input Nilai Sikap'!H26)</f>
        <v>3</v>
      </c>
      <c r="K33" s="233" t="str">
        <f>IF('Input Nilai Sikap'!I26="","",'Input Nilai Sikap'!I26)</f>
        <v>Melaksanakan sholat dhuhur berjemaah dan sholatt dhuha, berdo'a di awal di akhir kegiatan pembelajaran , serta melaksanakan kegiatan amaliyah siswa</v>
      </c>
      <c r="L33" s="234">
        <f>IF('Input Nilai Sikap'!M26="","",'Input Nilai Sikap'!M26)</f>
        <v>3</v>
      </c>
      <c r="M33" s="234">
        <f>IF('Input Nilai Sikap'!Q26="","",'Input Nilai Sikap'!Q26)</f>
        <v>3</v>
      </c>
      <c r="N33" s="234">
        <f>IF('Input Nilai Sikap'!U26="","",'Input Nilai Sikap'!U26)</f>
        <v>3</v>
      </c>
      <c r="O33" s="234">
        <f>IF('Input Nilai Sikap'!Y26="","",'Input Nilai Sikap'!Y26)</f>
        <v>3</v>
      </c>
      <c r="P33" s="235">
        <f>IF('Input Nilai Sikap'!AC26="","",'Input Nilai Sikap'!AC26)</f>
        <v>3</v>
      </c>
      <c r="Q33" s="235">
        <f>IF('Input Nilai Sikap'!AG26="","",'Input Nilai Sikap'!AG26)</f>
        <v>3</v>
      </c>
      <c r="R33" s="235">
        <f>IF('Input Nilai Sikap'!AK26="","",'Input Nilai Sikap'!AK26)</f>
        <v>3</v>
      </c>
      <c r="S33" s="233" t="str">
        <f>IF('Input Nilai Sikap'!AL26="","",'Input Nilai Sikap'!AL26)</f>
        <v>Santun dalam bersikap, disiplin dalam mentaati tata tertib madrasah, peduli pada lingkungan, orang tua, bertanggung jawab dalam melaksanakan tugas, baik sebagai individu maupun makhluk sosial</v>
      </c>
    </row>
    <row r="34" spans="1:19" s="141" customFormat="1" ht="23.25" customHeight="1">
      <c r="A34" s="205">
        <f>'DATA SISWA'!A25</f>
        <v>21</v>
      </c>
      <c r="B34" s="205" t="str">
        <f>'DATA SISWA'!B25</f>
        <v>7661</v>
      </c>
      <c r="C34" s="204" t="str">
        <f>'DATA SISWA'!C25</f>
        <v>MOCH. FAWES</v>
      </c>
      <c r="D34" s="229">
        <f>IF('Input Nilai Pengetahuan'!CQ25="","",'Input Nilai Pengetahuan'!CQ25)</f>
        <v>79</v>
      </c>
      <c r="E34" s="229" t="str">
        <f>IF('Input Nilai Pengetahuan'!CR25="","",'Input Nilai Pengetahuan'!CR25)</f>
        <v>B</v>
      </c>
      <c r="F34" s="230" t="str">
        <f>IF('Input Nilai Pengetahuan'!CV25="","",'Input Nilai Pengetahuan'!CV25)</f>
        <v>Penguasaan materi sudah baik dalam Mengidentifikasi informasi (pesan, rima, dan pilihan kata) dari puisi rakyat (pantun, syair, dan bentuk puisi rakyat setempat) yang dibaca dan didengar</v>
      </c>
      <c r="G34" s="229">
        <f>IF('Input Nilai Ketrampilan'!BF25="","",'Input Nilai Ketrampilan'!BF25)</f>
        <v>80</v>
      </c>
      <c r="H34" s="229" t="str">
        <f>IF('Input Nilai Ketrampilan'!BG25="","",'Input Nilai Ketrampilan'!BG25)</f>
        <v>B</v>
      </c>
      <c r="I34" s="230" t="str">
        <f>IF('Input Nilai Ketrampilan'!BK25="","",'Input Nilai Ketrampilan'!BK25)</f>
        <v>Terampil Menyimpulkan isi puisi rakyat (pantun, syair, dan bentuk puisi rakyat setempat) yang disajikan dalam bentuk tulis dan lisan</v>
      </c>
      <c r="J34" s="236">
        <f>IF('Input Nilai Sikap'!H27="","",'Input Nilai Sikap'!H27)</f>
        <v>3</v>
      </c>
      <c r="K34" s="233" t="str">
        <f>IF('Input Nilai Sikap'!I27="","",'Input Nilai Sikap'!I27)</f>
        <v>Melaksanakan sholat dhuhur berjemaah dan sholatt dhuha, berdo'a di awal di akhir kegiatan pembelajaran , serta melaksanakan kegiatan amaliyah siswa</v>
      </c>
      <c r="L34" s="234">
        <f>IF('Input Nilai Sikap'!M27="","",'Input Nilai Sikap'!M27)</f>
        <v>3</v>
      </c>
      <c r="M34" s="234">
        <f>IF('Input Nilai Sikap'!Q27="","",'Input Nilai Sikap'!Q27)</f>
        <v>3</v>
      </c>
      <c r="N34" s="234">
        <f>IF('Input Nilai Sikap'!U27="","",'Input Nilai Sikap'!U27)</f>
        <v>3</v>
      </c>
      <c r="O34" s="234">
        <f>IF('Input Nilai Sikap'!Y27="","",'Input Nilai Sikap'!Y27)</f>
        <v>3</v>
      </c>
      <c r="P34" s="235">
        <f>IF('Input Nilai Sikap'!AC27="","",'Input Nilai Sikap'!AC27)</f>
        <v>3</v>
      </c>
      <c r="Q34" s="235">
        <f>IF('Input Nilai Sikap'!AG27="","",'Input Nilai Sikap'!AG27)</f>
        <v>3</v>
      </c>
      <c r="R34" s="235">
        <f>IF('Input Nilai Sikap'!AK27="","",'Input Nilai Sikap'!AK27)</f>
        <v>3</v>
      </c>
      <c r="S34" s="233" t="str">
        <f>IF('Input Nilai Sikap'!AL27="","",'Input Nilai Sikap'!AL27)</f>
        <v>Santun dalam bersikap, disiplin dalam mentaati tata tertib madrasah, peduli pada lingkungan, orang tua, bertanggung jawab dalam melaksanakan tugas, baik sebagai individu maupun makhluk sosial</v>
      </c>
    </row>
    <row r="35" spans="1:19" s="141" customFormat="1" ht="23.25" customHeight="1">
      <c r="A35" s="205">
        <f>'DATA SISWA'!A26</f>
        <v>22</v>
      </c>
      <c r="B35" s="205" t="str">
        <f>'DATA SISWA'!B26</f>
        <v>7662</v>
      </c>
      <c r="C35" s="204" t="str">
        <f>'DATA SISWA'!C26</f>
        <v>MOH SAHRUL RAMADON</v>
      </c>
      <c r="D35" s="229">
        <f>IF('Input Nilai Pengetahuan'!CQ26="","",'Input Nilai Pengetahuan'!CQ26)</f>
        <v>77</v>
      </c>
      <c r="E35" s="229" t="str">
        <f>IF('Input Nilai Pengetahuan'!CR26="","",'Input Nilai Pengetahuan'!CR26)</f>
        <v>B</v>
      </c>
      <c r="F35" s="230" t="str">
        <f>IF('Input Nilai Pengetahuan'!CV26="","",'Input Nilai Pengetahuan'!CV26)</f>
        <v>Penguasaan materi sudah baik dalam Mengidentifikasi informasi (pesan, rima, dan pilihan kata) dari puisi rakyat (pantun, syair, dan bentuk puisi rakyat setempat) yang dibaca dan didengar</v>
      </c>
      <c r="G35" s="229">
        <f>IF('Input Nilai Ketrampilan'!BF26="","",'Input Nilai Ketrampilan'!BF26)</f>
        <v>80</v>
      </c>
      <c r="H35" s="229" t="str">
        <f>IF('Input Nilai Ketrampilan'!BG26="","",'Input Nilai Ketrampilan'!BG26)</f>
        <v>B</v>
      </c>
      <c r="I35" s="230" t="str">
        <f>IF('Input Nilai Ketrampilan'!BK26="","",'Input Nilai Ketrampilan'!BK26)</f>
        <v>Terampil Menyimpulkan isi puisi rakyat (pantun, syair, dan bentuk puisi rakyat setempat) yang disajikan dalam bentuk tulis dan lisan</v>
      </c>
      <c r="J35" s="236">
        <f>IF('Input Nilai Sikap'!H28="","",'Input Nilai Sikap'!H28)</f>
        <v>3</v>
      </c>
      <c r="K35" s="233" t="str">
        <f>IF('Input Nilai Sikap'!I28="","",'Input Nilai Sikap'!I28)</f>
        <v>Melaksanakan sholat dhuhur berjemaah dan sholatt dhuha, berdo'a di awal di akhir kegiatan pembelajaran , serta melaksanakan kegiatan amaliyah siswa</v>
      </c>
      <c r="L35" s="234">
        <f>IF('Input Nilai Sikap'!M28="","",'Input Nilai Sikap'!M28)</f>
        <v>3</v>
      </c>
      <c r="M35" s="234">
        <f>IF('Input Nilai Sikap'!Q28="","",'Input Nilai Sikap'!Q28)</f>
        <v>3</v>
      </c>
      <c r="N35" s="234">
        <f>IF('Input Nilai Sikap'!U28="","",'Input Nilai Sikap'!U28)</f>
        <v>3</v>
      </c>
      <c r="O35" s="234">
        <f>IF('Input Nilai Sikap'!Y28="","",'Input Nilai Sikap'!Y28)</f>
        <v>3</v>
      </c>
      <c r="P35" s="235">
        <f>IF('Input Nilai Sikap'!AC28="","",'Input Nilai Sikap'!AC28)</f>
        <v>3</v>
      </c>
      <c r="Q35" s="235">
        <f>IF('Input Nilai Sikap'!AG28="","",'Input Nilai Sikap'!AG28)</f>
        <v>3</v>
      </c>
      <c r="R35" s="235">
        <f>IF('Input Nilai Sikap'!AK28="","",'Input Nilai Sikap'!AK28)</f>
        <v>3</v>
      </c>
      <c r="S35" s="233" t="str">
        <f>IF('Input Nilai Sikap'!AL28="","",'Input Nilai Sikap'!AL28)</f>
        <v>Santun dalam bersikap, disiplin dalam mentaati tata tertib madrasah, peduli pada lingkungan, orang tua, bertanggung jawab dalam melaksanakan tugas, baik sebagai individu maupun makhluk sosial</v>
      </c>
    </row>
    <row r="36" spans="1:19" s="141" customFormat="1" ht="23.25" customHeight="1">
      <c r="A36" s="205">
        <f>'DATA SISWA'!A27</f>
        <v>23</v>
      </c>
      <c r="B36" s="205" t="str">
        <f>'DATA SISWA'!B27</f>
        <v>7664</v>
      </c>
      <c r="C36" s="204" t="str">
        <f>'DATA SISWA'!C27</f>
        <v>MOHAMMAD RAMADAN PURNOMO</v>
      </c>
      <c r="D36" s="229">
        <f>IF('Input Nilai Pengetahuan'!CQ27="","",'Input Nilai Pengetahuan'!CQ27)</f>
        <v>71</v>
      </c>
      <c r="E36" s="229" t="str">
        <f>IF('Input Nilai Pengetahuan'!CR27="","",'Input Nilai Pengetahuan'!CR27)</f>
        <v>B</v>
      </c>
      <c r="F36" s="230" t="str">
        <f>IF('Input Nilai Pengetahuan'!CV27="","",'Input Nilai Pengetahuan'!CV27)</f>
        <v>Penguasaan materi sudah baik dalam Menelaah struktur  dan kebahasaan puisi rakyat (pantun, syair, dan bentuk puisi rakyat setempat) yang dibaca dan didengar</v>
      </c>
      <c r="G36" s="229">
        <f>IF('Input Nilai Ketrampilan'!BF27="","",'Input Nilai Ketrampilan'!BF27)</f>
        <v>79</v>
      </c>
      <c r="H36" s="229" t="str">
        <f>IF('Input Nilai Ketrampilan'!BG27="","",'Input Nilai Ketrampilan'!BG27)</f>
        <v>B</v>
      </c>
      <c r="I36" s="230" t="str">
        <f>IF('Input Nilai Ketrampilan'!BK27="","",'Input Nilai Ketrampilan'!BK27)</f>
        <v>Terampil Menyimpulkan isi puisi rakyat (pantun, syair, dan bentuk puisi rakyat setempat) yang disajikan dalam bentuk tulis dan lisan</v>
      </c>
      <c r="J36" s="236">
        <f>IF('Input Nilai Sikap'!H29="","",'Input Nilai Sikap'!H29)</f>
        <v>3</v>
      </c>
      <c r="K36" s="233" t="str">
        <f>IF('Input Nilai Sikap'!I29="","",'Input Nilai Sikap'!I29)</f>
        <v>Melaksanakan sholat dhuhur berjemaah dan sholatt dhuha, berdo'a di awal di akhir kegiatan pembelajaran , serta melaksanakan kegiatan amaliyah siswa</v>
      </c>
      <c r="L36" s="234">
        <f>IF('Input Nilai Sikap'!M29="","",'Input Nilai Sikap'!M29)</f>
        <v>3</v>
      </c>
      <c r="M36" s="234">
        <f>IF('Input Nilai Sikap'!Q29="","",'Input Nilai Sikap'!Q29)</f>
        <v>3</v>
      </c>
      <c r="N36" s="234">
        <f>IF('Input Nilai Sikap'!U29="","",'Input Nilai Sikap'!U29)</f>
        <v>3</v>
      </c>
      <c r="O36" s="234">
        <f>IF('Input Nilai Sikap'!Y29="","",'Input Nilai Sikap'!Y29)</f>
        <v>3</v>
      </c>
      <c r="P36" s="235">
        <f>IF('Input Nilai Sikap'!AC29="","",'Input Nilai Sikap'!AC29)</f>
        <v>3</v>
      </c>
      <c r="Q36" s="235">
        <f>IF('Input Nilai Sikap'!AG29="","",'Input Nilai Sikap'!AG29)</f>
        <v>3</v>
      </c>
      <c r="R36" s="235">
        <f>IF('Input Nilai Sikap'!AK29="","",'Input Nilai Sikap'!AK29)</f>
        <v>3</v>
      </c>
      <c r="S36" s="233" t="str">
        <f>IF('Input Nilai Sikap'!AL29="","",'Input Nilai Sikap'!AL29)</f>
        <v>Santun dalam bersikap, disiplin dalam mentaati tata tertib madrasah, peduli pada lingkungan, orang tua, bertanggung jawab dalam melaksanakan tugas, baik sebagai individu maupun makhluk sosial</v>
      </c>
    </row>
    <row r="37" spans="1:19" s="141" customFormat="1" ht="23.25" customHeight="1">
      <c r="A37" s="205">
        <f>'DATA SISWA'!A28</f>
        <v>24</v>
      </c>
      <c r="B37" s="205" t="str">
        <f>'DATA SISWA'!B28</f>
        <v>7665</v>
      </c>
      <c r="C37" s="204" t="str">
        <f>'DATA SISWA'!C28</f>
        <v>MOHAMMAD ROFI'I</v>
      </c>
      <c r="D37" s="229">
        <f>IF('Input Nilai Pengetahuan'!CQ28="","",'Input Nilai Pengetahuan'!CQ28)</f>
        <v>79</v>
      </c>
      <c r="E37" s="229" t="str">
        <f>IF('Input Nilai Pengetahuan'!CR28="","",'Input Nilai Pengetahuan'!CR28)</f>
        <v>B</v>
      </c>
      <c r="F37" s="230" t="str">
        <f>IF('Input Nilai Pengetahuan'!CV28="","",'Input Nilai Pengetahuan'!CV28)</f>
        <v>Penguasaan materi sudah baik dalam Mengidentifikasi informasi (pesan, rima, dan pilihan kata) dari puisi rakyat (pantun, syair, dan bentuk puisi rakyat setempat) yang dibaca dan didengar</v>
      </c>
      <c r="G37" s="229">
        <f>IF('Input Nilai Ketrampilan'!BF28="","",'Input Nilai Ketrampilan'!BF28)</f>
        <v>78</v>
      </c>
      <c r="H37" s="229" t="str">
        <f>IF('Input Nilai Ketrampilan'!BG28="","",'Input Nilai Ketrampilan'!BG28)</f>
        <v>B</v>
      </c>
      <c r="I37" s="230" t="str">
        <f>IF('Input Nilai Ketrampilan'!BK28="","",'Input Nilai Ketrampilan'!BK28)</f>
        <v>Terampil Menyimpulkan isi puisi rakyat (pantun, syair, dan bentuk puisi rakyat setempat) yang disajikan dalam bentuk tulis dan lisan</v>
      </c>
      <c r="J37" s="236">
        <f>IF('Input Nilai Sikap'!H30="","",'Input Nilai Sikap'!H30)</f>
        <v>3</v>
      </c>
      <c r="K37" s="233" t="str">
        <f>IF('Input Nilai Sikap'!I30="","",'Input Nilai Sikap'!I30)</f>
        <v>Melaksanakan sholat dhuhur berjemaah dan sholatt dhuha, berdo'a di awal di akhir kegiatan pembelajaran , serta melaksanakan kegiatan amaliyah siswa</v>
      </c>
      <c r="L37" s="234">
        <f>IF('Input Nilai Sikap'!M30="","",'Input Nilai Sikap'!M30)</f>
        <v>3</v>
      </c>
      <c r="M37" s="234">
        <f>IF('Input Nilai Sikap'!Q30="","",'Input Nilai Sikap'!Q30)</f>
        <v>3</v>
      </c>
      <c r="N37" s="234">
        <f>IF('Input Nilai Sikap'!U30="","",'Input Nilai Sikap'!U30)</f>
        <v>3</v>
      </c>
      <c r="O37" s="234">
        <f>IF('Input Nilai Sikap'!Y30="","",'Input Nilai Sikap'!Y30)</f>
        <v>3</v>
      </c>
      <c r="P37" s="235">
        <f>IF('Input Nilai Sikap'!AC30="","",'Input Nilai Sikap'!AC30)</f>
        <v>3</v>
      </c>
      <c r="Q37" s="235">
        <f>IF('Input Nilai Sikap'!AG30="","",'Input Nilai Sikap'!AG30)</f>
        <v>3</v>
      </c>
      <c r="R37" s="235">
        <f>IF('Input Nilai Sikap'!AK30="","",'Input Nilai Sikap'!AK30)</f>
        <v>3</v>
      </c>
      <c r="S37" s="233" t="str">
        <f>IF('Input Nilai Sikap'!AL30="","",'Input Nilai Sikap'!AL30)</f>
        <v>Santun dalam bersikap, disiplin dalam mentaati tata tertib madrasah, peduli pada lingkungan, orang tua, bertanggung jawab dalam melaksanakan tugas, baik sebagai individu maupun makhluk sosial</v>
      </c>
    </row>
    <row r="38" spans="1:19" s="141" customFormat="1" ht="23.25" customHeight="1">
      <c r="A38" s="205">
        <f>'DATA SISWA'!A29</f>
        <v>25</v>
      </c>
      <c r="B38" s="205" t="str">
        <f>'DATA SISWA'!B29</f>
        <v>7666</v>
      </c>
      <c r="C38" s="204" t="str">
        <f>'DATA SISWA'!C29</f>
        <v>NI'MATUS SHOLIHA</v>
      </c>
      <c r="D38" s="229">
        <f>IF('Input Nilai Pengetahuan'!CQ29="","",'Input Nilai Pengetahuan'!CQ29)</f>
        <v>78</v>
      </c>
      <c r="E38" s="229" t="str">
        <f>IF('Input Nilai Pengetahuan'!CR29="","",'Input Nilai Pengetahuan'!CR29)</f>
        <v>B</v>
      </c>
      <c r="F38" s="230" t="str">
        <f>IF('Input Nilai Pengetahuan'!CV29="","",'Input Nilai Pengetahuan'!CV29)</f>
        <v>Penguasaan materi sudah baik dalam Mengidentifikasi informasi (pesan, rima, dan pilihan kata) dari puisi rakyat (pantun, syair, dan bentuk puisi rakyat setempat) yang dibaca dan didengar</v>
      </c>
      <c r="G38" s="229">
        <f>IF('Input Nilai Ketrampilan'!BF29="","",'Input Nilai Ketrampilan'!BF29)</f>
        <v>79</v>
      </c>
      <c r="H38" s="229" t="str">
        <f>IF('Input Nilai Ketrampilan'!BG29="","",'Input Nilai Ketrampilan'!BG29)</f>
        <v>B</v>
      </c>
      <c r="I38" s="230" t="str">
        <f>IF('Input Nilai Ketrampilan'!BK29="","",'Input Nilai Ketrampilan'!BK29)</f>
        <v>Terampil Menyimpulkan isi puisi rakyat (pantun, syair, dan bentuk puisi rakyat setempat) yang disajikan dalam bentuk tulis dan lisan</v>
      </c>
      <c r="J38" s="236">
        <f>IF('Input Nilai Sikap'!H31="","",'Input Nilai Sikap'!H31)</f>
        <v>3</v>
      </c>
      <c r="K38" s="233" t="str">
        <f>IF('Input Nilai Sikap'!I31="","",'Input Nilai Sikap'!I31)</f>
        <v>Melaksanakan sholat dhuhur berjemaah dan sholatt dhuha, berdo'a di awal di akhir kegiatan pembelajaran , serta melaksanakan kegiatan amaliyah siswa</v>
      </c>
      <c r="L38" s="234">
        <f>IF('Input Nilai Sikap'!M31="","",'Input Nilai Sikap'!M31)</f>
        <v>3</v>
      </c>
      <c r="M38" s="234">
        <f>IF('Input Nilai Sikap'!Q31="","",'Input Nilai Sikap'!Q31)</f>
        <v>3</v>
      </c>
      <c r="N38" s="234">
        <f>IF('Input Nilai Sikap'!U31="","",'Input Nilai Sikap'!U31)</f>
        <v>3</v>
      </c>
      <c r="O38" s="234">
        <f>IF('Input Nilai Sikap'!Y31="","",'Input Nilai Sikap'!Y31)</f>
        <v>3</v>
      </c>
      <c r="P38" s="235">
        <f>IF('Input Nilai Sikap'!AC31="","",'Input Nilai Sikap'!AC31)</f>
        <v>3</v>
      </c>
      <c r="Q38" s="235">
        <f>IF('Input Nilai Sikap'!AG31="","",'Input Nilai Sikap'!AG31)</f>
        <v>3</v>
      </c>
      <c r="R38" s="235">
        <f>IF('Input Nilai Sikap'!AK31="","",'Input Nilai Sikap'!AK31)</f>
        <v>3</v>
      </c>
      <c r="S38" s="233" t="str">
        <f>IF('Input Nilai Sikap'!AL31="","",'Input Nilai Sikap'!AL31)</f>
        <v>Santun dalam bersikap, disiplin dalam mentaati tata tertib madrasah, peduli pada lingkungan, orang tua, bertanggung jawab dalam melaksanakan tugas, baik sebagai individu maupun makhluk sosial</v>
      </c>
    </row>
    <row r="39" spans="1:19" s="141" customFormat="1" ht="23.25" customHeight="1">
      <c r="A39" s="205">
        <f>'DATA SISWA'!A30</f>
        <v>26</v>
      </c>
      <c r="B39" s="205" t="str">
        <f>'DATA SISWA'!B30</f>
        <v>7676</v>
      </c>
      <c r="C39" s="204" t="str">
        <f>'DATA SISWA'!C30</f>
        <v>PANJI FIKRI ISLAMI</v>
      </c>
      <c r="D39" s="229">
        <f>IF('Input Nilai Pengetahuan'!CQ30="","",'Input Nilai Pengetahuan'!CQ30)</f>
        <v>79</v>
      </c>
      <c r="E39" s="229" t="str">
        <f>IF('Input Nilai Pengetahuan'!CR30="","",'Input Nilai Pengetahuan'!CR30)</f>
        <v>B</v>
      </c>
      <c r="F39" s="230" t="str">
        <f>IF('Input Nilai Pengetahuan'!CV30="","",'Input Nilai Pengetahuan'!CV30)</f>
        <v>Penguasaan materi sudah baik dalam Mengidentifikasi informasi (pesan, rima, dan pilihan kata) dari puisi rakyat (pantun, syair, dan bentuk puisi rakyat setempat) yang dibaca dan didengar</v>
      </c>
      <c r="G39" s="229">
        <f>IF('Input Nilai Ketrampilan'!BF30="","",'Input Nilai Ketrampilan'!BF30)</f>
        <v>80</v>
      </c>
      <c r="H39" s="229" t="str">
        <f>IF('Input Nilai Ketrampilan'!BG30="","",'Input Nilai Ketrampilan'!BG30)</f>
        <v>B</v>
      </c>
      <c r="I39" s="230" t="str">
        <f>IF('Input Nilai Ketrampilan'!BK30="","",'Input Nilai Ketrampilan'!BK30)</f>
        <v>Terampil Menyimpulkan isi puisi rakyat (pantun, syair, dan bentuk puisi rakyat setempat) yang disajikan dalam bentuk tulis dan lisan</v>
      </c>
      <c r="J39" s="236">
        <f>IF('Input Nilai Sikap'!H32="","",'Input Nilai Sikap'!H32)</f>
        <v>3</v>
      </c>
      <c r="K39" s="233" t="str">
        <f>IF('Input Nilai Sikap'!I32="","",'Input Nilai Sikap'!I32)</f>
        <v>Melaksanakan sholat dhuhur berjemaah dan sholatt dhuha, berdo'a di awal di akhir kegiatan pembelajaran , serta melaksanakan kegiatan amaliyah siswa</v>
      </c>
      <c r="L39" s="234">
        <f>IF('Input Nilai Sikap'!M32="","",'Input Nilai Sikap'!M32)</f>
        <v>3</v>
      </c>
      <c r="M39" s="234">
        <f>IF('Input Nilai Sikap'!Q32="","",'Input Nilai Sikap'!Q32)</f>
        <v>3</v>
      </c>
      <c r="N39" s="234">
        <f>IF('Input Nilai Sikap'!U32="","",'Input Nilai Sikap'!U32)</f>
        <v>3</v>
      </c>
      <c r="O39" s="234">
        <f>IF('Input Nilai Sikap'!Y32="","",'Input Nilai Sikap'!Y32)</f>
        <v>3</v>
      </c>
      <c r="P39" s="235">
        <f>IF('Input Nilai Sikap'!AC32="","",'Input Nilai Sikap'!AC32)</f>
        <v>3</v>
      </c>
      <c r="Q39" s="235">
        <f>IF('Input Nilai Sikap'!AG32="","",'Input Nilai Sikap'!AG32)</f>
        <v>3</v>
      </c>
      <c r="R39" s="235">
        <f>IF('Input Nilai Sikap'!AK32="","",'Input Nilai Sikap'!AK32)</f>
        <v>3</v>
      </c>
      <c r="S39" s="233" t="str">
        <f>IF('Input Nilai Sikap'!AL32="","",'Input Nilai Sikap'!AL32)</f>
        <v>Santun dalam bersikap, disiplin dalam mentaati tata tertib madrasah, peduli pada lingkungan, orang tua, bertanggung jawab dalam melaksanakan tugas, baik sebagai individu maupun makhluk sosial</v>
      </c>
    </row>
    <row r="40" spans="1:19" s="141" customFormat="1" ht="23.25" customHeight="1">
      <c r="A40" s="205">
        <f>'DATA SISWA'!A31</f>
        <v>27</v>
      </c>
      <c r="B40" s="205" t="str">
        <f>'DATA SISWA'!B31</f>
        <v>7667</v>
      </c>
      <c r="C40" s="204" t="str">
        <f>'DATA SISWA'!C31</f>
        <v>RACMAT MAULIDI ABDANY</v>
      </c>
      <c r="D40" s="229">
        <f>IF('Input Nilai Pengetahuan'!CQ31="","",'Input Nilai Pengetahuan'!CQ31)</f>
        <v>79</v>
      </c>
      <c r="E40" s="229" t="str">
        <f>IF('Input Nilai Pengetahuan'!CR31="","",'Input Nilai Pengetahuan'!CR31)</f>
        <v>B</v>
      </c>
      <c r="F40" s="230" t="str">
        <f>IF('Input Nilai Pengetahuan'!CV31="","",'Input Nilai Pengetahuan'!CV31)</f>
        <v>Penguasaan materi sudah baik dalam Mengidentifikasi informasi (pesan, rima, dan pilihan kata) dari puisi rakyat (pantun, syair, dan bentuk puisi rakyat setempat) yang dibaca dan didengar</v>
      </c>
      <c r="G40" s="229">
        <f>IF('Input Nilai Ketrampilan'!BF31="","",'Input Nilai Ketrampilan'!BF31)</f>
        <v>80</v>
      </c>
      <c r="H40" s="229" t="str">
        <f>IF('Input Nilai Ketrampilan'!BG31="","",'Input Nilai Ketrampilan'!BG31)</f>
        <v>B</v>
      </c>
      <c r="I40" s="230" t="str">
        <f>IF('Input Nilai Ketrampilan'!BK31="","",'Input Nilai Ketrampilan'!BK31)</f>
        <v>Terampil Menyimpulkan isi puisi rakyat (pantun, syair, dan bentuk puisi rakyat setempat) yang disajikan dalam bentuk tulis dan lisan</v>
      </c>
      <c r="J40" s="236">
        <f>IF('Input Nilai Sikap'!H33="","",'Input Nilai Sikap'!H33)</f>
        <v>3</v>
      </c>
      <c r="K40" s="233" t="str">
        <f>IF('Input Nilai Sikap'!I33="","",'Input Nilai Sikap'!I33)</f>
        <v>Melaksanakan sholat dhuhur berjemaah dan sholatt dhuha, berdo'a di awal di akhir kegiatan pembelajaran , serta melaksanakan kegiatan amaliyah siswa</v>
      </c>
      <c r="L40" s="234">
        <f>IF('Input Nilai Sikap'!M33="","",'Input Nilai Sikap'!M33)</f>
        <v>3</v>
      </c>
      <c r="M40" s="234">
        <f>IF('Input Nilai Sikap'!Q33="","",'Input Nilai Sikap'!Q33)</f>
        <v>3</v>
      </c>
      <c r="N40" s="234">
        <f>IF('Input Nilai Sikap'!U33="","",'Input Nilai Sikap'!U33)</f>
        <v>3</v>
      </c>
      <c r="O40" s="234">
        <f>IF('Input Nilai Sikap'!Y33="","",'Input Nilai Sikap'!Y33)</f>
        <v>3</v>
      </c>
      <c r="P40" s="235">
        <f>IF('Input Nilai Sikap'!AC33="","",'Input Nilai Sikap'!AC33)</f>
        <v>3</v>
      </c>
      <c r="Q40" s="235">
        <f>IF('Input Nilai Sikap'!AG33="","",'Input Nilai Sikap'!AG33)</f>
        <v>3</v>
      </c>
      <c r="R40" s="235">
        <f>IF('Input Nilai Sikap'!AK33="","",'Input Nilai Sikap'!AK33)</f>
        <v>3</v>
      </c>
      <c r="S40" s="233" t="str">
        <f>IF('Input Nilai Sikap'!AL33="","",'Input Nilai Sikap'!AL33)</f>
        <v>Santun dalam bersikap, disiplin dalam mentaati tata tertib madrasah, peduli pada lingkungan, orang tua, bertanggung jawab dalam melaksanakan tugas, baik sebagai individu maupun makhluk sosial</v>
      </c>
    </row>
    <row r="41" spans="1:19" s="141" customFormat="1" ht="23.25" customHeight="1">
      <c r="A41" s="205">
        <f>'DATA SISWA'!A32</f>
        <v>28</v>
      </c>
      <c r="B41" s="205" t="str">
        <f>'DATA SISWA'!B32</f>
        <v>7668</v>
      </c>
      <c r="C41" s="204" t="str">
        <f>'DATA SISWA'!C32</f>
        <v>RAIHAN</v>
      </c>
      <c r="D41" s="229">
        <f>IF('Input Nilai Pengetahuan'!CQ32="","",'Input Nilai Pengetahuan'!CQ32)</f>
        <v>78</v>
      </c>
      <c r="E41" s="229" t="str">
        <f>IF('Input Nilai Pengetahuan'!CR32="","",'Input Nilai Pengetahuan'!CR32)</f>
        <v>B</v>
      </c>
      <c r="F41" s="230" t="str">
        <f>IF('Input Nilai Pengetahuan'!CV32="","",'Input Nilai Pengetahuan'!CV32)</f>
        <v>Penguasaan materi sudah baik dalam Mengidentifikasi informasi (pesan, rima, dan pilihan kata) dari puisi rakyat (pantun, syair, dan bentuk puisi rakyat setempat) yang dibaca dan didengar</v>
      </c>
      <c r="G41" s="229">
        <f>IF('Input Nilai Ketrampilan'!BF32="","",'Input Nilai Ketrampilan'!BF32)</f>
        <v>79</v>
      </c>
      <c r="H41" s="229" t="str">
        <f>IF('Input Nilai Ketrampilan'!BG32="","",'Input Nilai Ketrampilan'!BG32)</f>
        <v>B</v>
      </c>
      <c r="I41" s="230" t="str">
        <f>IF('Input Nilai Ketrampilan'!BK32="","",'Input Nilai Ketrampilan'!BK32)</f>
        <v>Terampil Menyimpulkan isi puisi rakyat (pantun, syair, dan bentuk puisi rakyat setempat) yang disajikan dalam bentuk tulis dan lisan</v>
      </c>
      <c r="J41" s="236">
        <f>IF('Input Nilai Sikap'!H34="","",'Input Nilai Sikap'!H34)</f>
        <v>3</v>
      </c>
      <c r="K41" s="233" t="str">
        <f>IF('Input Nilai Sikap'!I34="","",'Input Nilai Sikap'!I34)</f>
        <v>Melaksanakan sholat dhuhur berjemaah dan sholatt dhuha, berdo'a di awal di akhir kegiatan pembelajaran , serta melaksanakan kegiatan amaliyah siswa</v>
      </c>
      <c r="L41" s="234">
        <f>IF('Input Nilai Sikap'!M34="","",'Input Nilai Sikap'!M34)</f>
        <v>3</v>
      </c>
      <c r="M41" s="234">
        <f>IF('Input Nilai Sikap'!Q34="","",'Input Nilai Sikap'!Q34)</f>
        <v>3</v>
      </c>
      <c r="N41" s="234">
        <f>IF('Input Nilai Sikap'!U34="","",'Input Nilai Sikap'!U34)</f>
        <v>3</v>
      </c>
      <c r="O41" s="234">
        <f>IF('Input Nilai Sikap'!Y34="","",'Input Nilai Sikap'!Y34)</f>
        <v>3</v>
      </c>
      <c r="P41" s="235">
        <f>IF('Input Nilai Sikap'!AC34="","",'Input Nilai Sikap'!AC34)</f>
        <v>3</v>
      </c>
      <c r="Q41" s="235">
        <f>IF('Input Nilai Sikap'!AG34="","",'Input Nilai Sikap'!AG34)</f>
        <v>3</v>
      </c>
      <c r="R41" s="235">
        <f>IF('Input Nilai Sikap'!AK34="","",'Input Nilai Sikap'!AK34)</f>
        <v>3</v>
      </c>
      <c r="S41" s="233" t="str">
        <f>IF('Input Nilai Sikap'!AL34="","",'Input Nilai Sikap'!AL34)</f>
        <v>Santun dalam bersikap, disiplin dalam mentaati tata tertib madrasah, peduli pada lingkungan, orang tua, bertanggung jawab dalam melaksanakan tugas, baik sebagai individu maupun makhluk sosial</v>
      </c>
    </row>
    <row r="42" spans="1:19" s="141" customFormat="1" ht="23.25" customHeight="1">
      <c r="A42" s="205">
        <f>'DATA SISWA'!A33</f>
        <v>29</v>
      </c>
      <c r="B42" s="205" t="str">
        <f>'DATA SISWA'!B33</f>
        <v>7669</v>
      </c>
      <c r="C42" s="204" t="str">
        <f>'DATA SISWA'!C33</f>
        <v>REFITA ANNASTASYA</v>
      </c>
      <c r="D42" s="229">
        <f>IF('Input Nilai Pengetahuan'!CQ33="","",'Input Nilai Pengetahuan'!CQ33)</f>
        <v>77</v>
      </c>
      <c r="E42" s="229" t="str">
        <f>IF('Input Nilai Pengetahuan'!CR33="","",'Input Nilai Pengetahuan'!CR33)</f>
        <v>B</v>
      </c>
      <c r="F42" s="230" t="str">
        <f>IF('Input Nilai Pengetahuan'!CV33="","",'Input Nilai Pengetahuan'!CV33)</f>
        <v>Penguasaan materi sudah baik dalam Mengidentifikasi informasi (pesan, rima, dan pilihan kata) dari puisi rakyat (pantun, syair, dan bentuk puisi rakyat setempat) yang dibaca dan didengar</v>
      </c>
      <c r="G42" s="229">
        <f>IF('Input Nilai Ketrampilan'!BF33="","",'Input Nilai Ketrampilan'!BF33)</f>
        <v>78</v>
      </c>
      <c r="H42" s="229" t="str">
        <f>IF('Input Nilai Ketrampilan'!BG33="","",'Input Nilai Ketrampilan'!BG33)</f>
        <v>B</v>
      </c>
      <c r="I42" s="230" t="str">
        <f>IF('Input Nilai Ketrampilan'!BK33="","",'Input Nilai Ketrampilan'!BK33)</f>
        <v>Terampil Menyimpulkan isi puisi rakyat (pantun, syair, dan bentuk puisi rakyat setempat) yang disajikan dalam bentuk tulis dan lisan</v>
      </c>
      <c r="J42" s="236">
        <f>IF('Input Nilai Sikap'!H35="","",'Input Nilai Sikap'!H35)</f>
        <v>3</v>
      </c>
      <c r="K42" s="233" t="str">
        <f>IF('Input Nilai Sikap'!I35="","",'Input Nilai Sikap'!I35)</f>
        <v>Melaksanakan sholat dhuhur berjemaah dan sholatt dhuha, berdo'a di awal di akhir kegiatan pembelajaran , serta melaksanakan kegiatan amaliyah siswa</v>
      </c>
      <c r="L42" s="234">
        <f>IF('Input Nilai Sikap'!M35="","",'Input Nilai Sikap'!M35)</f>
        <v>3</v>
      </c>
      <c r="M42" s="234">
        <f>IF('Input Nilai Sikap'!Q35="","",'Input Nilai Sikap'!Q35)</f>
        <v>3</v>
      </c>
      <c r="N42" s="234">
        <f>IF('Input Nilai Sikap'!U35="","",'Input Nilai Sikap'!U35)</f>
        <v>3</v>
      </c>
      <c r="O42" s="234">
        <f>IF('Input Nilai Sikap'!Y35="","",'Input Nilai Sikap'!Y35)</f>
        <v>3</v>
      </c>
      <c r="P42" s="235">
        <f>IF('Input Nilai Sikap'!AC35="","",'Input Nilai Sikap'!AC35)</f>
        <v>3</v>
      </c>
      <c r="Q42" s="235">
        <f>IF('Input Nilai Sikap'!AG35="","",'Input Nilai Sikap'!AG35)</f>
        <v>3</v>
      </c>
      <c r="R42" s="235">
        <f>IF('Input Nilai Sikap'!AK35="","",'Input Nilai Sikap'!AK35)</f>
        <v>3</v>
      </c>
      <c r="S42" s="233" t="str">
        <f>IF('Input Nilai Sikap'!AL35="","",'Input Nilai Sikap'!AL35)</f>
        <v>Santun dalam bersikap, disiplin dalam mentaati tata tertib madrasah, peduli pada lingkungan, orang tua, bertanggung jawab dalam melaksanakan tugas, baik sebagai individu maupun makhluk sosial</v>
      </c>
    </row>
    <row r="43" spans="1:19" s="141" customFormat="1" ht="23.25" customHeight="1">
      <c r="A43" s="205">
        <f>'DATA SISWA'!A34</f>
        <v>30</v>
      </c>
      <c r="B43" s="205" t="str">
        <f>'DATA SISWA'!B34</f>
        <v>7670</v>
      </c>
      <c r="C43" s="204" t="str">
        <f>'DATA SISWA'!C34</f>
        <v>RISKIYAH</v>
      </c>
      <c r="D43" s="229">
        <f>IF('Input Nilai Pengetahuan'!CQ34="","",'Input Nilai Pengetahuan'!CQ34)</f>
        <v>80</v>
      </c>
      <c r="E43" s="229" t="str">
        <f>IF('Input Nilai Pengetahuan'!CR34="","",'Input Nilai Pengetahuan'!CR34)</f>
        <v>B</v>
      </c>
      <c r="F43" s="230" t="str">
        <f>IF('Input Nilai Pengetahuan'!CV34="","",'Input Nilai Pengetahuan'!CV34)</f>
        <v>Penguasaan materi sudah baik dalam Menelaah struktur  dan kebahasaan puisi rakyat (pantun, syair, dan bentuk puisi rakyat setempat) yang dibaca dan didengar</v>
      </c>
      <c r="G43" s="229">
        <f>IF('Input Nilai Ketrampilan'!BF34="","",'Input Nilai Ketrampilan'!BF34)</f>
        <v>79</v>
      </c>
      <c r="H43" s="229" t="str">
        <f>IF('Input Nilai Ketrampilan'!BG34="","",'Input Nilai Ketrampilan'!BG34)</f>
        <v>B</v>
      </c>
      <c r="I43" s="230" t="str">
        <f>IF('Input Nilai Ketrampilan'!BK34="","",'Input Nilai Ketrampilan'!BK34)</f>
        <v>Terampil Menyimpulkan isi puisi rakyat (pantun, syair, dan bentuk puisi rakyat setempat) yang disajikan dalam bentuk tulis dan lisan</v>
      </c>
      <c r="J43" s="236">
        <f>IF('Input Nilai Sikap'!H36="","",'Input Nilai Sikap'!H36)</f>
        <v>3</v>
      </c>
      <c r="K43" s="233" t="str">
        <f>IF('Input Nilai Sikap'!I36="","",'Input Nilai Sikap'!I36)</f>
        <v>Melaksanakan sholat dhuhur berjemaah dan sholatt dhuha, berdo'a di awal di akhir kegiatan pembelajaran , serta melaksanakan kegiatan amaliyah siswa</v>
      </c>
      <c r="L43" s="234">
        <f>IF('Input Nilai Sikap'!M36="","",'Input Nilai Sikap'!M36)</f>
        <v>3</v>
      </c>
      <c r="M43" s="234">
        <f>IF('Input Nilai Sikap'!Q36="","",'Input Nilai Sikap'!Q36)</f>
        <v>3</v>
      </c>
      <c r="N43" s="234">
        <f>IF('Input Nilai Sikap'!U36="","",'Input Nilai Sikap'!U36)</f>
        <v>3</v>
      </c>
      <c r="O43" s="234">
        <f>IF('Input Nilai Sikap'!Y36="","",'Input Nilai Sikap'!Y36)</f>
        <v>3</v>
      </c>
      <c r="P43" s="235">
        <f>IF('Input Nilai Sikap'!AC36="","",'Input Nilai Sikap'!AC36)</f>
        <v>3</v>
      </c>
      <c r="Q43" s="235">
        <f>IF('Input Nilai Sikap'!AG36="","",'Input Nilai Sikap'!AG36)</f>
        <v>3</v>
      </c>
      <c r="R43" s="235">
        <f>IF('Input Nilai Sikap'!AK36="","",'Input Nilai Sikap'!AK36)</f>
        <v>3</v>
      </c>
      <c r="S43" s="233" t="str">
        <f>IF('Input Nilai Sikap'!AL36="","",'Input Nilai Sikap'!AL36)</f>
        <v>Santun dalam bersikap, disiplin dalam mentaati tata tertib madrasah, peduli pada lingkungan, orang tua, bertanggung jawab dalam melaksanakan tugas, baik sebagai individu maupun makhluk sosial</v>
      </c>
    </row>
    <row r="44" spans="1:19" s="141" customFormat="1" ht="23.25" customHeight="1">
      <c r="A44" s="205">
        <f>'DATA SISWA'!A35</f>
        <v>31</v>
      </c>
      <c r="B44" s="205" t="str">
        <f>'DATA SISWA'!B35</f>
        <v>7671</v>
      </c>
      <c r="C44" s="204" t="str">
        <f>'DATA SISWA'!C35</f>
        <v>SALILATUL HUSNA</v>
      </c>
      <c r="D44" s="229">
        <f>IF('Input Nilai Pengetahuan'!CQ35="","",'Input Nilai Pengetahuan'!CQ35)</f>
        <v>79</v>
      </c>
      <c r="E44" s="229" t="str">
        <f>IF('Input Nilai Pengetahuan'!CR35="","",'Input Nilai Pengetahuan'!CR35)</f>
        <v>B</v>
      </c>
      <c r="F44" s="230" t="str">
        <f>IF('Input Nilai Pengetahuan'!CV35="","",'Input Nilai Pengetahuan'!CV35)</f>
        <v>Penguasaan materi sudah baik dalam Mengidentifikasi informasi (pesan, rima, dan pilihan kata) dari puisi rakyat (pantun, syair, dan bentuk puisi rakyat setempat) yang dibaca dan didengar</v>
      </c>
      <c r="G44" s="229">
        <f>IF('Input Nilai Ketrampilan'!BF35="","",'Input Nilai Ketrampilan'!BF35)</f>
        <v>80</v>
      </c>
      <c r="H44" s="229" t="str">
        <f>IF('Input Nilai Ketrampilan'!BG35="","",'Input Nilai Ketrampilan'!BG35)</f>
        <v>B</v>
      </c>
      <c r="I44" s="230" t="str">
        <f>IF('Input Nilai Ketrampilan'!BK35="","",'Input Nilai Ketrampilan'!BK35)</f>
        <v>Terampil Menyimpulkan isi puisi rakyat (pantun, syair, dan bentuk puisi rakyat setempat) yang disajikan dalam bentuk tulis dan lisan</v>
      </c>
      <c r="J44" s="236">
        <f>IF('Input Nilai Sikap'!H37="","",'Input Nilai Sikap'!H37)</f>
        <v>3</v>
      </c>
      <c r="K44" s="233" t="str">
        <f>IF('Input Nilai Sikap'!I37="","",'Input Nilai Sikap'!I37)</f>
        <v>Melaksanakan sholat dhuhur berjemaah dan sholatt dhuha, berdo'a di awal di akhir kegiatan pembelajaran , serta melaksanakan kegiatan amaliyah siswa</v>
      </c>
      <c r="L44" s="234">
        <f>IF('Input Nilai Sikap'!M37="","",'Input Nilai Sikap'!M37)</f>
        <v>3</v>
      </c>
      <c r="M44" s="234">
        <f>IF('Input Nilai Sikap'!Q37="","",'Input Nilai Sikap'!Q37)</f>
        <v>3</v>
      </c>
      <c r="N44" s="234">
        <f>IF('Input Nilai Sikap'!U37="","",'Input Nilai Sikap'!U37)</f>
        <v>3</v>
      </c>
      <c r="O44" s="234">
        <f>IF('Input Nilai Sikap'!Y37="","",'Input Nilai Sikap'!Y37)</f>
        <v>3</v>
      </c>
      <c r="P44" s="235">
        <f>IF('Input Nilai Sikap'!AC37="","",'Input Nilai Sikap'!AC37)</f>
        <v>3</v>
      </c>
      <c r="Q44" s="235">
        <f>IF('Input Nilai Sikap'!AG37="","",'Input Nilai Sikap'!AG37)</f>
        <v>3</v>
      </c>
      <c r="R44" s="235">
        <f>IF('Input Nilai Sikap'!AK37="","",'Input Nilai Sikap'!AK37)</f>
        <v>3</v>
      </c>
      <c r="S44" s="233" t="str">
        <f>IF('Input Nilai Sikap'!AL37="","",'Input Nilai Sikap'!AL37)</f>
        <v>Santun dalam bersikap, disiplin dalam mentaati tata tertib madrasah, peduli pada lingkungan, orang tua, bertanggung jawab dalam melaksanakan tugas, baik sebagai individu maupun makhluk sosial</v>
      </c>
    </row>
    <row r="45" spans="1:19" s="141" customFormat="1" ht="23.25" customHeight="1">
      <c r="A45" s="205">
        <f>'DATA SISWA'!A36</f>
        <v>32</v>
      </c>
      <c r="B45" s="205" t="str">
        <f>'DATA SISWA'!B36</f>
        <v>7672</v>
      </c>
      <c r="C45" s="204" t="str">
        <f>'DATA SISWA'!C36</f>
        <v>SALMA NABILA</v>
      </c>
      <c r="D45" s="229">
        <f>IF('Input Nilai Pengetahuan'!CQ36="","",'Input Nilai Pengetahuan'!CQ36)</f>
        <v>79</v>
      </c>
      <c r="E45" s="229" t="str">
        <f>IF('Input Nilai Pengetahuan'!CR36="","",'Input Nilai Pengetahuan'!CR36)</f>
        <v>B</v>
      </c>
      <c r="F45" s="230" t="str">
        <f>IF('Input Nilai Pengetahuan'!CV36="","",'Input Nilai Pengetahuan'!CV36)</f>
        <v>Penguasaan materi sudah baik dalam Mengidentifikasi informasi (pesan, rima, dan pilihan kata) dari puisi rakyat (pantun, syair, dan bentuk puisi rakyat setempat) yang dibaca dan didengar</v>
      </c>
      <c r="G45" s="229">
        <f>IF('Input Nilai Ketrampilan'!BF36="","",'Input Nilai Ketrampilan'!BF36)</f>
        <v>80</v>
      </c>
      <c r="H45" s="229" t="str">
        <f>IF('Input Nilai Ketrampilan'!BG36="","",'Input Nilai Ketrampilan'!BG36)</f>
        <v>B</v>
      </c>
      <c r="I45" s="230" t="str">
        <f>IF('Input Nilai Ketrampilan'!BK36="","",'Input Nilai Ketrampilan'!BK36)</f>
        <v>Terampil Menyimpulkan isi puisi rakyat (pantun, syair, dan bentuk puisi rakyat setempat) yang disajikan dalam bentuk tulis dan lisan</v>
      </c>
      <c r="J45" s="236">
        <f>IF('Input Nilai Sikap'!H38="","",'Input Nilai Sikap'!H38)</f>
        <v>3</v>
      </c>
      <c r="K45" s="233" t="str">
        <f>IF('Input Nilai Sikap'!I38="","",'Input Nilai Sikap'!I38)</f>
        <v>Melaksanakan sholat dhuhur berjemaah dan sholatt dhuha, berdo'a di awal di akhir kegiatan pembelajaran , serta melaksanakan kegiatan amaliyah siswa</v>
      </c>
      <c r="L45" s="234">
        <f>IF('Input Nilai Sikap'!M38="","",'Input Nilai Sikap'!M38)</f>
        <v>3</v>
      </c>
      <c r="M45" s="234">
        <f>IF('Input Nilai Sikap'!Q38="","",'Input Nilai Sikap'!Q38)</f>
        <v>3</v>
      </c>
      <c r="N45" s="234">
        <f>IF('Input Nilai Sikap'!U38="","",'Input Nilai Sikap'!U38)</f>
        <v>3</v>
      </c>
      <c r="O45" s="234">
        <f>IF('Input Nilai Sikap'!Y38="","",'Input Nilai Sikap'!Y38)</f>
        <v>3</v>
      </c>
      <c r="P45" s="235">
        <f>IF('Input Nilai Sikap'!AC38="","",'Input Nilai Sikap'!AC38)</f>
        <v>3</v>
      </c>
      <c r="Q45" s="235">
        <f>IF('Input Nilai Sikap'!AG38="","",'Input Nilai Sikap'!AG38)</f>
        <v>3</v>
      </c>
      <c r="R45" s="235">
        <f>IF('Input Nilai Sikap'!AK38="","",'Input Nilai Sikap'!AK38)</f>
        <v>3</v>
      </c>
      <c r="S45" s="233" t="str">
        <f>IF('Input Nilai Sikap'!AL38="","",'Input Nilai Sikap'!AL38)</f>
        <v>Santun dalam bersikap, disiplin dalam mentaati tata tertib madrasah, peduli pada lingkungan, orang tua, bertanggung jawab dalam melaksanakan tugas, baik sebagai individu maupun makhluk sosial</v>
      </c>
    </row>
    <row r="46" spans="1:19" s="141" customFormat="1" ht="23.25" customHeight="1">
      <c r="A46" s="205">
        <f>'DATA SISWA'!A37</f>
        <v>33</v>
      </c>
      <c r="B46" s="205" t="str">
        <f>'DATA SISWA'!B37</f>
        <v>7673</v>
      </c>
      <c r="C46" s="204" t="str">
        <f>'DATA SISWA'!C37</f>
        <v>SITI AINUR ROHIMAH</v>
      </c>
      <c r="D46" s="229">
        <f>IF('Input Nilai Pengetahuan'!CQ37="","",'Input Nilai Pengetahuan'!CQ37)</f>
        <v>79</v>
      </c>
      <c r="E46" s="229" t="str">
        <f>IF('Input Nilai Pengetahuan'!CR37="","",'Input Nilai Pengetahuan'!CR37)</f>
        <v>B</v>
      </c>
      <c r="F46" s="230" t="str">
        <f>IF('Input Nilai Pengetahuan'!CV37="","",'Input Nilai Pengetahuan'!CV37)</f>
        <v>Penguasaan materi sudah baik dalam Mengidentifikasi informasi (pesan, rima, dan pilihan kata) dari puisi rakyat (pantun, syair, dan bentuk puisi rakyat setempat) yang dibaca dan didengar</v>
      </c>
      <c r="G46" s="229">
        <f>IF('Input Nilai Ketrampilan'!BF37="","",'Input Nilai Ketrampilan'!BF37)</f>
        <v>79</v>
      </c>
      <c r="H46" s="229" t="str">
        <f>IF('Input Nilai Ketrampilan'!BG37="","",'Input Nilai Ketrampilan'!BG37)</f>
        <v>B</v>
      </c>
      <c r="I46" s="230" t="str">
        <f>IF('Input Nilai Ketrampilan'!BK37="","",'Input Nilai Ketrampilan'!BK37)</f>
        <v>Terampil Menyimpulkan isi puisi rakyat (pantun, syair, dan bentuk puisi rakyat setempat) yang disajikan dalam bentuk tulis dan lisan</v>
      </c>
      <c r="J46" s="236">
        <f>IF('Input Nilai Sikap'!H39="","",'Input Nilai Sikap'!H39)</f>
        <v>3</v>
      </c>
      <c r="K46" s="233" t="str">
        <f>IF('Input Nilai Sikap'!I39="","",'Input Nilai Sikap'!I39)</f>
        <v>Melaksanakan sholat dhuhur berjemaah dan sholatt dhuha, berdo'a di awal di akhir kegiatan pembelajaran , serta melaksanakan kegiatan amaliyah siswa</v>
      </c>
      <c r="L46" s="234">
        <f>IF('Input Nilai Sikap'!M39="","",'Input Nilai Sikap'!M39)</f>
        <v>3</v>
      </c>
      <c r="M46" s="234">
        <f>IF('Input Nilai Sikap'!Q39="","",'Input Nilai Sikap'!Q39)</f>
        <v>3</v>
      </c>
      <c r="N46" s="234">
        <f>IF('Input Nilai Sikap'!U39="","",'Input Nilai Sikap'!U39)</f>
        <v>3</v>
      </c>
      <c r="O46" s="234">
        <f>IF('Input Nilai Sikap'!Y39="","",'Input Nilai Sikap'!Y39)</f>
        <v>3</v>
      </c>
      <c r="P46" s="235">
        <f>IF('Input Nilai Sikap'!AC39="","",'Input Nilai Sikap'!AC39)</f>
        <v>3</v>
      </c>
      <c r="Q46" s="235">
        <f>IF('Input Nilai Sikap'!AG39="","",'Input Nilai Sikap'!AG39)</f>
        <v>3</v>
      </c>
      <c r="R46" s="235">
        <f>IF('Input Nilai Sikap'!AK39="","",'Input Nilai Sikap'!AK39)</f>
        <v>3</v>
      </c>
      <c r="S46" s="233" t="str">
        <f>IF('Input Nilai Sikap'!AL39="","",'Input Nilai Sikap'!AL39)</f>
        <v>Santun dalam bersikap, disiplin dalam mentaati tata tertib madrasah, peduli pada lingkungan, orang tua, bertanggung jawab dalam melaksanakan tugas, baik sebagai individu maupun makhluk sosial</v>
      </c>
    </row>
    <row r="47" spans="1:19" s="141" customFormat="1" ht="23.25" customHeight="1">
      <c r="A47" s="205">
        <f>'DATA SISWA'!A38</f>
        <v>34</v>
      </c>
      <c r="B47" s="205" t="str">
        <f>'DATA SISWA'!B38</f>
        <v>7675</v>
      </c>
      <c r="C47" s="204" t="str">
        <f>'DATA SISWA'!C38</f>
        <v>SYARIF HIDAYATULLOH</v>
      </c>
      <c r="D47" s="229">
        <f>IF('Input Nilai Pengetahuan'!CQ38="","",'Input Nilai Pengetahuan'!CQ38)</f>
        <v>76</v>
      </c>
      <c r="E47" s="229" t="str">
        <f>IF('Input Nilai Pengetahuan'!CR38="","",'Input Nilai Pengetahuan'!CR38)</f>
        <v>B</v>
      </c>
      <c r="F47" s="230" t="str">
        <f>IF('Input Nilai Pengetahuan'!CV38="","",'Input Nilai Pengetahuan'!CV38)</f>
        <v>Penguasaan materi sudah baik dalam Mengidentifikasi informasi (pesan, rima, dan pilihan kata) dari puisi rakyat (pantun, syair, dan bentuk puisi rakyat setempat) yang dibaca dan didengar</v>
      </c>
      <c r="G47" s="229">
        <f>IF('Input Nilai Ketrampilan'!BF38="","",'Input Nilai Ketrampilan'!BF38)</f>
        <v>78</v>
      </c>
      <c r="H47" s="229" t="str">
        <f>IF('Input Nilai Ketrampilan'!BG38="","",'Input Nilai Ketrampilan'!BG38)</f>
        <v>B</v>
      </c>
      <c r="I47" s="230" t="str">
        <f>IF('Input Nilai Ketrampilan'!BK38="","",'Input Nilai Ketrampilan'!BK38)</f>
        <v>Terampil Menyimpulkan isi puisi rakyat (pantun, syair, dan bentuk puisi rakyat setempat) yang disajikan dalam bentuk tulis dan lisan</v>
      </c>
      <c r="J47" s="236">
        <f>IF('Input Nilai Sikap'!H40="","",'Input Nilai Sikap'!H40)</f>
        <v>3</v>
      </c>
      <c r="K47" s="233" t="str">
        <f>IF('Input Nilai Sikap'!I40="","",'Input Nilai Sikap'!I40)</f>
        <v>Melaksanakan sholat dhuhur berjemaah dan sholatt dhuha, berdo'a di awal di akhir kegiatan pembelajaran , serta melaksanakan kegiatan amaliyah siswa</v>
      </c>
      <c r="L47" s="234">
        <f>IF('Input Nilai Sikap'!M40="","",'Input Nilai Sikap'!M40)</f>
        <v>3</v>
      </c>
      <c r="M47" s="234">
        <f>IF('Input Nilai Sikap'!Q40="","",'Input Nilai Sikap'!Q40)</f>
        <v>3</v>
      </c>
      <c r="N47" s="234">
        <f>IF('Input Nilai Sikap'!U40="","",'Input Nilai Sikap'!U40)</f>
        <v>3</v>
      </c>
      <c r="O47" s="234">
        <f>IF('Input Nilai Sikap'!Y40="","",'Input Nilai Sikap'!Y40)</f>
        <v>3</v>
      </c>
      <c r="P47" s="235">
        <f>IF('Input Nilai Sikap'!AC40="","",'Input Nilai Sikap'!AC40)</f>
        <v>3</v>
      </c>
      <c r="Q47" s="235">
        <f>IF('Input Nilai Sikap'!AG40="","",'Input Nilai Sikap'!AG40)</f>
        <v>3</v>
      </c>
      <c r="R47" s="235">
        <f>IF('Input Nilai Sikap'!AK40="","",'Input Nilai Sikap'!AK40)</f>
        <v>3</v>
      </c>
      <c r="S47" s="233" t="str">
        <f>IF('Input Nilai Sikap'!AL40="","",'Input Nilai Sikap'!AL40)</f>
        <v>Santun dalam bersikap, disiplin dalam mentaati tata tertib madrasah, peduli pada lingkungan, orang tua, bertanggung jawab dalam melaksanakan tugas, baik sebagai individu maupun makhluk sosial</v>
      </c>
    </row>
    <row r="48" spans="1:19" s="141" customFormat="1" ht="23.25" customHeight="1">
      <c r="A48" s="205">
        <f>'DATA SISWA'!A39</f>
        <v>35</v>
      </c>
      <c r="B48" s="205" t="str">
        <f>'DATA SISWA'!B39</f>
        <v>7444</v>
      </c>
      <c r="C48" s="204" t="str">
        <f>'DATA SISWA'!C39</f>
        <v>URVIA ZAHNA ROHANDY</v>
      </c>
      <c r="D48" s="229">
        <f>IF('Input Nilai Pengetahuan'!CQ39="","",'Input Nilai Pengetahuan'!CQ39)</f>
        <v>75</v>
      </c>
      <c r="E48" s="229" t="str">
        <f>IF('Input Nilai Pengetahuan'!CR39="","",'Input Nilai Pengetahuan'!CR39)</f>
        <v>B</v>
      </c>
      <c r="F48" s="230" t="str">
        <f>IF('Input Nilai Pengetahuan'!CV39="","",'Input Nilai Pengetahuan'!CV39)</f>
        <v>Penguasaan materi sudah baik dalam Mengidentifikasi informasi (pesan, rima, dan pilihan kata) dari puisi rakyat (pantun, syair, dan bentuk puisi rakyat setempat) yang dibaca dan didengar</v>
      </c>
      <c r="G48" s="229">
        <f>IF('Input Nilai Ketrampilan'!BF39="","",'Input Nilai Ketrampilan'!BF39)</f>
        <v>79</v>
      </c>
      <c r="H48" s="229" t="str">
        <f>IF('Input Nilai Ketrampilan'!BG39="","",'Input Nilai Ketrampilan'!BG39)</f>
        <v>B</v>
      </c>
      <c r="I48" s="230" t="str">
        <f>IF('Input Nilai Ketrampilan'!BK39="","",'Input Nilai Ketrampilan'!BK39)</f>
        <v>Terampil Menyimpulkan isi puisi rakyat (pantun, syair, dan bentuk puisi rakyat setempat) yang disajikan dalam bentuk tulis dan lisan</v>
      </c>
      <c r="J48" s="236">
        <f>IF('Input Nilai Sikap'!H41="","",'Input Nilai Sikap'!H41)</f>
        <v>3</v>
      </c>
      <c r="K48" s="233" t="str">
        <f>IF('Input Nilai Sikap'!I41="","",'Input Nilai Sikap'!I41)</f>
        <v>Melaksanakan sholat dhuhur berjemaah dan sholatt dhuha, berdo'a di awal di akhir kegiatan pembelajaran , serta melaksanakan kegiatan amaliyah siswa</v>
      </c>
      <c r="L48" s="234">
        <f>IF('Input Nilai Sikap'!M41="","",'Input Nilai Sikap'!M41)</f>
        <v>3</v>
      </c>
      <c r="M48" s="234">
        <f>IF('Input Nilai Sikap'!Q41="","",'Input Nilai Sikap'!Q41)</f>
        <v>3</v>
      </c>
      <c r="N48" s="234">
        <f>IF('Input Nilai Sikap'!U41="","",'Input Nilai Sikap'!U41)</f>
        <v>3</v>
      </c>
      <c r="O48" s="234">
        <f>IF('Input Nilai Sikap'!Y41="","",'Input Nilai Sikap'!Y41)</f>
        <v>3</v>
      </c>
      <c r="P48" s="235">
        <f>IF('Input Nilai Sikap'!AC41="","",'Input Nilai Sikap'!AC41)</f>
        <v>3</v>
      </c>
      <c r="Q48" s="235">
        <f>IF('Input Nilai Sikap'!AG41="","",'Input Nilai Sikap'!AG41)</f>
        <v>3</v>
      </c>
      <c r="R48" s="235">
        <f>IF('Input Nilai Sikap'!AK41="","",'Input Nilai Sikap'!AK41)</f>
        <v>3</v>
      </c>
      <c r="S48" s="233" t="str">
        <f>IF('Input Nilai Sikap'!AL41="","",'Input Nilai Sikap'!AL41)</f>
        <v>Santun dalam bersikap, disiplin dalam mentaati tata tertib madrasah, peduli pada lingkungan, orang tua, bertanggung jawab dalam melaksanakan tugas, baik sebagai individu maupun makhluk sosial</v>
      </c>
    </row>
    <row r="49" spans="1:19" s="141" customFormat="1" ht="23.25" customHeight="1">
      <c r="A49" s="205">
        <f>'DATA SISWA'!A40</f>
        <v>36</v>
      </c>
      <c r="B49" s="205">
        <f>'DATA SISWA'!B40</f>
        <v>0</v>
      </c>
      <c r="C49" s="204">
        <f>'DATA SISWA'!C40</f>
        <v>0</v>
      </c>
      <c r="D49" s="229" t="str">
        <f>IF('Input Nilai Pengetahuan'!CQ40="","",'Input Nilai Pengetahuan'!CQ40)</f>
        <v/>
      </c>
      <c r="E49" s="229" t="str">
        <f>IF('Input Nilai Pengetahuan'!CR40="","",'Input Nilai Pengetahuan'!CR40)</f>
        <v/>
      </c>
      <c r="F49" s="230" t="str">
        <f>IF('Input Nilai Pengetahuan'!CV40="","",'Input Nilai Pengetahuan'!CV40)</f>
        <v/>
      </c>
      <c r="G49" s="229" t="str">
        <f>IF('Input Nilai Ketrampilan'!BF40="","",'Input Nilai Ketrampilan'!BF40)</f>
        <v/>
      </c>
      <c r="H49" s="229" t="str">
        <f>IF('Input Nilai Ketrampilan'!BG40="","",'Input Nilai Ketrampilan'!BG40)</f>
        <v/>
      </c>
      <c r="I49" s="230" t="str">
        <f>IF('Input Nilai Ketrampilan'!BK40="","",'Input Nilai Ketrampilan'!BK40)</f>
        <v/>
      </c>
      <c r="J49" s="236" t="str">
        <f>IF('Input Nilai Sikap'!H42="","",'Input Nilai Sikap'!H42)</f>
        <v/>
      </c>
      <c r="K49" s="233" t="str">
        <f>IF('Input Nilai Sikap'!I42="","",'Input Nilai Sikap'!I42)</f>
        <v/>
      </c>
      <c r="L49" s="234" t="str">
        <f>IF('Input Nilai Sikap'!M42="","",'Input Nilai Sikap'!M42)</f>
        <v/>
      </c>
      <c r="M49" s="234" t="str">
        <f>IF('Input Nilai Sikap'!Q42="","",'Input Nilai Sikap'!Q42)</f>
        <v/>
      </c>
      <c r="N49" s="234" t="str">
        <f>IF('Input Nilai Sikap'!U42="","",'Input Nilai Sikap'!U42)</f>
        <v/>
      </c>
      <c r="O49" s="234" t="str">
        <f>IF('Input Nilai Sikap'!Y42="","",'Input Nilai Sikap'!Y42)</f>
        <v/>
      </c>
      <c r="P49" s="235" t="str">
        <f>IF('Input Nilai Sikap'!AC42="","",'Input Nilai Sikap'!AC42)</f>
        <v/>
      </c>
      <c r="Q49" s="235" t="str">
        <f>IF('Input Nilai Sikap'!AG42="","",'Input Nilai Sikap'!AG42)</f>
        <v/>
      </c>
      <c r="R49" s="235" t="str">
        <f>IF('Input Nilai Sikap'!AK42="","",'Input Nilai Sikap'!AK42)</f>
        <v/>
      </c>
      <c r="S49" s="233" t="str">
        <f>IF('Input Nilai Sikap'!AL42="","",'Input Nilai Sikap'!AL42)</f>
        <v/>
      </c>
    </row>
    <row r="50" spans="1:19" s="141" customFormat="1" ht="23.25" customHeight="1">
      <c r="A50" s="205">
        <f>'DATA SISWA'!A41</f>
        <v>37</v>
      </c>
      <c r="B50" s="205">
        <f>'DATA SISWA'!B41</f>
        <v>0</v>
      </c>
      <c r="C50" s="204">
        <f>'DATA SISWA'!C41</f>
        <v>0</v>
      </c>
      <c r="D50" s="229" t="str">
        <f>IF('Input Nilai Pengetahuan'!CQ41="","",'Input Nilai Pengetahuan'!CQ41)</f>
        <v/>
      </c>
      <c r="E50" s="229" t="str">
        <f>IF('Input Nilai Pengetahuan'!CR41="","",'Input Nilai Pengetahuan'!CR41)</f>
        <v/>
      </c>
      <c r="F50" s="230" t="str">
        <f>IF('Input Nilai Pengetahuan'!CV41="","",'Input Nilai Pengetahuan'!CV41)</f>
        <v/>
      </c>
      <c r="G50" s="229" t="str">
        <f>IF('Input Nilai Ketrampilan'!BF41="","",'Input Nilai Ketrampilan'!BF41)</f>
        <v/>
      </c>
      <c r="H50" s="229" t="str">
        <f>IF('Input Nilai Ketrampilan'!BG41="","",'Input Nilai Ketrampilan'!BG41)</f>
        <v/>
      </c>
      <c r="I50" s="230" t="str">
        <f>IF('Input Nilai Ketrampilan'!BK41="","",'Input Nilai Ketrampilan'!BK41)</f>
        <v/>
      </c>
      <c r="J50" s="236" t="str">
        <f>IF('Input Nilai Sikap'!H43="","",'Input Nilai Sikap'!H43)</f>
        <v/>
      </c>
      <c r="K50" s="233" t="str">
        <f>IF('Input Nilai Sikap'!I43="","",'Input Nilai Sikap'!I43)</f>
        <v/>
      </c>
      <c r="L50" s="234" t="str">
        <f>IF('Input Nilai Sikap'!M43="","",'Input Nilai Sikap'!M43)</f>
        <v/>
      </c>
      <c r="M50" s="234" t="str">
        <f>IF('Input Nilai Sikap'!Q43="","",'Input Nilai Sikap'!Q43)</f>
        <v/>
      </c>
      <c r="N50" s="234" t="str">
        <f>IF('Input Nilai Sikap'!U43="","",'Input Nilai Sikap'!U43)</f>
        <v/>
      </c>
      <c r="O50" s="234" t="str">
        <f>IF('Input Nilai Sikap'!Y43="","",'Input Nilai Sikap'!Y43)</f>
        <v/>
      </c>
      <c r="P50" s="235" t="str">
        <f>IF('Input Nilai Sikap'!AC43="","",'Input Nilai Sikap'!AC43)</f>
        <v/>
      </c>
      <c r="Q50" s="235" t="str">
        <f>IF('Input Nilai Sikap'!AG43="","",'Input Nilai Sikap'!AG43)</f>
        <v/>
      </c>
      <c r="R50" s="235" t="str">
        <f>IF('Input Nilai Sikap'!AK43="","",'Input Nilai Sikap'!AK43)</f>
        <v/>
      </c>
      <c r="S50" s="233" t="str">
        <f>IF('Input Nilai Sikap'!AL43="","",'Input Nilai Sikap'!AL43)</f>
        <v/>
      </c>
    </row>
    <row r="51" spans="1:19" s="141" customFormat="1" ht="23.25" customHeight="1">
      <c r="A51" s="205">
        <f>'DATA SISWA'!A42</f>
        <v>38</v>
      </c>
      <c r="B51" s="205">
        <f>'DATA SISWA'!B42</f>
        <v>0</v>
      </c>
      <c r="C51" s="204">
        <f>'DATA SISWA'!C42</f>
        <v>0</v>
      </c>
      <c r="D51" s="229" t="str">
        <f>IF('Input Nilai Pengetahuan'!CQ42="","",'Input Nilai Pengetahuan'!CQ42)</f>
        <v/>
      </c>
      <c r="E51" s="229" t="str">
        <f>IF('Input Nilai Pengetahuan'!CR42="","",'Input Nilai Pengetahuan'!CR42)</f>
        <v/>
      </c>
      <c r="F51" s="230" t="str">
        <f>IF('Input Nilai Pengetahuan'!CV42="","",'Input Nilai Pengetahuan'!CV42)</f>
        <v/>
      </c>
      <c r="G51" s="229" t="str">
        <f>IF('Input Nilai Ketrampilan'!BF42="","",'Input Nilai Ketrampilan'!BF42)</f>
        <v/>
      </c>
      <c r="H51" s="229" t="str">
        <f>IF('Input Nilai Ketrampilan'!BG42="","",'Input Nilai Ketrampilan'!BG42)</f>
        <v/>
      </c>
      <c r="I51" s="230" t="str">
        <f>IF('Input Nilai Ketrampilan'!BK42="","",'Input Nilai Ketrampilan'!BK42)</f>
        <v/>
      </c>
      <c r="J51" s="236" t="str">
        <f>IF('Input Nilai Sikap'!H44="","",'Input Nilai Sikap'!H44)</f>
        <v/>
      </c>
      <c r="K51" s="233" t="str">
        <f>IF('Input Nilai Sikap'!I44="","",'Input Nilai Sikap'!I44)</f>
        <v/>
      </c>
      <c r="L51" s="234" t="str">
        <f>IF('Input Nilai Sikap'!M44="","",'Input Nilai Sikap'!M44)</f>
        <v/>
      </c>
      <c r="M51" s="234" t="str">
        <f>IF('Input Nilai Sikap'!Q44="","",'Input Nilai Sikap'!Q44)</f>
        <v/>
      </c>
      <c r="N51" s="234" t="str">
        <f>IF('Input Nilai Sikap'!U44="","",'Input Nilai Sikap'!U44)</f>
        <v/>
      </c>
      <c r="O51" s="234" t="str">
        <f>IF('Input Nilai Sikap'!Y44="","",'Input Nilai Sikap'!Y44)</f>
        <v/>
      </c>
      <c r="P51" s="235" t="str">
        <f>IF('Input Nilai Sikap'!AC44="","",'Input Nilai Sikap'!AC44)</f>
        <v/>
      </c>
      <c r="Q51" s="235" t="str">
        <f>IF('Input Nilai Sikap'!AG44="","",'Input Nilai Sikap'!AG44)</f>
        <v/>
      </c>
      <c r="R51" s="235" t="str">
        <f>IF('Input Nilai Sikap'!AK44="","",'Input Nilai Sikap'!AK44)</f>
        <v/>
      </c>
      <c r="S51" s="233" t="str">
        <f>IF('Input Nilai Sikap'!AL44="","",'Input Nilai Sikap'!AL44)</f>
        <v/>
      </c>
    </row>
    <row r="52" spans="1:19" s="141" customFormat="1" ht="23.25" customHeight="1">
      <c r="A52" s="205">
        <f>'DATA SISWA'!A43</f>
        <v>39</v>
      </c>
      <c r="B52" s="205">
        <f>'DATA SISWA'!B43</f>
        <v>0</v>
      </c>
      <c r="C52" s="204">
        <f>'DATA SISWA'!C43</f>
        <v>0</v>
      </c>
      <c r="D52" s="229" t="str">
        <f>IF('Input Nilai Pengetahuan'!CQ43="","",'Input Nilai Pengetahuan'!CQ43)</f>
        <v/>
      </c>
      <c r="E52" s="229" t="str">
        <f>IF('Input Nilai Pengetahuan'!CR43="","",'Input Nilai Pengetahuan'!CR43)</f>
        <v/>
      </c>
      <c r="F52" s="230" t="str">
        <f>IF('Input Nilai Pengetahuan'!CV43="","",'Input Nilai Pengetahuan'!CV43)</f>
        <v/>
      </c>
      <c r="G52" s="229" t="str">
        <f>IF('Input Nilai Ketrampilan'!BF43="","",'Input Nilai Ketrampilan'!BF43)</f>
        <v/>
      </c>
      <c r="H52" s="229" t="str">
        <f>IF('Input Nilai Ketrampilan'!BG43="","",'Input Nilai Ketrampilan'!BG43)</f>
        <v/>
      </c>
      <c r="I52" s="230" t="str">
        <f>IF('Input Nilai Ketrampilan'!BK43="","",'Input Nilai Ketrampilan'!BK43)</f>
        <v/>
      </c>
      <c r="J52" s="236" t="str">
        <f>IF('Input Nilai Sikap'!H45="","",'Input Nilai Sikap'!H45)</f>
        <v/>
      </c>
      <c r="K52" s="233" t="str">
        <f>IF('Input Nilai Sikap'!I45="","",'Input Nilai Sikap'!I45)</f>
        <v/>
      </c>
      <c r="L52" s="234" t="str">
        <f>IF('Input Nilai Sikap'!M45="","",'Input Nilai Sikap'!M45)</f>
        <v/>
      </c>
      <c r="M52" s="234" t="str">
        <f>IF('Input Nilai Sikap'!Q45="","",'Input Nilai Sikap'!Q45)</f>
        <v/>
      </c>
      <c r="N52" s="234" t="str">
        <f>IF('Input Nilai Sikap'!U45="","",'Input Nilai Sikap'!U45)</f>
        <v/>
      </c>
      <c r="O52" s="234" t="str">
        <f>IF('Input Nilai Sikap'!Y45="","",'Input Nilai Sikap'!Y45)</f>
        <v/>
      </c>
      <c r="P52" s="235" t="str">
        <f>IF('Input Nilai Sikap'!AC45="","",'Input Nilai Sikap'!AC45)</f>
        <v/>
      </c>
      <c r="Q52" s="235" t="str">
        <f>IF('Input Nilai Sikap'!AG45="","",'Input Nilai Sikap'!AG45)</f>
        <v/>
      </c>
      <c r="R52" s="235" t="str">
        <f>IF('Input Nilai Sikap'!AK45="","",'Input Nilai Sikap'!AK45)</f>
        <v/>
      </c>
      <c r="S52" s="233" t="str">
        <f>IF('Input Nilai Sikap'!AL45="","",'Input Nilai Sikap'!AL45)</f>
        <v/>
      </c>
    </row>
    <row r="53" spans="1:19" s="141" customFormat="1" ht="23.25" customHeight="1">
      <c r="A53" s="205">
        <f>'DATA SISWA'!A44</f>
        <v>40</v>
      </c>
      <c r="B53" s="205">
        <f>'DATA SISWA'!B44</f>
        <v>0</v>
      </c>
      <c r="C53" s="204">
        <f>'DATA SISWA'!C44</f>
        <v>0</v>
      </c>
      <c r="D53" s="229" t="str">
        <f>IF('Input Nilai Pengetahuan'!CQ44="","",'Input Nilai Pengetahuan'!CQ44)</f>
        <v/>
      </c>
      <c r="E53" s="229" t="str">
        <f>IF('Input Nilai Pengetahuan'!CR44="","",'Input Nilai Pengetahuan'!CR44)</f>
        <v/>
      </c>
      <c r="F53" s="230" t="str">
        <f>IF('Input Nilai Pengetahuan'!CV44="","",'Input Nilai Pengetahuan'!CV44)</f>
        <v/>
      </c>
      <c r="G53" s="229" t="str">
        <f>IF('Input Nilai Ketrampilan'!BF44="","",'Input Nilai Ketrampilan'!BF44)</f>
        <v/>
      </c>
      <c r="H53" s="229" t="str">
        <f>IF('Input Nilai Ketrampilan'!BG44="","",'Input Nilai Ketrampilan'!BG44)</f>
        <v/>
      </c>
      <c r="I53" s="230" t="str">
        <f>IF('Input Nilai Ketrampilan'!BK44="","",'Input Nilai Ketrampilan'!BK44)</f>
        <v/>
      </c>
      <c r="J53" s="236" t="str">
        <f>IF('Input Nilai Sikap'!H46="","",'Input Nilai Sikap'!H46)</f>
        <v/>
      </c>
      <c r="K53" s="233" t="str">
        <f>IF('Input Nilai Sikap'!I46="","",'Input Nilai Sikap'!I46)</f>
        <v/>
      </c>
      <c r="L53" s="234" t="str">
        <f>IF('Input Nilai Sikap'!M46="","",'Input Nilai Sikap'!M46)</f>
        <v/>
      </c>
      <c r="M53" s="234" t="str">
        <f>IF('Input Nilai Sikap'!Q46="","",'Input Nilai Sikap'!Q46)</f>
        <v/>
      </c>
      <c r="N53" s="234" t="str">
        <f>IF('Input Nilai Sikap'!U46="","",'Input Nilai Sikap'!U46)</f>
        <v/>
      </c>
      <c r="O53" s="234" t="str">
        <f>IF('Input Nilai Sikap'!Y46="","",'Input Nilai Sikap'!Y46)</f>
        <v/>
      </c>
      <c r="P53" s="235" t="str">
        <f>IF('Input Nilai Sikap'!AC46="","",'Input Nilai Sikap'!AC46)</f>
        <v/>
      </c>
      <c r="Q53" s="235" t="str">
        <f>IF('Input Nilai Sikap'!AG46="","",'Input Nilai Sikap'!AG46)</f>
        <v/>
      </c>
      <c r="R53" s="235" t="str">
        <f>IF('Input Nilai Sikap'!AK46="","",'Input Nilai Sikap'!AK46)</f>
        <v/>
      </c>
      <c r="S53" s="233" t="str">
        <f>IF('Input Nilai Sikap'!AL46="","",'Input Nilai Sikap'!AL46)</f>
        <v/>
      </c>
    </row>
    <row r="54" spans="1:19" s="141" customFormat="1" ht="23.25" customHeight="1">
      <c r="A54" s="205">
        <f>'DATA SISWA'!A45</f>
        <v>41</v>
      </c>
      <c r="B54" s="205">
        <f>'DATA SISWA'!B45</f>
        <v>0</v>
      </c>
      <c r="C54" s="204">
        <f>'DATA SISWA'!C45</f>
        <v>0</v>
      </c>
      <c r="D54" s="229" t="str">
        <f>IF('Input Nilai Pengetahuan'!CQ45="","",'Input Nilai Pengetahuan'!CQ45)</f>
        <v/>
      </c>
      <c r="E54" s="229" t="str">
        <f>IF('Input Nilai Pengetahuan'!CR45="","",'Input Nilai Pengetahuan'!CR45)</f>
        <v/>
      </c>
      <c r="F54" s="230" t="str">
        <f>IF('Input Nilai Pengetahuan'!CV45="","",'Input Nilai Pengetahuan'!CV45)</f>
        <v/>
      </c>
      <c r="G54" s="229" t="str">
        <f>IF('Input Nilai Ketrampilan'!BF45="","",'Input Nilai Ketrampilan'!BF45)</f>
        <v/>
      </c>
      <c r="H54" s="229" t="str">
        <f>IF('Input Nilai Ketrampilan'!BG45="","",'Input Nilai Ketrampilan'!BG45)</f>
        <v/>
      </c>
      <c r="I54" s="230" t="str">
        <f>IF('Input Nilai Ketrampilan'!BK45="","",'Input Nilai Ketrampilan'!BK45)</f>
        <v/>
      </c>
      <c r="J54" s="236" t="str">
        <f>IF('Input Nilai Sikap'!H47="","",'Input Nilai Sikap'!H47)</f>
        <v/>
      </c>
      <c r="K54" s="233" t="str">
        <f>IF('Input Nilai Sikap'!I47="","",'Input Nilai Sikap'!I47)</f>
        <v/>
      </c>
      <c r="L54" s="234" t="str">
        <f>IF('Input Nilai Sikap'!M47="","",'Input Nilai Sikap'!M47)</f>
        <v/>
      </c>
      <c r="M54" s="234" t="str">
        <f>IF('Input Nilai Sikap'!Q47="","",'Input Nilai Sikap'!Q47)</f>
        <v/>
      </c>
      <c r="N54" s="234" t="str">
        <f>IF('Input Nilai Sikap'!U47="","",'Input Nilai Sikap'!U47)</f>
        <v/>
      </c>
      <c r="O54" s="234" t="str">
        <f>IF('Input Nilai Sikap'!Y47="","",'Input Nilai Sikap'!Y47)</f>
        <v/>
      </c>
      <c r="P54" s="235" t="str">
        <f>IF('Input Nilai Sikap'!AC47="","",'Input Nilai Sikap'!AC47)</f>
        <v/>
      </c>
      <c r="Q54" s="235" t="str">
        <f>IF('Input Nilai Sikap'!AG47="","",'Input Nilai Sikap'!AG47)</f>
        <v/>
      </c>
      <c r="R54" s="235" t="str">
        <f>IF('Input Nilai Sikap'!AK47="","",'Input Nilai Sikap'!AK47)</f>
        <v/>
      </c>
      <c r="S54" s="233" t="str">
        <f>IF('Input Nilai Sikap'!AL47="","",'Input Nilai Sikap'!AL47)</f>
        <v/>
      </c>
    </row>
    <row r="55" spans="1:19" s="141" customFormat="1" ht="23.25" customHeight="1">
      <c r="A55" s="205">
        <f>'DATA SISWA'!A46</f>
        <v>42</v>
      </c>
      <c r="B55" s="205">
        <f>'DATA SISWA'!B46</f>
        <v>0</v>
      </c>
      <c r="C55" s="204">
        <f>'DATA SISWA'!C46</f>
        <v>0</v>
      </c>
      <c r="D55" s="229" t="str">
        <f>IF('Input Nilai Pengetahuan'!CQ46="","",'Input Nilai Pengetahuan'!CQ46)</f>
        <v/>
      </c>
      <c r="E55" s="229" t="str">
        <f>IF('Input Nilai Pengetahuan'!CR46="","",'Input Nilai Pengetahuan'!CR46)</f>
        <v/>
      </c>
      <c r="F55" s="230" t="str">
        <f>IF('Input Nilai Pengetahuan'!CV46="","",'Input Nilai Pengetahuan'!CV46)</f>
        <v/>
      </c>
      <c r="G55" s="229" t="str">
        <f>IF('Input Nilai Ketrampilan'!BF46="","",'Input Nilai Ketrampilan'!BF46)</f>
        <v/>
      </c>
      <c r="H55" s="229" t="str">
        <f>IF('Input Nilai Ketrampilan'!BG46="","",'Input Nilai Ketrampilan'!BG46)</f>
        <v/>
      </c>
      <c r="I55" s="230" t="str">
        <f>IF('Input Nilai Ketrampilan'!BK46="","",'Input Nilai Ketrampilan'!BK46)</f>
        <v/>
      </c>
      <c r="J55" s="236" t="str">
        <f>IF('Input Nilai Sikap'!H48="","",'Input Nilai Sikap'!H48)</f>
        <v/>
      </c>
      <c r="K55" s="233" t="str">
        <f>IF('Input Nilai Sikap'!I48="","",'Input Nilai Sikap'!I48)</f>
        <v/>
      </c>
      <c r="L55" s="234" t="str">
        <f>IF('Input Nilai Sikap'!M48="","",'Input Nilai Sikap'!M48)</f>
        <v/>
      </c>
      <c r="M55" s="234" t="str">
        <f>IF('Input Nilai Sikap'!Q48="","",'Input Nilai Sikap'!Q48)</f>
        <v/>
      </c>
      <c r="N55" s="234" t="str">
        <f>IF('Input Nilai Sikap'!U48="","",'Input Nilai Sikap'!U48)</f>
        <v/>
      </c>
      <c r="O55" s="234" t="str">
        <f>IF('Input Nilai Sikap'!Y48="","",'Input Nilai Sikap'!Y48)</f>
        <v/>
      </c>
      <c r="P55" s="235" t="str">
        <f>IF('Input Nilai Sikap'!AC48="","",'Input Nilai Sikap'!AC48)</f>
        <v/>
      </c>
      <c r="Q55" s="235" t="str">
        <f>IF('Input Nilai Sikap'!AG48="","",'Input Nilai Sikap'!AG48)</f>
        <v/>
      </c>
      <c r="R55" s="235" t="str">
        <f>IF('Input Nilai Sikap'!AK48="","",'Input Nilai Sikap'!AK48)</f>
        <v/>
      </c>
      <c r="S55" s="233" t="str">
        <f>IF('Input Nilai Sikap'!AL48="","",'Input Nilai Sikap'!AL48)</f>
        <v/>
      </c>
    </row>
    <row r="56" spans="1:19" s="141" customFormat="1" ht="23.25" customHeight="1">
      <c r="A56" s="205">
        <f>'DATA SISWA'!A47</f>
        <v>43</v>
      </c>
      <c r="B56" s="205">
        <f>'DATA SISWA'!B47</f>
        <v>0</v>
      </c>
      <c r="C56" s="204">
        <f>'DATA SISWA'!C47</f>
        <v>0</v>
      </c>
      <c r="D56" s="229" t="str">
        <f>IF('Input Nilai Pengetahuan'!CQ47="","",'Input Nilai Pengetahuan'!CQ47)</f>
        <v/>
      </c>
      <c r="E56" s="229" t="str">
        <f>IF('Input Nilai Pengetahuan'!CR47="","",'Input Nilai Pengetahuan'!CR47)</f>
        <v/>
      </c>
      <c r="F56" s="230" t="str">
        <f>IF('Input Nilai Pengetahuan'!CV47="","",'Input Nilai Pengetahuan'!CV47)</f>
        <v/>
      </c>
      <c r="G56" s="229" t="str">
        <f>IF('Input Nilai Ketrampilan'!BF47="","",'Input Nilai Ketrampilan'!BF47)</f>
        <v/>
      </c>
      <c r="H56" s="229" t="str">
        <f>IF('Input Nilai Ketrampilan'!BG47="","",'Input Nilai Ketrampilan'!BG47)</f>
        <v/>
      </c>
      <c r="I56" s="230" t="str">
        <f>IF('Input Nilai Ketrampilan'!BK47="","",'Input Nilai Ketrampilan'!BK47)</f>
        <v/>
      </c>
      <c r="J56" s="236" t="str">
        <f>IF('Input Nilai Sikap'!H49="","",'Input Nilai Sikap'!H49)</f>
        <v/>
      </c>
      <c r="K56" s="233" t="str">
        <f>IF('Input Nilai Sikap'!I49="","",'Input Nilai Sikap'!I49)</f>
        <v/>
      </c>
      <c r="L56" s="234" t="str">
        <f>IF('Input Nilai Sikap'!M49="","",'Input Nilai Sikap'!M49)</f>
        <v/>
      </c>
      <c r="M56" s="234" t="str">
        <f>IF('Input Nilai Sikap'!Q49="","",'Input Nilai Sikap'!Q49)</f>
        <v/>
      </c>
      <c r="N56" s="234" t="str">
        <f>IF('Input Nilai Sikap'!U49="","",'Input Nilai Sikap'!U49)</f>
        <v/>
      </c>
      <c r="O56" s="234" t="str">
        <f>IF('Input Nilai Sikap'!Y49="","",'Input Nilai Sikap'!Y49)</f>
        <v/>
      </c>
      <c r="P56" s="235" t="str">
        <f>IF('Input Nilai Sikap'!AC49="","",'Input Nilai Sikap'!AC49)</f>
        <v/>
      </c>
      <c r="Q56" s="235" t="str">
        <f>IF('Input Nilai Sikap'!AG49="","",'Input Nilai Sikap'!AG49)</f>
        <v/>
      </c>
      <c r="R56" s="235" t="str">
        <f>IF('Input Nilai Sikap'!AK49="","",'Input Nilai Sikap'!AK49)</f>
        <v/>
      </c>
      <c r="S56" s="233" t="str">
        <f>IF('Input Nilai Sikap'!AL49="","",'Input Nilai Sikap'!AL49)</f>
        <v/>
      </c>
    </row>
    <row r="57" spans="1:19" s="141" customFormat="1" ht="23.25" customHeight="1">
      <c r="A57" s="205">
        <f>'DATA SISWA'!A48</f>
        <v>44</v>
      </c>
      <c r="B57" s="205">
        <f>'DATA SISWA'!B48</f>
        <v>0</v>
      </c>
      <c r="C57" s="204">
        <f>'DATA SISWA'!C48</f>
        <v>0</v>
      </c>
      <c r="D57" s="229" t="str">
        <f>IF('Input Nilai Pengetahuan'!CQ48="","",'Input Nilai Pengetahuan'!CQ48)</f>
        <v/>
      </c>
      <c r="E57" s="229" t="str">
        <f>IF('Input Nilai Pengetahuan'!CR48="","",'Input Nilai Pengetahuan'!CR48)</f>
        <v/>
      </c>
      <c r="F57" s="230" t="str">
        <f>IF('Input Nilai Pengetahuan'!CV48="","",'Input Nilai Pengetahuan'!CV48)</f>
        <v/>
      </c>
      <c r="G57" s="229" t="str">
        <f>IF('Input Nilai Ketrampilan'!BF48="","",'Input Nilai Ketrampilan'!BF48)</f>
        <v/>
      </c>
      <c r="H57" s="229" t="str">
        <f>IF('Input Nilai Ketrampilan'!BG48="","",'Input Nilai Ketrampilan'!BG48)</f>
        <v/>
      </c>
      <c r="I57" s="230" t="str">
        <f>IF('Input Nilai Ketrampilan'!BK48="","",'Input Nilai Ketrampilan'!BK48)</f>
        <v/>
      </c>
      <c r="J57" s="236" t="str">
        <f>IF('Input Nilai Sikap'!H50="","",'Input Nilai Sikap'!H50)</f>
        <v/>
      </c>
      <c r="K57" s="233" t="str">
        <f>IF('Input Nilai Sikap'!I50="","",'Input Nilai Sikap'!I50)</f>
        <v/>
      </c>
      <c r="L57" s="234" t="str">
        <f>IF('Input Nilai Sikap'!M50="","",'Input Nilai Sikap'!M50)</f>
        <v/>
      </c>
      <c r="M57" s="234" t="str">
        <f>IF('Input Nilai Sikap'!Q50="","",'Input Nilai Sikap'!Q50)</f>
        <v/>
      </c>
      <c r="N57" s="234" t="str">
        <f>IF('Input Nilai Sikap'!U50="","",'Input Nilai Sikap'!U50)</f>
        <v/>
      </c>
      <c r="O57" s="234" t="str">
        <f>IF('Input Nilai Sikap'!Y50="","",'Input Nilai Sikap'!Y50)</f>
        <v/>
      </c>
      <c r="P57" s="235" t="str">
        <f>IF('Input Nilai Sikap'!AC50="","",'Input Nilai Sikap'!AC50)</f>
        <v/>
      </c>
      <c r="Q57" s="235" t="str">
        <f>IF('Input Nilai Sikap'!AG50="","",'Input Nilai Sikap'!AG50)</f>
        <v/>
      </c>
      <c r="R57" s="235" t="str">
        <f>IF('Input Nilai Sikap'!AK50="","",'Input Nilai Sikap'!AK50)</f>
        <v/>
      </c>
      <c r="S57" s="233" t="str">
        <f>IF('Input Nilai Sikap'!AL50="","",'Input Nilai Sikap'!AL50)</f>
        <v/>
      </c>
    </row>
    <row r="58" spans="1:19" s="141" customFormat="1" ht="23.25" customHeight="1">
      <c r="A58" s="205">
        <f>'DATA SISWA'!A49</f>
        <v>45</v>
      </c>
      <c r="B58" s="205">
        <f>'DATA SISWA'!B49</f>
        <v>0</v>
      </c>
      <c r="C58" s="204">
        <f>'DATA SISWA'!C49</f>
        <v>0</v>
      </c>
      <c r="D58" s="229" t="str">
        <f>IF('Input Nilai Pengetahuan'!CQ49="","",'Input Nilai Pengetahuan'!CQ49)</f>
        <v/>
      </c>
      <c r="E58" s="229" t="str">
        <f>IF('Input Nilai Pengetahuan'!CR49="","",'Input Nilai Pengetahuan'!CR49)</f>
        <v/>
      </c>
      <c r="F58" s="230" t="str">
        <f>IF('Input Nilai Pengetahuan'!CV49="","",'Input Nilai Pengetahuan'!CV49)</f>
        <v/>
      </c>
      <c r="G58" s="229" t="str">
        <f>IF('Input Nilai Ketrampilan'!BF49="","",'Input Nilai Ketrampilan'!BF49)</f>
        <v/>
      </c>
      <c r="H58" s="229" t="str">
        <f>IF('Input Nilai Ketrampilan'!BG49="","",'Input Nilai Ketrampilan'!BG49)</f>
        <v/>
      </c>
      <c r="I58" s="230" t="str">
        <f>IF('Input Nilai Ketrampilan'!BK49="","",'Input Nilai Ketrampilan'!BK49)</f>
        <v/>
      </c>
      <c r="J58" s="236" t="str">
        <f>IF('Input Nilai Sikap'!H51="","",'Input Nilai Sikap'!H51)</f>
        <v/>
      </c>
      <c r="K58" s="233" t="str">
        <f>IF('Input Nilai Sikap'!I51="","",'Input Nilai Sikap'!I51)</f>
        <v/>
      </c>
      <c r="L58" s="234" t="str">
        <f>IF('Input Nilai Sikap'!M51="","",'Input Nilai Sikap'!M51)</f>
        <v/>
      </c>
      <c r="M58" s="234" t="str">
        <f>IF('Input Nilai Sikap'!Q51="","",'Input Nilai Sikap'!Q51)</f>
        <v/>
      </c>
      <c r="N58" s="234" t="str">
        <f>IF('Input Nilai Sikap'!U51="","",'Input Nilai Sikap'!U51)</f>
        <v/>
      </c>
      <c r="O58" s="234" t="str">
        <f>IF('Input Nilai Sikap'!Y51="","",'Input Nilai Sikap'!Y51)</f>
        <v/>
      </c>
      <c r="P58" s="235" t="str">
        <f>IF('Input Nilai Sikap'!AC51="","",'Input Nilai Sikap'!AC51)</f>
        <v/>
      </c>
      <c r="Q58" s="235" t="str">
        <f>IF('Input Nilai Sikap'!AG51="","",'Input Nilai Sikap'!AG51)</f>
        <v/>
      </c>
      <c r="R58" s="235" t="str">
        <f>IF('Input Nilai Sikap'!AK51="","",'Input Nilai Sikap'!AK51)</f>
        <v/>
      </c>
      <c r="S58" s="233" t="str">
        <f>IF('Input Nilai Sikap'!AL51="","",'Input Nilai Sikap'!AL51)</f>
        <v/>
      </c>
    </row>
    <row r="59" spans="1:19" s="141" customFormat="1" ht="23.25" customHeight="1">
      <c r="A59" s="205">
        <f>'DATA SISWA'!A50</f>
        <v>46</v>
      </c>
      <c r="B59" s="205">
        <f>'DATA SISWA'!B50</f>
        <v>0</v>
      </c>
      <c r="C59" s="204">
        <f>'DATA SISWA'!C50</f>
        <v>0</v>
      </c>
      <c r="D59" s="229" t="str">
        <f>IF('Input Nilai Pengetahuan'!CQ50="","",'Input Nilai Pengetahuan'!CQ50)</f>
        <v/>
      </c>
      <c r="E59" s="229" t="str">
        <f>IF('Input Nilai Pengetahuan'!CR50="","",'Input Nilai Pengetahuan'!CR50)</f>
        <v/>
      </c>
      <c r="F59" s="230" t="str">
        <f>IF('Input Nilai Pengetahuan'!CV50="","",'Input Nilai Pengetahuan'!CV50)</f>
        <v/>
      </c>
      <c r="G59" s="229" t="str">
        <f>IF('Input Nilai Ketrampilan'!BF50="","",'Input Nilai Ketrampilan'!BF50)</f>
        <v/>
      </c>
      <c r="H59" s="229" t="str">
        <f>IF('Input Nilai Ketrampilan'!BG50="","",'Input Nilai Ketrampilan'!BG50)</f>
        <v/>
      </c>
      <c r="I59" s="230" t="str">
        <f>IF('Input Nilai Ketrampilan'!BK50="","",'Input Nilai Ketrampilan'!BK50)</f>
        <v/>
      </c>
      <c r="J59" s="236" t="str">
        <f>IF('Input Nilai Sikap'!H52="","",'Input Nilai Sikap'!H52)</f>
        <v/>
      </c>
      <c r="K59" s="233" t="str">
        <f>IF('Input Nilai Sikap'!I52="","",'Input Nilai Sikap'!I52)</f>
        <v/>
      </c>
      <c r="L59" s="234" t="str">
        <f>IF('Input Nilai Sikap'!M52="","",'Input Nilai Sikap'!M52)</f>
        <v/>
      </c>
      <c r="M59" s="234" t="str">
        <f>IF('Input Nilai Sikap'!Q52="","",'Input Nilai Sikap'!Q52)</f>
        <v/>
      </c>
      <c r="N59" s="234" t="str">
        <f>IF('Input Nilai Sikap'!U52="","",'Input Nilai Sikap'!U52)</f>
        <v/>
      </c>
      <c r="O59" s="234" t="str">
        <f>IF('Input Nilai Sikap'!Y52="","",'Input Nilai Sikap'!Y52)</f>
        <v/>
      </c>
      <c r="P59" s="235" t="str">
        <f>IF('Input Nilai Sikap'!AC52="","",'Input Nilai Sikap'!AC52)</f>
        <v/>
      </c>
      <c r="Q59" s="235" t="str">
        <f>IF('Input Nilai Sikap'!AG52="","",'Input Nilai Sikap'!AG52)</f>
        <v/>
      </c>
      <c r="R59" s="235" t="str">
        <f>IF('Input Nilai Sikap'!AK52="","",'Input Nilai Sikap'!AK52)</f>
        <v/>
      </c>
      <c r="S59" s="233" t="str">
        <f>IF('Input Nilai Sikap'!AL52="","",'Input Nilai Sikap'!AL52)</f>
        <v/>
      </c>
    </row>
    <row r="60" spans="1:19" s="141" customFormat="1" ht="23.25" customHeight="1">
      <c r="A60" s="205">
        <f>'DATA SISWA'!A51</f>
        <v>47</v>
      </c>
      <c r="B60" s="205">
        <f>'DATA SISWA'!B51</f>
        <v>0</v>
      </c>
      <c r="C60" s="204">
        <f>'DATA SISWA'!C51</f>
        <v>0</v>
      </c>
      <c r="D60" s="229" t="str">
        <f>IF('Input Nilai Pengetahuan'!CQ51="","",'Input Nilai Pengetahuan'!CQ51)</f>
        <v/>
      </c>
      <c r="E60" s="229" t="str">
        <f>IF('Input Nilai Pengetahuan'!CR51="","",'Input Nilai Pengetahuan'!CR51)</f>
        <v/>
      </c>
      <c r="F60" s="230" t="str">
        <f>IF('Input Nilai Pengetahuan'!CV51="","",'Input Nilai Pengetahuan'!CV51)</f>
        <v/>
      </c>
      <c r="G60" s="229" t="str">
        <f>IF('Input Nilai Ketrampilan'!BF51="","",'Input Nilai Ketrampilan'!BF51)</f>
        <v/>
      </c>
      <c r="H60" s="229" t="str">
        <f>IF('Input Nilai Ketrampilan'!BG51="","",'Input Nilai Ketrampilan'!BG51)</f>
        <v/>
      </c>
      <c r="I60" s="230" t="str">
        <f>IF('Input Nilai Ketrampilan'!BK51="","",'Input Nilai Ketrampilan'!BK51)</f>
        <v/>
      </c>
      <c r="J60" s="236" t="str">
        <f>IF('Input Nilai Sikap'!H53="","",'Input Nilai Sikap'!H53)</f>
        <v/>
      </c>
      <c r="K60" s="233" t="str">
        <f>IF('Input Nilai Sikap'!I53="","",'Input Nilai Sikap'!I53)</f>
        <v/>
      </c>
      <c r="L60" s="234" t="str">
        <f>IF('Input Nilai Sikap'!M53="","",'Input Nilai Sikap'!M53)</f>
        <v/>
      </c>
      <c r="M60" s="234" t="str">
        <f>IF('Input Nilai Sikap'!Q53="","",'Input Nilai Sikap'!Q53)</f>
        <v/>
      </c>
      <c r="N60" s="234" t="str">
        <f>IF('Input Nilai Sikap'!U53="","",'Input Nilai Sikap'!U53)</f>
        <v/>
      </c>
      <c r="O60" s="234" t="str">
        <f>IF('Input Nilai Sikap'!Y53="","",'Input Nilai Sikap'!Y53)</f>
        <v/>
      </c>
      <c r="P60" s="235" t="str">
        <f>IF('Input Nilai Sikap'!AC53="","",'Input Nilai Sikap'!AC53)</f>
        <v/>
      </c>
      <c r="Q60" s="235" t="str">
        <f>IF('Input Nilai Sikap'!AG53="","",'Input Nilai Sikap'!AG53)</f>
        <v/>
      </c>
      <c r="R60" s="235" t="str">
        <f>IF('Input Nilai Sikap'!AK53="","",'Input Nilai Sikap'!AK53)</f>
        <v/>
      </c>
      <c r="S60" s="233" t="str">
        <f>IF('Input Nilai Sikap'!AL53="","",'Input Nilai Sikap'!AL53)</f>
        <v/>
      </c>
    </row>
    <row r="61" spans="1:19" s="141" customFormat="1" ht="23.25" customHeight="1">
      <c r="A61" s="205">
        <f>'DATA SISWA'!A52</f>
        <v>48</v>
      </c>
      <c r="B61" s="205">
        <f>'DATA SISWA'!B52</f>
        <v>0</v>
      </c>
      <c r="C61" s="204">
        <f>'DATA SISWA'!C52</f>
        <v>0</v>
      </c>
      <c r="D61" s="229" t="str">
        <f>IF('Input Nilai Pengetahuan'!CQ52="","",'Input Nilai Pengetahuan'!CQ52)</f>
        <v/>
      </c>
      <c r="E61" s="229" t="str">
        <f>IF('Input Nilai Pengetahuan'!CR52="","",'Input Nilai Pengetahuan'!CR52)</f>
        <v/>
      </c>
      <c r="F61" s="230" t="str">
        <f>IF('Input Nilai Pengetahuan'!CV52="","",'Input Nilai Pengetahuan'!CV52)</f>
        <v/>
      </c>
      <c r="G61" s="229" t="str">
        <f>IF('Input Nilai Ketrampilan'!BF52="","",'Input Nilai Ketrampilan'!BF52)</f>
        <v/>
      </c>
      <c r="H61" s="229" t="str">
        <f>IF('Input Nilai Ketrampilan'!BG52="","",'Input Nilai Ketrampilan'!BG52)</f>
        <v/>
      </c>
      <c r="I61" s="230" t="str">
        <f>IF('Input Nilai Ketrampilan'!BK52="","",'Input Nilai Ketrampilan'!BK52)</f>
        <v/>
      </c>
      <c r="J61" s="236" t="str">
        <f>IF('Input Nilai Sikap'!H54="","",'Input Nilai Sikap'!H54)</f>
        <v/>
      </c>
      <c r="K61" s="233" t="str">
        <f>IF('Input Nilai Sikap'!I54="","",'Input Nilai Sikap'!I54)</f>
        <v/>
      </c>
      <c r="L61" s="234" t="str">
        <f>IF('Input Nilai Sikap'!M54="","",'Input Nilai Sikap'!M54)</f>
        <v/>
      </c>
      <c r="M61" s="234" t="str">
        <f>IF('Input Nilai Sikap'!Q54="","",'Input Nilai Sikap'!Q54)</f>
        <v/>
      </c>
      <c r="N61" s="234" t="str">
        <f>IF('Input Nilai Sikap'!U54="","",'Input Nilai Sikap'!U54)</f>
        <v/>
      </c>
      <c r="O61" s="234" t="str">
        <f>IF('Input Nilai Sikap'!Y54="","",'Input Nilai Sikap'!Y54)</f>
        <v/>
      </c>
      <c r="P61" s="235" t="str">
        <f>IF('Input Nilai Sikap'!AC54="","",'Input Nilai Sikap'!AC54)</f>
        <v/>
      </c>
      <c r="Q61" s="235" t="str">
        <f>IF('Input Nilai Sikap'!AG54="","",'Input Nilai Sikap'!AG54)</f>
        <v/>
      </c>
      <c r="R61" s="235" t="str">
        <f>IF('Input Nilai Sikap'!AK54="","",'Input Nilai Sikap'!AK54)</f>
        <v/>
      </c>
      <c r="S61" s="233" t="str">
        <f>IF('Input Nilai Sikap'!AL54="","",'Input Nilai Sikap'!AL54)</f>
        <v/>
      </c>
    </row>
    <row r="62" spans="1:19">
      <c r="A62" s="152"/>
      <c r="B62" s="152"/>
      <c r="C62" s="152" t="s">
        <v>276</v>
      </c>
      <c r="D62" s="123" t="str">
        <f>IF('Input Nilai Pengetahuan'!CP50="","",'Input Nilai Pengetahuan'!CP50)</f>
        <v/>
      </c>
      <c r="E62" s="255"/>
      <c r="F62" s="255"/>
      <c r="G62" s="124">
        <f>IFERROR(AVERAGE(G14:G53),"")</f>
        <v>79.117647058823536</v>
      </c>
      <c r="H62" s="255"/>
      <c r="I62" s="255"/>
      <c r="J62" s="255"/>
      <c r="K62" s="255"/>
      <c r="L62" s="255"/>
      <c r="M62" s="255"/>
      <c r="N62" s="255"/>
      <c r="O62" s="255"/>
      <c r="P62" s="124">
        <f>IFERROR(AVERAGE(P14:P53),"")</f>
        <v>3</v>
      </c>
      <c r="Q62" s="255"/>
      <c r="R62" s="255"/>
      <c r="S62" s="256"/>
    </row>
    <row r="63" spans="1:19">
      <c r="A63" s="85"/>
      <c r="B63" s="85"/>
    </row>
    <row r="64" spans="1:19"/>
    <row r="65" ht="15" customHeight="1"/>
    <row r="66" ht="15" customHeight="1"/>
    <row r="67" ht="15" customHeight="1"/>
    <row r="68" ht="15" customHeight="1"/>
    <row r="69" ht="15" customHeight="1"/>
  </sheetData>
  <sheetProtection password="D05F" sheet="1" objects="1" scenarios="1" formatCells="0" formatColumns="0" formatRows="0" insertColumns="0" insertRows="0" insertHyperlinks="0" deleteColumns="0" deleteRows="0"/>
  <mergeCells count="13">
    <mergeCell ref="D1:S1"/>
    <mergeCell ref="D2:S2"/>
    <mergeCell ref="D3:S3"/>
    <mergeCell ref="D4:S6"/>
    <mergeCell ref="D9:E9"/>
    <mergeCell ref="P9:Q9"/>
    <mergeCell ref="P10:Q10"/>
    <mergeCell ref="A12:A13"/>
    <mergeCell ref="C12:C13"/>
    <mergeCell ref="D12:F12"/>
    <mergeCell ref="G12:I12"/>
    <mergeCell ref="B12:B13"/>
    <mergeCell ref="J12:K12"/>
  </mergeCells>
  <pageMargins left="0.70866141732283472" right="0.70866141732283472" top="0.47244094488188981" bottom="0.74803149606299213" header="0.31496062992125984" footer="0.31496062992125984"/>
  <pageSetup paperSize="513" scale="85" orientation="landscape" horizontalDpi="4294967293" verticalDpi="0" r:id="rId1"/>
  <drawing r:id="rId2"/>
</worksheet>
</file>

<file path=xl/worksheets/sheet8.xml><?xml version="1.0" encoding="utf-8"?>
<worksheet xmlns="http://schemas.openxmlformats.org/spreadsheetml/2006/main" xmlns:r="http://schemas.openxmlformats.org/officeDocument/2006/relationships">
  <sheetPr codeName="Sheet16"/>
  <dimension ref="A1:U55"/>
  <sheetViews>
    <sheetView zoomScale="120" zoomScaleNormal="120" workbookViewId="0">
      <pane xSplit="5" ySplit="7" topLeftCell="F9" activePane="bottomRight" state="frozen"/>
      <selection pane="topRight" activeCell="F1" sqref="F1"/>
      <selection pane="bottomLeft" activeCell="A6" sqref="A6"/>
      <selection pane="bottomRight"/>
    </sheetView>
  </sheetViews>
  <sheetFormatPr defaultRowHeight="15"/>
  <cols>
    <col min="1" max="1" width="4.85546875" style="95" customWidth="1"/>
    <col min="2" max="2" width="7.140625" style="95" customWidth="1"/>
    <col min="3" max="3" width="32.5703125" style="95" customWidth="1"/>
    <col min="4" max="5" width="5.28515625" style="95" customWidth="1"/>
    <col min="6" max="21" width="4.42578125" style="95" customWidth="1"/>
    <col min="22" max="16384" width="9.140625" style="95"/>
  </cols>
  <sheetData>
    <row r="1" spans="1:21" ht="28.5">
      <c r="A1" s="194" t="str">
        <f>"DAFTAR NILAI"&amp;" "&amp;menu!D14</f>
        <v>DAFTAR NILAI VII-J</v>
      </c>
    </row>
    <row r="2" spans="1:21" ht="21" customHeight="1">
      <c r="A2" s="228" t="str">
        <f>menu!D13</f>
        <v>BHS INDONESIA</v>
      </c>
    </row>
    <row r="4" spans="1:21" ht="21" customHeight="1">
      <c r="A4" s="494" t="s">
        <v>15</v>
      </c>
      <c r="B4" s="494" t="s">
        <v>16</v>
      </c>
      <c r="C4" s="497" t="s">
        <v>0</v>
      </c>
      <c r="D4" s="498" t="s">
        <v>1</v>
      </c>
      <c r="E4" s="499" t="s">
        <v>17</v>
      </c>
      <c r="F4" s="542"/>
      <c r="G4" s="542"/>
      <c r="H4" s="542"/>
      <c r="I4" s="542"/>
      <c r="J4" s="542"/>
      <c r="K4" s="542"/>
      <c r="L4" s="542"/>
      <c r="M4" s="498" t="s">
        <v>450</v>
      </c>
      <c r="N4" s="543"/>
      <c r="O4" s="543"/>
      <c r="P4" s="543"/>
      <c r="Q4" s="543"/>
      <c r="R4" s="543"/>
      <c r="S4" s="543"/>
      <c r="T4" s="543"/>
      <c r="U4" s="498" t="s">
        <v>451</v>
      </c>
    </row>
    <row r="5" spans="1:21" ht="18.75" customHeight="1">
      <c r="A5" s="495"/>
      <c r="B5" s="495"/>
      <c r="C5" s="497"/>
      <c r="D5" s="498"/>
      <c r="E5" s="500"/>
      <c r="F5" s="543"/>
      <c r="G5" s="543"/>
      <c r="H5" s="543"/>
      <c r="I5" s="543"/>
      <c r="J5" s="543"/>
      <c r="K5" s="543"/>
      <c r="L5" s="543"/>
      <c r="M5" s="498"/>
      <c r="N5" s="543"/>
      <c r="O5" s="543"/>
      <c r="P5" s="543"/>
      <c r="Q5" s="543"/>
      <c r="R5" s="543"/>
      <c r="S5" s="543"/>
      <c r="T5" s="543"/>
      <c r="U5" s="498"/>
    </row>
    <row r="6" spans="1:21" s="98" customFormat="1" ht="81" customHeight="1">
      <c r="A6" s="496"/>
      <c r="B6" s="496"/>
      <c r="C6" s="497"/>
      <c r="D6" s="498"/>
      <c r="E6" s="501"/>
      <c r="F6" s="96" t="s">
        <v>5</v>
      </c>
      <c r="G6" s="96" t="s">
        <v>3</v>
      </c>
      <c r="H6" s="97" t="s">
        <v>4</v>
      </c>
      <c r="I6" s="96" t="s">
        <v>32</v>
      </c>
      <c r="J6" s="96" t="s">
        <v>460</v>
      </c>
      <c r="K6" s="96" t="s">
        <v>50</v>
      </c>
      <c r="L6" s="96" t="s">
        <v>51</v>
      </c>
      <c r="M6" s="498"/>
      <c r="N6" s="96" t="s">
        <v>5</v>
      </c>
      <c r="O6" s="96" t="s">
        <v>3</v>
      </c>
      <c r="P6" s="97" t="s">
        <v>4</v>
      </c>
      <c r="Q6" s="96" t="s">
        <v>32</v>
      </c>
      <c r="R6" s="96" t="s">
        <v>460</v>
      </c>
      <c r="S6" s="96" t="s">
        <v>50</v>
      </c>
      <c r="T6" s="96" t="s">
        <v>51</v>
      </c>
      <c r="U6" s="498"/>
    </row>
    <row r="7" spans="1:21" ht="18.75" customHeight="1">
      <c r="A7" s="305">
        <v>1</v>
      </c>
      <c r="B7" s="305">
        <v>2</v>
      </c>
      <c r="C7" s="305">
        <v>3</v>
      </c>
      <c r="D7" s="305">
        <v>4</v>
      </c>
      <c r="E7" s="305">
        <v>5</v>
      </c>
      <c r="F7" s="305">
        <v>6</v>
      </c>
      <c r="G7" s="305">
        <v>7</v>
      </c>
      <c r="H7" s="305">
        <v>8</v>
      </c>
      <c r="I7" s="305">
        <v>10</v>
      </c>
      <c r="J7" s="305">
        <v>11</v>
      </c>
      <c r="K7" s="305">
        <v>12</v>
      </c>
      <c r="L7" s="305">
        <v>13</v>
      </c>
      <c r="M7" s="305">
        <v>14</v>
      </c>
      <c r="N7" s="305">
        <v>15</v>
      </c>
      <c r="O7" s="305">
        <v>16</v>
      </c>
      <c r="P7" s="305">
        <v>17</v>
      </c>
      <c r="Q7" s="305">
        <v>19</v>
      </c>
      <c r="R7" s="305">
        <v>20</v>
      </c>
      <c r="S7" s="305">
        <v>21</v>
      </c>
      <c r="T7" s="305">
        <v>22</v>
      </c>
      <c r="U7" s="305">
        <v>23</v>
      </c>
    </row>
    <row r="8" spans="1:21">
      <c r="A8" s="105">
        <f>'DATA SISWA'!A5</f>
        <v>1</v>
      </c>
      <c r="B8" s="105" t="str">
        <f>'DATA SISWA'!B5</f>
        <v>7643</v>
      </c>
      <c r="C8" s="105" t="str">
        <f>'DATA SISWA'!C5</f>
        <v>ABD MANNAN</v>
      </c>
      <c r="D8" s="105" t="str">
        <f>'DATA SISWA'!D5</f>
        <v>L</v>
      </c>
      <c r="E8" s="105" t="str">
        <f>'DATA SISWA'!E5</f>
        <v>VII-J</v>
      </c>
      <c r="F8" s="101"/>
      <c r="G8" s="101"/>
      <c r="H8" s="101"/>
      <c r="I8" s="322"/>
      <c r="J8" s="323"/>
      <c r="K8" s="101"/>
      <c r="L8" s="101"/>
      <c r="M8" s="105"/>
      <c r="N8" s="101"/>
      <c r="O8" s="101"/>
      <c r="P8" s="101"/>
      <c r="Q8" s="322"/>
      <c r="R8" s="323"/>
      <c r="S8" s="101"/>
      <c r="T8" s="101"/>
      <c r="U8" s="105"/>
    </row>
    <row r="9" spans="1:21">
      <c r="A9" s="105">
        <f>'DATA SISWA'!A6</f>
        <v>2</v>
      </c>
      <c r="B9" s="105">
        <f>'DATA SISWA'!B6</f>
        <v>0</v>
      </c>
      <c r="C9" s="105">
        <f>'DATA SISWA'!C6</f>
        <v>0</v>
      </c>
      <c r="D9" s="105">
        <f>'DATA SISWA'!D6</f>
        <v>0</v>
      </c>
      <c r="E9" s="105" t="str">
        <f>'DATA SISWA'!E6</f>
        <v>VII-J</v>
      </c>
      <c r="F9" s="101"/>
      <c r="G9" s="101"/>
      <c r="H9" s="101"/>
      <c r="I9" s="322"/>
      <c r="J9" s="323"/>
      <c r="K9" s="101"/>
      <c r="L9" s="101"/>
      <c r="M9" s="105"/>
      <c r="N9" s="101"/>
      <c r="O9" s="101"/>
      <c r="P9" s="101"/>
      <c r="Q9" s="322"/>
      <c r="R9" s="323"/>
      <c r="S9" s="101"/>
      <c r="T9" s="101"/>
      <c r="U9" s="105"/>
    </row>
    <row r="10" spans="1:21">
      <c r="A10" s="105">
        <f>'DATA SISWA'!A7</f>
        <v>3</v>
      </c>
      <c r="B10" s="105" t="str">
        <f>'DATA SISWA'!B7</f>
        <v>7645</v>
      </c>
      <c r="C10" s="105" t="str">
        <f>'DATA SISWA'!C7</f>
        <v>ACHMAD ALFARESI</v>
      </c>
      <c r="D10" s="105" t="str">
        <f>'DATA SISWA'!D7</f>
        <v>L</v>
      </c>
      <c r="E10" s="105" t="str">
        <f>'DATA SISWA'!E7</f>
        <v>VII-J</v>
      </c>
      <c r="F10" s="101"/>
      <c r="G10" s="101"/>
      <c r="H10" s="101"/>
      <c r="I10" s="322"/>
      <c r="J10" s="323"/>
      <c r="K10" s="101"/>
      <c r="L10" s="101"/>
      <c r="M10" s="105"/>
      <c r="N10" s="101"/>
      <c r="O10" s="101"/>
      <c r="P10" s="101"/>
      <c r="Q10" s="322"/>
      <c r="R10" s="323"/>
      <c r="S10" s="101"/>
      <c r="T10" s="101"/>
      <c r="U10" s="105"/>
    </row>
    <row r="11" spans="1:21">
      <c r="A11" s="105">
        <f>'DATA SISWA'!A8</f>
        <v>4</v>
      </c>
      <c r="B11" s="105" t="str">
        <f>'DATA SISWA'!B8</f>
        <v>7674</v>
      </c>
      <c r="C11" s="105" t="str">
        <f>'DATA SISWA'!C8</f>
        <v>AGITA ZAHRAH MUFIDAH</v>
      </c>
      <c r="D11" s="105" t="str">
        <f>'DATA SISWA'!D8</f>
        <v>P</v>
      </c>
      <c r="E11" s="105" t="str">
        <f>'DATA SISWA'!E8</f>
        <v>VII-J</v>
      </c>
      <c r="F11" s="101"/>
      <c r="G11" s="101"/>
      <c r="H11" s="101"/>
      <c r="I11" s="322"/>
      <c r="J11" s="323"/>
      <c r="K11" s="101"/>
      <c r="L11" s="101"/>
      <c r="M11" s="105"/>
      <c r="N11" s="101"/>
      <c r="O11" s="101"/>
      <c r="P11" s="101"/>
      <c r="Q11" s="322"/>
      <c r="R11" s="323"/>
      <c r="S11" s="101"/>
      <c r="T11" s="101"/>
      <c r="U11" s="105"/>
    </row>
    <row r="12" spans="1:21">
      <c r="A12" s="105">
        <f>'DATA SISWA'!A9</f>
        <v>5</v>
      </c>
      <c r="B12" s="105" t="str">
        <f>'DATA SISWA'!B9</f>
        <v>7646</v>
      </c>
      <c r="C12" s="105" t="str">
        <f>'DATA SISWA'!C9</f>
        <v>AHMAD HAMBALI</v>
      </c>
      <c r="D12" s="105" t="str">
        <f>'DATA SISWA'!D9</f>
        <v>L</v>
      </c>
      <c r="E12" s="105" t="str">
        <f>'DATA SISWA'!E9</f>
        <v>VII-J</v>
      </c>
      <c r="F12" s="101"/>
      <c r="G12" s="101"/>
      <c r="H12" s="101"/>
      <c r="I12" s="322"/>
      <c r="J12" s="323"/>
      <c r="K12" s="101"/>
      <c r="L12" s="101"/>
      <c r="M12" s="105"/>
      <c r="N12" s="101"/>
      <c r="O12" s="101"/>
      <c r="P12" s="101"/>
      <c r="Q12" s="322"/>
      <c r="R12" s="323"/>
      <c r="S12" s="101"/>
      <c r="T12" s="101"/>
      <c r="U12" s="105"/>
    </row>
    <row r="13" spans="1:21">
      <c r="A13" s="105">
        <f>'DATA SISWA'!A10</f>
        <v>6</v>
      </c>
      <c r="B13" s="105" t="str">
        <f>'DATA SISWA'!B10</f>
        <v>7647</v>
      </c>
      <c r="C13" s="105" t="str">
        <f>'DATA SISWA'!C10</f>
        <v>AHMADI</v>
      </c>
      <c r="D13" s="105" t="str">
        <f>'DATA SISWA'!D10</f>
        <v>L</v>
      </c>
      <c r="E13" s="105" t="str">
        <f>'DATA SISWA'!E10</f>
        <v>VII-J</v>
      </c>
      <c r="F13" s="101"/>
      <c r="G13" s="101"/>
      <c r="H13" s="101"/>
      <c r="I13" s="322"/>
      <c r="J13" s="323"/>
      <c r="K13" s="101"/>
      <c r="L13" s="101"/>
      <c r="M13" s="105"/>
      <c r="N13" s="101"/>
      <c r="O13" s="101"/>
      <c r="P13" s="101"/>
      <c r="Q13" s="322"/>
      <c r="R13" s="323"/>
      <c r="S13" s="101"/>
      <c r="T13" s="101"/>
      <c r="U13" s="105"/>
    </row>
    <row r="14" spans="1:21">
      <c r="A14" s="105">
        <f>'DATA SISWA'!A11</f>
        <v>7</v>
      </c>
      <c r="B14" s="105" t="str">
        <f>'DATA SISWA'!B11</f>
        <v>7648</v>
      </c>
      <c r="C14" s="105" t="str">
        <f>'DATA SISWA'!C11</f>
        <v xml:space="preserve">AINUR ROFIK </v>
      </c>
      <c r="D14" s="105" t="str">
        <f>'DATA SISWA'!D11</f>
        <v>L</v>
      </c>
      <c r="E14" s="105" t="str">
        <f>'DATA SISWA'!E11</f>
        <v>VII-J</v>
      </c>
      <c r="F14" s="101"/>
      <c r="G14" s="101"/>
      <c r="H14" s="101"/>
      <c r="I14" s="322"/>
      <c r="J14" s="323"/>
      <c r="K14" s="101"/>
      <c r="L14" s="101"/>
      <c r="M14" s="105"/>
      <c r="N14" s="101"/>
      <c r="O14" s="101"/>
      <c r="P14" s="101"/>
      <c r="Q14" s="322"/>
      <c r="R14" s="323"/>
      <c r="S14" s="101"/>
      <c r="T14" s="101"/>
      <c r="U14" s="105"/>
    </row>
    <row r="15" spans="1:21">
      <c r="A15" s="105">
        <f>'DATA SISWA'!A12</f>
        <v>8</v>
      </c>
      <c r="B15" s="105" t="str">
        <f>'DATA SISWA'!B12</f>
        <v>7377</v>
      </c>
      <c r="C15" s="105" t="str">
        <f>'DATA SISWA'!C12</f>
        <v>AT-THORIQ BINTANG PRAJA</v>
      </c>
      <c r="D15" s="105" t="str">
        <f>'DATA SISWA'!D12</f>
        <v>L</v>
      </c>
      <c r="E15" s="105" t="str">
        <f>'DATA SISWA'!E12</f>
        <v>VII-J</v>
      </c>
      <c r="F15" s="101"/>
      <c r="G15" s="101"/>
      <c r="H15" s="101"/>
      <c r="I15" s="322"/>
      <c r="J15" s="323"/>
      <c r="K15" s="101"/>
      <c r="L15" s="101"/>
      <c r="M15" s="105"/>
      <c r="N15" s="101"/>
      <c r="O15" s="101"/>
      <c r="P15" s="101"/>
      <c r="Q15" s="322"/>
      <c r="R15" s="323"/>
      <c r="S15" s="101"/>
      <c r="T15" s="101"/>
      <c r="U15" s="105"/>
    </row>
    <row r="16" spans="1:21">
      <c r="A16" s="105">
        <f>'DATA SISWA'!A13</f>
        <v>9</v>
      </c>
      <c r="B16" s="105" t="str">
        <f>'DATA SISWA'!B13</f>
        <v>7649</v>
      </c>
      <c r="C16" s="105" t="str">
        <f>'DATA SISWA'!C13</f>
        <v>DEWI WULANDARI</v>
      </c>
      <c r="D16" s="105" t="str">
        <f>'DATA SISWA'!D13</f>
        <v>P</v>
      </c>
      <c r="E16" s="105" t="str">
        <f>'DATA SISWA'!E13</f>
        <v>VII-J</v>
      </c>
      <c r="F16" s="101"/>
      <c r="G16" s="101"/>
      <c r="H16" s="101"/>
      <c r="I16" s="322"/>
      <c r="J16" s="323"/>
      <c r="K16" s="101"/>
      <c r="L16" s="101"/>
      <c r="M16" s="105"/>
      <c r="N16" s="101"/>
      <c r="O16" s="101"/>
      <c r="P16" s="101"/>
      <c r="Q16" s="322"/>
      <c r="R16" s="323"/>
      <c r="S16" s="101"/>
      <c r="T16" s="101"/>
      <c r="U16" s="105"/>
    </row>
    <row r="17" spans="1:21">
      <c r="A17" s="105">
        <f>'DATA SISWA'!A14</f>
        <v>10</v>
      </c>
      <c r="B17" s="105" t="str">
        <f>'DATA SISWA'!B14</f>
        <v>7650</v>
      </c>
      <c r="C17" s="105" t="str">
        <f>'DATA SISWA'!C14</f>
        <v>ENI UMAMAH</v>
      </c>
      <c r="D17" s="105" t="str">
        <f>'DATA SISWA'!D14</f>
        <v>P</v>
      </c>
      <c r="E17" s="105" t="str">
        <f>'DATA SISWA'!E14</f>
        <v>VII-J</v>
      </c>
      <c r="F17" s="101"/>
      <c r="G17" s="101"/>
      <c r="H17" s="101"/>
      <c r="I17" s="322"/>
      <c r="J17" s="323"/>
      <c r="K17" s="101"/>
      <c r="L17" s="101"/>
      <c r="M17" s="105"/>
      <c r="N17" s="101"/>
      <c r="O17" s="101"/>
      <c r="P17" s="101"/>
      <c r="Q17" s="322"/>
      <c r="R17" s="323"/>
      <c r="S17" s="101"/>
      <c r="T17" s="101"/>
      <c r="U17" s="105"/>
    </row>
    <row r="18" spans="1:21">
      <c r="A18" s="105">
        <f>'DATA SISWA'!A15</f>
        <v>11</v>
      </c>
      <c r="B18" s="105" t="str">
        <f>'DATA SISWA'!B15</f>
        <v>7651</v>
      </c>
      <c r="C18" s="105" t="str">
        <f>'DATA SISWA'!C15</f>
        <v>FADIA FASSA</v>
      </c>
      <c r="D18" s="105" t="str">
        <f>'DATA SISWA'!D15</f>
        <v>P</v>
      </c>
      <c r="E18" s="105" t="str">
        <f>'DATA SISWA'!E15</f>
        <v>VII-J</v>
      </c>
      <c r="F18" s="101"/>
      <c r="G18" s="101"/>
      <c r="H18" s="101"/>
      <c r="I18" s="322"/>
      <c r="J18" s="323"/>
      <c r="K18" s="101"/>
      <c r="L18" s="101"/>
      <c r="M18" s="105"/>
      <c r="N18" s="101"/>
      <c r="O18" s="101"/>
      <c r="P18" s="101"/>
      <c r="Q18" s="322"/>
      <c r="R18" s="323"/>
      <c r="S18" s="101"/>
      <c r="T18" s="101"/>
      <c r="U18" s="105"/>
    </row>
    <row r="19" spans="1:21">
      <c r="A19" s="105">
        <f>'DATA SISWA'!A16</f>
        <v>12</v>
      </c>
      <c r="B19" s="105" t="str">
        <f>'DATA SISWA'!B16</f>
        <v>7652</v>
      </c>
      <c r="C19" s="105" t="str">
        <f>'DATA SISWA'!C16</f>
        <v>FATIMATUZ  ZAHROH</v>
      </c>
      <c r="D19" s="105" t="str">
        <f>'DATA SISWA'!D16</f>
        <v>P</v>
      </c>
      <c r="E19" s="105" t="str">
        <f>'DATA SISWA'!E16</f>
        <v>VII-J</v>
      </c>
      <c r="F19" s="101"/>
      <c r="G19" s="101"/>
      <c r="H19" s="101"/>
      <c r="I19" s="322"/>
      <c r="J19" s="323"/>
      <c r="K19" s="101"/>
      <c r="L19" s="101"/>
      <c r="M19" s="105"/>
      <c r="N19" s="101"/>
      <c r="O19" s="101"/>
      <c r="P19" s="101"/>
      <c r="Q19" s="322"/>
      <c r="R19" s="323"/>
      <c r="S19" s="101"/>
      <c r="T19" s="101"/>
      <c r="U19" s="105"/>
    </row>
    <row r="20" spans="1:21">
      <c r="A20" s="105">
        <f>'DATA SISWA'!A17</f>
        <v>13</v>
      </c>
      <c r="B20" s="105" t="str">
        <f>'DATA SISWA'!B17</f>
        <v>7653</v>
      </c>
      <c r="C20" s="105" t="str">
        <f>'DATA SISWA'!C17</f>
        <v>IMAM FATONI</v>
      </c>
      <c r="D20" s="105" t="str">
        <f>'DATA SISWA'!D17</f>
        <v>L</v>
      </c>
      <c r="E20" s="105" t="str">
        <f>'DATA SISWA'!E17</f>
        <v>VII-J</v>
      </c>
      <c r="F20" s="101"/>
      <c r="G20" s="101"/>
      <c r="H20" s="101"/>
      <c r="I20" s="322"/>
      <c r="J20" s="323"/>
      <c r="K20" s="101"/>
      <c r="L20" s="101"/>
      <c r="M20" s="105"/>
      <c r="N20" s="101"/>
      <c r="O20" s="101"/>
      <c r="P20" s="101"/>
      <c r="Q20" s="322"/>
      <c r="R20" s="323"/>
      <c r="S20" s="101"/>
      <c r="T20" s="101"/>
      <c r="U20" s="105"/>
    </row>
    <row r="21" spans="1:21">
      <c r="A21" s="105">
        <f>'DATA SISWA'!A18</f>
        <v>14</v>
      </c>
      <c r="B21" s="105" t="str">
        <f>'DATA SISWA'!B18</f>
        <v>7654</v>
      </c>
      <c r="C21" s="105" t="str">
        <f>'DATA SISWA'!C18</f>
        <v>ISMA SRI WAHYUNI</v>
      </c>
      <c r="D21" s="105" t="str">
        <f>'DATA SISWA'!D18</f>
        <v>P</v>
      </c>
      <c r="E21" s="105" t="str">
        <f>'DATA SISWA'!E18</f>
        <v>VII-J</v>
      </c>
      <c r="F21" s="101"/>
      <c r="G21" s="101"/>
      <c r="H21" s="101"/>
      <c r="I21" s="322"/>
      <c r="J21" s="323"/>
      <c r="K21" s="101"/>
      <c r="L21" s="101"/>
      <c r="M21" s="105"/>
      <c r="N21" s="101"/>
      <c r="O21" s="101"/>
      <c r="P21" s="101"/>
      <c r="Q21" s="322"/>
      <c r="R21" s="323"/>
      <c r="S21" s="101"/>
      <c r="T21" s="101"/>
      <c r="U21" s="105"/>
    </row>
    <row r="22" spans="1:21">
      <c r="A22" s="105">
        <f>'DATA SISWA'!A19</f>
        <v>15</v>
      </c>
      <c r="B22" s="105" t="str">
        <f>'DATA SISWA'!B19</f>
        <v>7655</v>
      </c>
      <c r="C22" s="105" t="str">
        <f>'DATA SISWA'!C19</f>
        <v>JAKFAR SODIK ROMADHONI</v>
      </c>
      <c r="D22" s="105" t="str">
        <f>'DATA SISWA'!D19</f>
        <v>L</v>
      </c>
      <c r="E22" s="105" t="str">
        <f>'DATA SISWA'!E19</f>
        <v>VII-J</v>
      </c>
      <c r="F22" s="101"/>
      <c r="G22" s="101"/>
      <c r="H22" s="101"/>
      <c r="I22" s="322"/>
      <c r="J22" s="323"/>
      <c r="K22" s="101"/>
      <c r="L22" s="101"/>
      <c r="M22" s="105"/>
      <c r="N22" s="101"/>
      <c r="O22" s="101"/>
      <c r="P22" s="101"/>
      <c r="Q22" s="322"/>
      <c r="R22" s="323"/>
      <c r="S22" s="101"/>
      <c r="T22" s="101"/>
      <c r="U22" s="105"/>
    </row>
    <row r="23" spans="1:21">
      <c r="A23" s="105">
        <f>'DATA SISWA'!A20</f>
        <v>16</v>
      </c>
      <c r="B23" s="105" t="str">
        <f>'DATA SISWA'!B20</f>
        <v>7656</v>
      </c>
      <c r="C23" s="105" t="str">
        <f>'DATA SISWA'!C20</f>
        <v>KHOIRIL NISA'</v>
      </c>
      <c r="D23" s="105" t="str">
        <f>'DATA SISWA'!D20</f>
        <v>P</v>
      </c>
      <c r="E23" s="105" t="str">
        <f>'DATA SISWA'!E20</f>
        <v>VII-J</v>
      </c>
      <c r="F23" s="101"/>
      <c r="G23" s="101"/>
      <c r="H23" s="101"/>
      <c r="I23" s="322"/>
      <c r="J23" s="323"/>
      <c r="K23" s="101"/>
      <c r="L23" s="101"/>
      <c r="M23" s="105"/>
      <c r="N23" s="101"/>
      <c r="O23" s="101"/>
      <c r="P23" s="101"/>
      <c r="Q23" s="322"/>
      <c r="R23" s="323"/>
      <c r="S23" s="101"/>
      <c r="T23" s="101"/>
      <c r="U23" s="105"/>
    </row>
    <row r="24" spans="1:21">
      <c r="A24" s="105">
        <f>'DATA SISWA'!A21</f>
        <v>17</v>
      </c>
      <c r="B24" s="105" t="str">
        <f>'DATA SISWA'!B21</f>
        <v>7657</v>
      </c>
      <c r="C24" s="105" t="str">
        <f>'DATA SISWA'!C21</f>
        <v>LATIFA MAHARANI</v>
      </c>
      <c r="D24" s="105" t="str">
        <f>'DATA SISWA'!D21</f>
        <v>P</v>
      </c>
      <c r="E24" s="105" t="str">
        <f>'DATA SISWA'!E21</f>
        <v>VII-J</v>
      </c>
      <c r="F24" s="101"/>
      <c r="G24" s="101"/>
      <c r="H24" s="101"/>
      <c r="I24" s="322"/>
      <c r="J24" s="323"/>
      <c r="K24" s="101"/>
      <c r="L24" s="101"/>
      <c r="M24" s="105"/>
      <c r="N24" s="101"/>
      <c r="O24" s="101"/>
      <c r="P24" s="101"/>
      <c r="Q24" s="322"/>
      <c r="R24" s="323"/>
      <c r="S24" s="101"/>
      <c r="T24" s="101"/>
      <c r="U24" s="105"/>
    </row>
    <row r="25" spans="1:21">
      <c r="A25" s="105">
        <f>'DATA SISWA'!A22</f>
        <v>18</v>
      </c>
      <c r="B25" s="105" t="str">
        <f>'DATA SISWA'!B22</f>
        <v>7658</v>
      </c>
      <c r="C25" s="105" t="str">
        <f>'DATA SISWA'!C22</f>
        <v>LUQMANUL FIKRI SYAIFULLAH</v>
      </c>
      <c r="D25" s="105" t="str">
        <f>'DATA SISWA'!D22</f>
        <v>L</v>
      </c>
      <c r="E25" s="105" t="str">
        <f>'DATA SISWA'!E22</f>
        <v>VII-J</v>
      </c>
      <c r="F25" s="101"/>
      <c r="G25" s="101"/>
      <c r="H25" s="101"/>
      <c r="I25" s="322"/>
      <c r="J25" s="323"/>
      <c r="K25" s="101"/>
      <c r="L25" s="101"/>
      <c r="M25" s="105"/>
      <c r="N25" s="101"/>
      <c r="O25" s="101"/>
      <c r="P25" s="101"/>
      <c r="Q25" s="322"/>
      <c r="R25" s="323"/>
      <c r="S25" s="101"/>
      <c r="T25" s="101"/>
      <c r="U25" s="105"/>
    </row>
    <row r="26" spans="1:21">
      <c r="A26" s="105">
        <f>'DATA SISWA'!A23</f>
        <v>19</v>
      </c>
      <c r="B26" s="105" t="str">
        <f>'DATA SISWA'!B23</f>
        <v>7659</v>
      </c>
      <c r="C26" s="105" t="str">
        <f>'DATA SISWA'!C23</f>
        <v>MAR'ATUS SOLEHAH</v>
      </c>
      <c r="D26" s="105" t="str">
        <f>'DATA SISWA'!D23</f>
        <v>P</v>
      </c>
      <c r="E26" s="105" t="str">
        <f>'DATA SISWA'!E23</f>
        <v>VII-J</v>
      </c>
      <c r="F26" s="101"/>
      <c r="G26" s="101"/>
      <c r="H26" s="101"/>
      <c r="I26" s="322"/>
      <c r="J26" s="323"/>
      <c r="K26" s="101"/>
      <c r="L26" s="101"/>
      <c r="M26" s="105"/>
      <c r="N26" s="101"/>
      <c r="O26" s="101"/>
      <c r="P26" s="101"/>
      <c r="Q26" s="322"/>
      <c r="R26" s="323"/>
      <c r="S26" s="101"/>
      <c r="T26" s="101"/>
      <c r="U26" s="105"/>
    </row>
    <row r="27" spans="1:21">
      <c r="A27" s="105">
        <f>'DATA SISWA'!A24</f>
        <v>20</v>
      </c>
      <c r="B27" s="105" t="str">
        <f>'DATA SISWA'!B24</f>
        <v>7660</v>
      </c>
      <c r="C27" s="105" t="str">
        <f>'DATA SISWA'!C24</f>
        <v>MOCH.  SHOLEH W. H</v>
      </c>
      <c r="D27" s="105" t="str">
        <f>'DATA SISWA'!D24</f>
        <v>L</v>
      </c>
      <c r="E27" s="105" t="str">
        <f>'DATA SISWA'!E24</f>
        <v>VII-J</v>
      </c>
      <c r="F27" s="101"/>
      <c r="G27" s="101"/>
      <c r="H27" s="101"/>
      <c r="I27" s="322"/>
      <c r="J27" s="323"/>
      <c r="K27" s="101"/>
      <c r="L27" s="101"/>
      <c r="M27" s="105"/>
      <c r="N27" s="101"/>
      <c r="O27" s="101"/>
      <c r="P27" s="101"/>
      <c r="Q27" s="322"/>
      <c r="R27" s="323"/>
      <c r="S27" s="101"/>
      <c r="T27" s="101"/>
      <c r="U27" s="105"/>
    </row>
    <row r="28" spans="1:21">
      <c r="A28" s="105">
        <f>'DATA SISWA'!A25</f>
        <v>21</v>
      </c>
      <c r="B28" s="105" t="str">
        <f>'DATA SISWA'!B25</f>
        <v>7661</v>
      </c>
      <c r="C28" s="105" t="str">
        <f>'DATA SISWA'!C25</f>
        <v>MOCH. FAWES</v>
      </c>
      <c r="D28" s="105" t="str">
        <f>'DATA SISWA'!D25</f>
        <v>L</v>
      </c>
      <c r="E28" s="105" t="str">
        <f>'DATA SISWA'!E25</f>
        <v>VII-J</v>
      </c>
      <c r="F28" s="101"/>
      <c r="G28" s="101"/>
      <c r="H28" s="101"/>
      <c r="I28" s="322"/>
      <c r="J28" s="323"/>
      <c r="K28" s="101"/>
      <c r="L28" s="101"/>
      <c r="M28" s="105"/>
      <c r="N28" s="101"/>
      <c r="O28" s="101"/>
      <c r="P28" s="101"/>
      <c r="Q28" s="322"/>
      <c r="R28" s="323"/>
      <c r="S28" s="101"/>
      <c r="T28" s="101"/>
      <c r="U28" s="105"/>
    </row>
    <row r="29" spans="1:21">
      <c r="A29" s="105">
        <f>'DATA SISWA'!A26</f>
        <v>22</v>
      </c>
      <c r="B29" s="105" t="str">
        <f>'DATA SISWA'!B26</f>
        <v>7662</v>
      </c>
      <c r="C29" s="105" t="str">
        <f>'DATA SISWA'!C26</f>
        <v>MOH SAHRUL RAMADON</v>
      </c>
      <c r="D29" s="105" t="str">
        <f>'DATA SISWA'!D26</f>
        <v>L</v>
      </c>
      <c r="E29" s="105" t="str">
        <f>'DATA SISWA'!E26</f>
        <v>VII-J</v>
      </c>
      <c r="F29" s="101"/>
      <c r="G29" s="101"/>
      <c r="H29" s="101"/>
      <c r="I29" s="322"/>
      <c r="J29" s="323"/>
      <c r="K29" s="101"/>
      <c r="L29" s="101"/>
      <c r="M29" s="105"/>
      <c r="N29" s="101"/>
      <c r="O29" s="101"/>
      <c r="P29" s="101"/>
      <c r="Q29" s="322"/>
      <c r="R29" s="323"/>
      <c r="S29" s="101"/>
      <c r="T29" s="101"/>
      <c r="U29" s="105"/>
    </row>
    <row r="30" spans="1:21">
      <c r="A30" s="105">
        <f>'DATA SISWA'!A27</f>
        <v>23</v>
      </c>
      <c r="B30" s="105" t="str">
        <f>'DATA SISWA'!B27</f>
        <v>7664</v>
      </c>
      <c r="C30" s="105" t="str">
        <f>'DATA SISWA'!C27</f>
        <v>MOHAMMAD RAMADAN PURNOMO</v>
      </c>
      <c r="D30" s="105" t="str">
        <f>'DATA SISWA'!D27</f>
        <v>L</v>
      </c>
      <c r="E30" s="105" t="str">
        <f>'DATA SISWA'!E27</f>
        <v>VII-J</v>
      </c>
      <c r="F30" s="101"/>
      <c r="G30" s="101"/>
      <c r="H30" s="101"/>
      <c r="I30" s="322"/>
      <c r="J30" s="323"/>
      <c r="K30" s="101"/>
      <c r="L30" s="101"/>
      <c r="M30" s="105"/>
      <c r="N30" s="101"/>
      <c r="O30" s="101"/>
      <c r="P30" s="101"/>
      <c r="Q30" s="322"/>
      <c r="R30" s="323"/>
      <c r="S30" s="101"/>
      <c r="T30" s="101"/>
      <c r="U30" s="105"/>
    </row>
    <row r="31" spans="1:21">
      <c r="A31" s="105">
        <f>'DATA SISWA'!A28</f>
        <v>24</v>
      </c>
      <c r="B31" s="105" t="str">
        <f>'DATA SISWA'!B28</f>
        <v>7665</v>
      </c>
      <c r="C31" s="105" t="str">
        <f>'DATA SISWA'!C28</f>
        <v>MOHAMMAD ROFI'I</v>
      </c>
      <c r="D31" s="105" t="str">
        <f>'DATA SISWA'!D28</f>
        <v>L</v>
      </c>
      <c r="E31" s="105" t="str">
        <f>'DATA SISWA'!E28</f>
        <v>VII-J</v>
      </c>
      <c r="F31" s="101"/>
      <c r="G31" s="101"/>
      <c r="H31" s="101"/>
      <c r="I31" s="322"/>
      <c r="J31" s="323"/>
      <c r="K31" s="101"/>
      <c r="L31" s="101"/>
      <c r="M31" s="105"/>
      <c r="N31" s="101"/>
      <c r="O31" s="101"/>
      <c r="P31" s="101"/>
      <c r="Q31" s="322"/>
      <c r="R31" s="323"/>
      <c r="S31" s="101"/>
      <c r="T31" s="101"/>
      <c r="U31" s="105"/>
    </row>
    <row r="32" spans="1:21">
      <c r="A32" s="105">
        <f>'DATA SISWA'!A29</f>
        <v>25</v>
      </c>
      <c r="B32" s="105" t="str">
        <f>'DATA SISWA'!B29</f>
        <v>7666</v>
      </c>
      <c r="C32" s="105" t="str">
        <f>'DATA SISWA'!C29</f>
        <v>NI'MATUS SHOLIHA</v>
      </c>
      <c r="D32" s="105" t="str">
        <f>'DATA SISWA'!D29</f>
        <v>P</v>
      </c>
      <c r="E32" s="105" t="str">
        <f>'DATA SISWA'!E29</f>
        <v>VII-J</v>
      </c>
      <c r="F32" s="101"/>
      <c r="G32" s="101"/>
      <c r="H32" s="101"/>
      <c r="I32" s="322"/>
      <c r="J32" s="323"/>
      <c r="K32" s="101"/>
      <c r="L32" s="101"/>
      <c r="M32" s="105"/>
      <c r="N32" s="101"/>
      <c r="O32" s="101"/>
      <c r="P32" s="101"/>
      <c r="Q32" s="322"/>
      <c r="R32" s="323"/>
      <c r="S32" s="101"/>
      <c r="T32" s="101"/>
      <c r="U32" s="105"/>
    </row>
    <row r="33" spans="1:21">
      <c r="A33" s="105">
        <f>'DATA SISWA'!A30</f>
        <v>26</v>
      </c>
      <c r="B33" s="105" t="str">
        <f>'DATA SISWA'!B30</f>
        <v>7676</v>
      </c>
      <c r="C33" s="105" t="str">
        <f>'DATA SISWA'!C30</f>
        <v>PANJI FIKRI ISLAMI</v>
      </c>
      <c r="D33" s="105" t="str">
        <f>'DATA SISWA'!D30</f>
        <v>L</v>
      </c>
      <c r="E33" s="105" t="str">
        <f>'DATA SISWA'!E30</f>
        <v>VII-J</v>
      </c>
      <c r="F33" s="101"/>
      <c r="G33" s="101"/>
      <c r="H33" s="101"/>
      <c r="I33" s="322"/>
      <c r="J33" s="323"/>
      <c r="K33" s="101"/>
      <c r="L33" s="101"/>
      <c r="M33" s="105"/>
      <c r="N33" s="101"/>
      <c r="O33" s="101"/>
      <c r="P33" s="101"/>
      <c r="Q33" s="322"/>
      <c r="R33" s="323"/>
      <c r="S33" s="101"/>
      <c r="T33" s="101"/>
      <c r="U33" s="105"/>
    </row>
    <row r="34" spans="1:21">
      <c r="A34" s="105">
        <f>'DATA SISWA'!A31</f>
        <v>27</v>
      </c>
      <c r="B34" s="105" t="str">
        <f>'DATA SISWA'!B31</f>
        <v>7667</v>
      </c>
      <c r="C34" s="105" t="str">
        <f>'DATA SISWA'!C31</f>
        <v>RACMAT MAULIDI ABDANY</v>
      </c>
      <c r="D34" s="105" t="str">
        <f>'DATA SISWA'!D31</f>
        <v>L</v>
      </c>
      <c r="E34" s="105" t="str">
        <f>'DATA SISWA'!E31</f>
        <v>VII-J</v>
      </c>
      <c r="F34" s="101"/>
      <c r="G34" s="101"/>
      <c r="H34" s="101"/>
      <c r="I34" s="322"/>
      <c r="J34" s="323"/>
      <c r="K34" s="101"/>
      <c r="L34" s="101"/>
      <c r="M34" s="105"/>
      <c r="N34" s="101"/>
      <c r="O34" s="101"/>
      <c r="P34" s="101"/>
      <c r="Q34" s="322"/>
      <c r="R34" s="323"/>
      <c r="S34" s="101"/>
      <c r="T34" s="101"/>
      <c r="U34" s="105"/>
    </row>
    <row r="35" spans="1:21">
      <c r="A35" s="105">
        <f>'DATA SISWA'!A32</f>
        <v>28</v>
      </c>
      <c r="B35" s="105" t="str">
        <f>'DATA SISWA'!B32</f>
        <v>7668</v>
      </c>
      <c r="C35" s="105" t="str">
        <f>'DATA SISWA'!C32</f>
        <v>RAIHAN</v>
      </c>
      <c r="D35" s="105" t="str">
        <f>'DATA SISWA'!D32</f>
        <v>L</v>
      </c>
      <c r="E35" s="105" t="str">
        <f>'DATA SISWA'!E32</f>
        <v>VII-J</v>
      </c>
      <c r="F35" s="101"/>
      <c r="G35" s="101"/>
      <c r="H35" s="101"/>
      <c r="I35" s="322"/>
      <c r="J35" s="323"/>
      <c r="K35" s="101"/>
      <c r="L35" s="101"/>
      <c r="M35" s="105"/>
      <c r="N35" s="101"/>
      <c r="O35" s="101"/>
      <c r="P35" s="101"/>
      <c r="Q35" s="322"/>
      <c r="R35" s="323"/>
      <c r="S35" s="101"/>
      <c r="T35" s="101"/>
      <c r="U35" s="105"/>
    </row>
    <row r="36" spans="1:21">
      <c r="A36" s="105">
        <f>'DATA SISWA'!A33</f>
        <v>29</v>
      </c>
      <c r="B36" s="105" t="str">
        <f>'DATA SISWA'!B33</f>
        <v>7669</v>
      </c>
      <c r="C36" s="105" t="str">
        <f>'DATA SISWA'!C33</f>
        <v>REFITA ANNASTASYA</v>
      </c>
      <c r="D36" s="105" t="str">
        <f>'DATA SISWA'!D33</f>
        <v>P</v>
      </c>
      <c r="E36" s="105" t="str">
        <f>'DATA SISWA'!E33</f>
        <v>VII-J</v>
      </c>
      <c r="F36" s="101"/>
      <c r="G36" s="101"/>
      <c r="H36" s="101"/>
      <c r="I36" s="322"/>
      <c r="J36" s="323"/>
      <c r="K36" s="101"/>
      <c r="L36" s="101"/>
      <c r="M36" s="105"/>
      <c r="N36" s="101"/>
      <c r="O36" s="101"/>
      <c r="P36" s="101"/>
      <c r="Q36" s="322"/>
      <c r="R36" s="323"/>
      <c r="S36" s="101"/>
      <c r="T36" s="101"/>
      <c r="U36" s="105"/>
    </row>
    <row r="37" spans="1:21">
      <c r="A37" s="105">
        <f>'DATA SISWA'!A34</f>
        <v>30</v>
      </c>
      <c r="B37" s="105" t="str">
        <f>'DATA SISWA'!B34</f>
        <v>7670</v>
      </c>
      <c r="C37" s="105" t="str">
        <f>'DATA SISWA'!C34</f>
        <v>RISKIYAH</v>
      </c>
      <c r="D37" s="105" t="str">
        <f>'DATA SISWA'!D34</f>
        <v>P</v>
      </c>
      <c r="E37" s="105" t="str">
        <f>'DATA SISWA'!E34</f>
        <v>VII-J</v>
      </c>
      <c r="F37" s="101"/>
      <c r="G37" s="101"/>
      <c r="H37" s="101"/>
      <c r="I37" s="322"/>
      <c r="J37" s="323"/>
      <c r="K37" s="101"/>
      <c r="L37" s="101"/>
      <c r="M37" s="105"/>
      <c r="N37" s="101"/>
      <c r="O37" s="101"/>
      <c r="P37" s="101"/>
      <c r="Q37" s="322"/>
      <c r="R37" s="323"/>
      <c r="S37" s="101"/>
      <c r="T37" s="101"/>
      <c r="U37" s="105"/>
    </row>
    <row r="38" spans="1:21">
      <c r="A38" s="105">
        <f>'DATA SISWA'!A35</f>
        <v>31</v>
      </c>
      <c r="B38" s="105" t="str">
        <f>'DATA SISWA'!B35</f>
        <v>7671</v>
      </c>
      <c r="C38" s="105" t="str">
        <f>'DATA SISWA'!C35</f>
        <v>SALILATUL HUSNA</v>
      </c>
      <c r="D38" s="105" t="str">
        <f>'DATA SISWA'!D35</f>
        <v>P</v>
      </c>
      <c r="E38" s="105" t="str">
        <f>'DATA SISWA'!E35</f>
        <v>VII-J</v>
      </c>
      <c r="F38" s="101"/>
      <c r="G38" s="101"/>
      <c r="H38" s="101"/>
      <c r="I38" s="322"/>
      <c r="J38" s="323"/>
      <c r="K38" s="101"/>
      <c r="L38" s="101"/>
      <c r="M38" s="105"/>
      <c r="N38" s="101"/>
      <c r="O38" s="101"/>
      <c r="P38" s="101"/>
      <c r="Q38" s="322"/>
      <c r="R38" s="323"/>
      <c r="S38" s="101"/>
      <c r="T38" s="101"/>
      <c r="U38" s="105"/>
    </row>
    <row r="39" spans="1:21">
      <c r="A39" s="105">
        <f>'DATA SISWA'!A36</f>
        <v>32</v>
      </c>
      <c r="B39" s="105" t="str">
        <f>'DATA SISWA'!B36</f>
        <v>7672</v>
      </c>
      <c r="C39" s="105" t="str">
        <f>'DATA SISWA'!C36</f>
        <v>SALMA NABILA</v>
      </c>
      <c r="D39" s="105" t="str">
        <f>'DATA SISWA'!D36</f>
        <v>P</v>
      </c>
      <c r="E39" s="105" t="str">
        <f>'DATA SISWA'!E36</f>
        <v>VII-J</v>
      </c>
      <c r="F39" s="101"/>
      <c r="G39" s="101"/>
      <c r="H39" s="101"/>
      <c r="I39" s="322"/>
      <c r="J39" s="323"/>
      <c r="K39" s="101"/>
      <c r="L39" s="101"/>
      <c r="M39" s="105"/>
      <c r="N39" s="101"/>
      <c r="O39" s="101"/>
      <c r="P39" s="101"/>
      <c r="Q39" s="322"/>
      <c r="R39" s="323"/>
      <c r="S39" s="101"/>
      <c r="T39" s="101"/>
      <c r="U39" s="105"/>
    </row>
    <row r="40" spans="1:21">
      <c r="A40" s="105">
        <f>'DATA SISWA'!A37</f>
        <v>33</v>
      </c>
      <c r="B40" s="105" t="str">
        <f>'DATA SISWA'!B37</f>
        <v>7673</v>
      </c>
      <c r="C40" s="105" t="str">
        <f>'DATA SISWA'!C37</f>
        <v>SITI AINUR ROHIMAH</v>
      </c>
      <c r="D40" s="105" t="str">
        <f>'DATA SISWA'!D37</f>
        <v>P</v>
      </c>
      <c r="E40" s="105" t="str">
        <f>'DATA SISWA'!E37</f>
        <v>VII-J</v>
      </c>
      <c r="F40" s="101"/>
      <c r="G40" s="101"/>
      <c r="H40" s="101"/>
      <c r="I40" s="322"/>
      <c r="J40" s="323"/>
      <c r="K40" s="101"/>
      <c r="L40" s="101"/>
      <c r="M40" s="105"/>
      <c r="N40" s="101"/>
      <c r="O40" s="101"/>
      <c r="P40" s="101"/>
      <c r="Q40" s="322"/>
      <c r="R40" s="323"/>
      <c r="S40" s="101"/>
      <c r="T40" s="101"/>
      <c r="U40" s="105"/>
    </row>
    <row r="41" spans="1:21">
      <c r="A41" s="105">
        <f>'DATA SISWA'!A38</f>
        <v>34</v>
      </c>
      <c r="B41" s="105" t="str">
        <f>'DATA SISWA'!B38</f>
        <v>7675</v>
      </c>
      <c r="C41" s="105" t="str">
        <f>'DATA SISWA'!C38</f>
        <v>SYARIF HIDAYATULLOH</v>
      </c>
      <c r="D41" s="105" t="str">
        <f>'DATA SISWA'!D38</f>
        <v>L</v>
      </c>
      <c r="E41" s="105" t="str">
        <f>'DATA SISWA'!E38</f>
        <v>VII-J</v>
      </c>
      <c r="F41" s="101"/>
      <c r="G41" s="101"/>
      <c r="H41" s="101"/>
      <c r="I41" s="322"/>
      <c r="J41" s="323"/>
      <c r="K41" s="101"/>
      <c r="L41" s="101"/>
      <c r="M41" s="105"/>
      <c r="N41" s="101"/>
      <c r="O41" s="101"/>
      <c r="P41" s="101"/>
      <c r="Q41" s="322"/>
      <c r="R41" s="323"/>
      <c r="S41" s="101"/>
      <c r="T41" s="101"/>
      <c r="U41" s="105"/>
    </row>
    <row r="42" spans="1:21">
      <c r="A42" s="105">
        <f>'DATA SISWA'!A39</f>
        <v>35</v>
      </c>
      <c r="B42" s="105" t="str">
        <f>'DATA SISWA'!B39</f>
        <v>7444</v>
      </c>
      <c r="C42" s="105" t="str">
        <f>'DATA SISWA'!C39</f>
        <v>URVIA ZAHNA ROHANDY</v>
      </c>
      <c r="D42" s="105" t="str">
        <f>'DATA SISWA'!D39</f>
        <v>P</v>
      </c>
      <c r="E42" s="105" t="str">
        <f>'DATA SISWA'!E39</f>
        <v>VII-J</v>
      </c>
      <c r="F42" s="101"/>
      <c r="G42" s="101"/>
      <c r="H42" s="101"/>
      <c r="I42" s="322"/>
      <c r="J42" s="323"/>
      <c r="K42" s="101"/>
      <c r="L42" s="101"/>
      <c r="M42" s="105"/>
      <c r="N42" s="101"/>
      <c r="O42" s="101"/>
      <c r="P42" s="101"/>
      <c r="Q42" s="322"/>
      <c r="R42" s="323"/>
      <c r="S42" s="101"/>
      <c r="T42" s="101"/>
      <c r="U42" s="105"/>
    </row>
    <row r="43" spans="1:21">
      <c r="A43" s="105">
        <f>'DATA SISWA'!A40</f>
        <v>36</v>
      </c>
      <c r="B43" s="105">
        <f>'DATA SISWA'!B40</f>
        <v>0</v>
      </c>
      <c r="C43" s="105">
        <f>'DATA SISWA'!C40</f>
        <v>0</v>
      </c>
      <c r="D43" s="105">
        <f>'DATA SISWA'!D40</f>
        <v>0</v>
      </c>
      <c r="E43" s="105" t="str">
        <f>'DATA SISWA'!E40</f>
        <v>VII-J</v>
      </c>
      <c r="F43" s="101"/>
      <c r="G43" s="101"/>
      <c r="H43" s="101"/>
      <c r="I43" s="322"/>
      <c r="J43" s="323"/>
      <c r="K43" s="101"/>
      <c r="L43" s="101"/>
      <c r="M43" s="105"/>
      <c r="N43" s="101"/>
      <c r="O43" s="101"/>
      <c r="P43" s="101"/>
      <c r="Q43" s="322"/>
      <c r="R43" s="323"/>
      <c r="S43" s="101"/>
      <c r="T43" s="101"/>
      <c r="U43" s="105"/>
    </row>
    <row r="44" spans="1:21">
      <c r="A44" s="105">
        <f>'DATA SISWA'!A41</f>
        <v>37</v>
      </c>
      <c r="B44" s="105">
        <f>'DATA SISWA'!B41</f>
        <v>0</v>
      </c>
      <c r="C44" s="105">
        <f>'DATA SISWA'!C41</f>
        <v>0</v>
      </c>
      <c r="D44" s="105">
        <f>'DATA SISWA'!D41</f>
        <v>0</v>
      </c>
      <c r="E44" s="105" t="str">
        <f>'DATA SISWA'!E41</f>
        <v>VII-J</v>
      </c>
      <c r="F44" s="101"/>
      <c r="G44" s="101"/>
      <c r="H44" s="101"/>
      <c r="I44" s="322"/>
      <c r="J44" s="323"/>
      <c r="K44" s="101"/>
      <c r="L44" s="101"/>
      <c r="M44" s="105"/>
      <c r="N44" s="101"/>
      <c r="O44" s="101"/>
      <c r="P44" s="101"/>
      <c r="Q44" s="322"/>
      <c r="R44" s="323"/>
      <c r="S44" s="101"/>
      <c r="T44" s="101"/>
      <c r="U44" s="105"/>
    </row>
    <row r="45" spans="1:21">
      <c r="A45" s="105">
        <f>'DATA SISWA'!A42</f>
        <v>38</v>
      </c>
      <c r="B45" s="105">
        <f>'DATA SISWA'!B42</f>
        <v>0</v>
      </c>
      <c r="C45" s="105">
        <f>'DATA SISWA'!C42</f>
        <v>0</v>
      </c>
      <c r="D45" s="105">
        <f>'DATA SISWA'!D42</f>
        <v>0</v>
      </c>
      <c r="E45" s="105" t="str">
        <f>'DATA SISWA'!E42</f>
        <v>VII-J</v>
      </c>
      <c r="F45" s="101"/>
      <c r="G45" s="101"/>
      <c r="H45" s="101"/>
      <c r="I45" s="322"/>
      <c r="J45" s="323"/>
      <c r="K45" s="101"/>
      <c r="L45" s="101"/>
      <c r="M45" s="105"/>
      <c r="N45" s="101"/>
      <c r="O45" s="101"/>
      <c r="P45" s="101"/>
      <c r="Q45" s="322"/>
      <c r="R45" s="323"/>
      <c r="S45" s="101"/>
      <c r="T45" s="101"/>
      <c r="U45" s="105"/>
    </row>
    <row r="46" spans="1:21">
      <c r="A46" s="105">
        <f>'DATA SISWA'!A43</f>
        <v>39</v>
      </c>
      <c r="B46" s="105">
        <f>'DATA SISWA'!B43</f>
        <v>0</v>
      </c>
      <c r="C46" s="105">
        <f>'DATA SISWA'!C43</f>
        <v>0</v>
      </c>
      <c r="D46" s="105">
        <f>'DATA SISWA'!D43</f>
        <v>0</v>
      </c>
      <c r="E46" s="105" t="str">
        <f>'DATA SISWA'!E43</f>
        <v>VII-J</v>
      </c>
      <c r="F46" s="101"/>
      <c r="G46" s="101"/>
      <c r="H46" s="101"/>
      <c r="I46" s="322"/>
      <c r="J46" s="323"/>
      <c r="K46" s="101"/>
      <c r="L46" s="101"/>
      <c r="M46" s="105"/>
      <c r="N46" s="101"/>
      <c r="O46" s="101"/>
      <c r="P46" s="101"/>
      <c r="Q46" s="322"/>
      <c r="R46" s="323"/>
      <c r="S46" s="101"/>
      <c r="T46" s="101"/>
      <c r="U46" s="105"/>
    </row>
    <row r="47" spans="1:21">
      <c r="A47" s="105">
        <f>'DATA SISWA'!A44</f>
        <v>40</v>
      </c>
      <c r="B47" s="105">
        <f>'DATA SISWA'!B44</f>
        <v>0</v>
      </c>
      <c r="C47" s="105">
        <f>'DATA SISWA'!C44</f>
        <v>0</v>
      </c>
      <c r="D47" s="105">
        <f>'DATA SISWA'!D44</f>
        <v>0</v>
      </c>
      <c r="E47" s="105" t="str">
        <f>'DATA SISWA'!E44</f>
        <v>VII-J</v>
      </c>
      <c r="F47" s="101"/>
      <c r="G47" s="101"/>
      <c r="H47" s="101"/>
      <c r="I47" s="322"/>
      <c r="J47" s="323"/>
      <c r="K47" s="101"/>
      <c r="L47" s="101"/>
      <c r="M47" s="105"/>
      <c r="N47" s="101"/>
      <c r="O47" s="101"/>
      <c r="P47" s="101"/>
      <c r="Q47" s="322"/>
      <c r="R47" s="323"/>
      <c r="S47" s="101"/>
      <c r="T47" s="101"/>
      <c r="U47" s="105"/>
    </row>
    <row r="48" spans="1:21">
      <c r="A48" s="105">
        <f>'DATA SISWA'!A45</f>
        <v>41</v>
      </c>
      <c r="B48" s="105">
        <f>'DATA SISWA'!B45</f>
        <v>0</v>
      </c>
      <c r="C48" s="105">
        <f>'DATA SISWA'!C45</f>
        <v>0</v>
      </c>
      <c r="D48" s="105">
        <f>'DATA SISWA'!D45</f>
        <v>0</v>
      </c>
      <c r="E48" s="105" t="str">
        <f>'DATA SISWA'!E45</f>
        <v>VII-J</v>
      </c>
      <c r="F48" s="101"/>
      <c r="G48" s="101"/>
      <c r="H48" s="101"/>
      <c r="I48" s="322"/>
      <c r="J48" s="323"/>
      <c r="K48" s="101"/>
      <c r="L48" s="101"/>
      <c r="M48" s="105"/>
      <c r="N48" s="101"/>
      <c r="O48" s="101"/>
      <c r="P48" s="101"/>
      <c r="Q48" s="322"/>
      <c r="R48" s="323"/>
      <c r="S48" s="101"/>
      <c r="T48" s="101"/>
      <c r="U48" s="105"/>
    </row>
    <row r="49" spans="1:21">
      <c r="A49" s="105">
        <f>'DATA SISWA'!A46</f>
        <v>42</v>
      </c>
      <c r="B49" s="105">
        <f>'DATA SISWA'!B46</f>
        <v>0</v>
      </c>
      <c r="C49" s="105">
        <f>'DATA SISWA'!C46</f>
        <v>0</v>
      </c>
      <c r="D49" s="105">
        <f>'DATA SISWA'!D46</f>
        <v>0</v>
      </c>
      <c r="E49" s="105" t="str">
        <f>'DATA SISWA'!E46</f>
        <v>VII-J</v>
      </c>
      <c r="F49" s="101"/>
      <c r="G49" s="101"/>
      <c r="H49" s="101"/>
      <c r="I49" s="322"/>
      <c r="J49" s="323"/>
      <c r="K49" s="101"/>
      <c r="L49" s="101"/>
      <c r="M49" s="105"/>
      <c r="N49" s="101"/>
      <c r="O49" s="101"/>
      <c r="P49" s="101"/>
      <c r="Q49" s="322"/>
      <c r="R49" s="323"/>
      <c r="S49" s="101"/>
      <c r="T49" s="101"/>
      <c r="U49" s="105"/>
    </row>
    <row r="50" spans="1:21">
      <c r="A50" s="105">
        <f>'DATA SISWA'!A47</f>
        <v>43</v>
      </c>
      <c r="B50" s="105">
        <f>'DATA SISWA'!B47</f>
        <v>0</v>
      </c>
      <c r="C50" s="105">
        <f>'DATA SISWA'!C47</f>
        <v>0</v>
      </c>
      <c r="D50" s="105">
        <f>'DATA SISWA'!D47</f>
        <v>0</v>
      </c>
      <c r="E50" s="105" t="str">
        <f>'DATA SISWA'!E47</f>
        <v>VII-J</v>
      </c>
      <c r="F50" s="101"/>
      <c r="G50" s="101"/>
      <c r="H50" s="101"/>
      <c r="I50" s="322"/>
      <c r="J50" s="323"/>
      <c r="K50" s="101"/>
      <c r="L50" s="101"/>
      <c r="M50" s="105"/>
      <c r="N50" s="101"/>
      <c r="O50" s="101"/>
      <c r="P50" s="101"/>
      <c r="Q50" s="322"/>
      <c r="R50" s="323"/>
      <c r="S50" s="101"/>
      <c r="T50" s="101"/>
      <c r="U50" s="105"/>
    </row>
    <row r="51" spans="1:21">
      <c r="A51" s="105">
        <f>'DATA SISWA'!A48</f>
        <v>44</v>
      </c>
      <c r="B51" s="105">
        <f>'DATA SISWA'!B48</f>
        <v>0</v>
      </c>
      <c r="C51" s="105">
        <f>'DATA SISWA'!C48</f>
        <v>0</v>
      </c>
      <c r="D51" s="105">
        <f>'DATA SISWA'!D48</f>
        <v>0</v>
      </c>
      <c r="E51" s="105" t="str">
        <f>'DATA SISWA'!E48</f>
        <v>VII-J</v>
      </c>
      <c r="F51" s="101"/>
      <c r="G51" s="101"/>
      <c r="H51" s="101"/>
      <c r="I51" s="322"/>
      <c r="J51" s="323"/>
      <c r="K51" s="101"/>
      <c r="L51" s="101"/>
      <c r="M51" s="105"/>
      <c r="N51" s="101"/>
      <c r="O51" s="101"/>
      <c r="P51" s="101"/>
      <c r="Q51" s="322"/>
      <c r="R51" s="323"/>
      <c r="S51" s="101"/>
      <c r="T51" s="101"/>
      <c r="U51" s="105"/>
    </row>
    <row r="52" spans="1:21">
      <c r="A52" s="105">
        <f>'DATA SISWA'!A49</f>
        <v>45</v>
      </c>
      <c r="B52" s="105">
        <f>'DATA SISWA'!B49</f>
        <v>0</v>
      </c>
      <c r="C52" s="105">
        <f>'DATA SISWA'!C49</f>
        <v>0</v>
      </c>
      <c r="D52" s="105">
        <f>'DATA SISWA'!D49</f>
        <v>0</v>
      </c>
      <c r="E52" s="105" t="str">
        <f>'DATA SISWA'!E49</f>
        <v>VII-J</v>
      </c>
      <c r="F52" s="101"/>
      <c r="G52" s="101"/>
      <c r="H52" s="101"/>
      <c r="I52" s="322"/>
      <c r="J52" s="323"/>
      <c r="K52" s="101"/>
      <c r="L52" s="101"/>
      <c r="M52" s="105"/>
      <c r="N52" s="101"/>
      <c r="O52" s="101"/>
      <c r="P52" s="101"/>
      <c r="Q52" s="322"/>
      <c r="R52" s="323"/>
      <c r="S52" s="101"/>
      <c r="T52" s="101"/>
      <c r="U52" s="105"/>
    </row>
    <row r="53" spans="1:21">
      <c r="A53" s="105">
        <f>'DATA SISWA'!A50</f>
        <v>46</v>
      </c>
      <c r="B53" s="105">
        <f>'DATA SISWA'!B50</f>
        <v>0</v>
      </c>
      <c r="C53" s="105">
        <f>'DATA SISWA'!C50</f>
        <v>0</v>
      </c>
      <c r="D53" s="105">
        <f>'DATA SISWA'!D50</f>
        <v>0</v>
      </c>
      <c r="E53" s="105" t="str">
        <f>'DATA SISWA'!E50</f>
        <v>VII-J</v>
      </c>
      <c r="F53" s="101"/>
      <c r="G53" s="101"/>
      <c r="H53" s="101"/>
      <c r="I53" s="322"/>
      <c r="J53" s="323"/>
      <c r="K53" s="101"/>
      <c r="L53" s="101"/>
      <c r="M53" s="105"/>
      <c r="N53" s="101"/>
      <c r="O53" s="101"/>
      <c r="P53" s="101"/>
      <c r="Q53" s="322"/>
      <c r="R53" s="323"/>
      <c r="S53" s="101"/>
      <c r="T53" s="101"/>
      <c r="U53" s="105"/>
    </row>
    <row r="54" spans="1:21">
      <c r="A54" s="105">
        <f>'DATA SISWA'!A51</f>
        <v>47</v>
      </c>
      <c r="B54" s="105">
        <f>'DATA SISWA'!B51</f>
        <v>0</v>
      </c>
      <c r="C54" s="105">
        <f>'DATA SISWA'!C51</f>
        <v>0</v>
      </c>
      <c r="D54" s="105">
        <f>'DATA SISWA'!D51</f>
        <v>0</v>
      </c>
      <c r="E54" s="105" t="str">
        <f>'DATA SISWA'!E51</f>
        <v>VII-J</v>
      </c>
      <c r="F54" s="101"/>
      <c r="G54" s="101"/>
      <c r="H54" s="101"/>
      <c r="I54" s="322"/>
      <c r="J54" s="323"/>
      <c r="K54" s="101"/>
      <c r="L54" s="101"/>
      <c r="M54" s="105"/>
      <c r="N54" s="101"/>
      <c r="O54" s="101"/>
      <c r="P54" s="101"/>
      <c r="Q54" s="322"/>
      <c r="R54" s="323"/>
      <c r="S54" s="101"/>
      <c r="T54" s="101"/>
      <c r="U54" s="105"/>
    </row>
    <row r="55" spans="1:21">
      <c r="A55" s="105">
        <f>'DATA SISWA'!A52</f>
        <v>48</v>
      </c>
      <c r="B55" s="105">
        <f>'DATA SISWA'!B52</f>
        <v>0</v>
      </c>
      <c r="C55" s="105">
        <f>'DATA SISWA'!C52</f>
        <v>0</v>
      </c>
      <c r="D55" s="105">
        <f>'DATA SISWA'!D52</f>
        <v>0</v>
      </c>
      <c r="E55" s="105" t="str">
        <f>'DATA SISWA'!E52</f>
        <v>VII-J</v>
      </c>
      <c r="F55" s="101"/>
      <c r="G55" s="101"/>
      <c r="H55" s="101"/>
      <c r="I55" s="322"/>
      <c r="J55" s="323"/>
      <c r="K55" s="101"/>
      <c r="L55" s="101"/>
      <c r="M55" s="105"/>
      <c r="N55" s="101"/>
      <c r="O55" s="101"/>
      <c r="P55" s="101"/>
      <c r="Q55" s="322"/>
      <c r="R55" s="323"/>
      <c r="S55" s="101"/>
      <c r="T55" s="101"/>
      <c r="U55" s="105"/>
    </row>
  </sheetData>
  <sheetProtection formatCells="0" formatColumns="0" formatRows="0" insertColumns="0" insertRows="0" insertHyperlinks="0" deleteColumns="0" deleteRows="0" sort="0"/>
  <mergeCells count="11">
    <mergeCell ref="A4:A6"/>
    <mergeCell ref="B4:B6"/>
    <mergeCell ref="C4:C6"/>
    <mergeCell ref="D4:D6"/>
    <mergeCell ref="E4:E6"/>
    <mergeCell ref="F4:L4"/>
    <mergeCell ref="M4:M6"/>
    <mergeCell ref="N4:T4"/>
    <mergeCell ref="U4:U6"/>
    <mergeCell ref="F5:L5"/>
    <mergeCell ref="N5:T5"/>
  </mergeCells>
  <dataValidations count="1">
    <dataValidation type="whole" allowBlank="1" showInputMessage="1" showErrorMessage="1" sqref="S8:T55 K8:L55 F8:H55 N8:P55">
      <formula1>0</formula1>
      <formula2>100</formula2>
    </dataValidation>
  </dataValidations>
  <pageMargins left="0.86" right="0.34" top="0.27" bottom="0.33" header="0.23" footer="0.25"/>
  <pageSetup paperSize="256" orientation="landscape" horizontalDpi="300" verticalDpi="300" r:id="rId1"/>
  <drawing r:id="rId2"/>
  <legacyDrawing r:id="rId3"/>
</worksheet>
</file>

<file path=xl/worksheets/sheet9.xml><?xml version="1.0" encoding="utf-8"?>
<worksheet xmlns="http://schemas.openxmlformats.org/spreadsheetml/2006/main" xmlns:r="http://schemas.openxmlformats.org/officeDocument/2006/relationships">
  <sheetPr codeName="Sheet6"/>
  <dimension ref="A1:CX53"/>
  <sheetViews>
    <sheetView zoomScale="80" zoomScaleNormal="80" workbookViewId="0">
      <pane xSplit="5" ySplit="4" topLeftCell="G32" activePane="bottomRight" state="frozen"/>
      <selection pane="topRight" activeCell="F1" sqref="F1"/>
      <selection pane="bottomLeft" activeCell="A6" sqref="A6"/>
      <selection pane="bottomRight" sqref="A1:A3"/>
    </sheetView>
  </sheetViews>
  <sheetFormatPr defaultRowHeight="15"/>
  <cols>
    <col min="1" max="1" width="4.85546875" style="95" customWidth="1"/>
    <col min="2" max="2" width="7.140625" style="95" customWidth="1"/>
    <col min="3" max="3" width="32.5703125" style="95" customWidth="1"/>
    <col min="4" max="5" width="5.28515625" style="95" customWidth="1"/>
    <col min="6" max="52" width="5.7109375" style="95" customWidth="1"/>
    <col min="53" max="53" width="6.7109375" style="95" customWidth="1"/>
    <col min="54" max="60" width="5.7109375" style="95" customWidth="1"/>
    <col min="61" max="61" width="6.7109375" style="95" customWidth="1"/>
    <col min="62" max="68" width="5.7109375" style="95" customWidth="1"/>
    <col min="69" max="69" width="6.7109375" style="95" customWidth="1"/>
    <col min="70" max="76" width="5.7109375" style="95" customWidth="1"/>
    <col min="77" max="77" width="6.7109375" style="95" customWidth="1"/>
    <col min="78" max="84" width="5.7109375" style="95" customWidth="1"/>
    <col min="85" max="90" width="6.7109375" style="95" customWidth="1"/>
    <col min="91" max="93" width="6" style="95" customWidth="1"/>
    <col min="94" max="94" width="6.140625" style="102" customWidth="1"/>
    <col min="95" max="95" width="6" style="102" customWidth="1"/>
    <col min="96" max="96" width="6.7109375" style="102" customWidth="1"/>
    <col min="97" max="97" width="12.85546875" style="102" customWidth="1"/>
    <col min="98" max="98" width="9.140625" style="102"/>
    <col min="99" max="99" width="9.5703125" style="102" customWidth="1"/>
    <col min="100" max="100" width="89.28515625" style="103" customWidth="1"/>
    <col min="101" max="101" width="8.7109375" style="103" customWidth="1"/>
    <col min="102" max="102" width="8.7109375" style="95" customWidth="1"/>
    <col min="103" max="16384" width="9.140625" style="95"/>
  </cols>
  <sheetData>
    <row r="1" spans="1:102" ht="63.75" customHeight="1">
      <c r="A1" s="566" t="s">
        <v>15</v>
      </c>
      <c r="B1" s="566" t="s">
        <v>16</v>
      </c>
      <c r="C1" s="573" t="s">
        <v>0</v>
      </c>
      <c r="D1" s="574" t="s">
        <v>1</v>
      </c>
      <c r="E1" s="569" t="s">
        <v>17</v>
      </c>
      <c r="F1" s="575" t="str">
        <f>IF(KDOKE!B11="","",KDOKE!B11)</f>
        <v>Mengidentifikasi informasi (pesan, rima, dan pilihan kata) dari puisi rakyat (pantun, syair, dan bentuk puisi rakyat setempat) yang dibaca dan didengar</v>
      </c>
      <c r="G1" s="575"/>
      <c r="H1" s="575"/>
      <c r="I1" s="575"/>
      <c r="J1" s="575"/>
      <c r="K1" s="575"/>
      <c r="L1" s="575"/>
      <c r="M1" s="544" t="s">
        <v>450</v>
      </c>
      <c r="N1" s="576" t="str">
        <f>IF(KDOKE!B12="","",KDOKE!B12)</f>
        <v>Menelaah struktur  dan kebahasaan puisi rakyat (pantun, syair, dan bentuk puisi rakyat setempat) yang dibaca dan didengar</v>
      </c>
      <c r="O1" s="576"/>
      <c r="P1" s="576"/>
      <c r="Q1" s="576"/>
      <c r="R1" s="576"/>
      <c r="S1" s="576"/>
      <c r="T1" s="576"/>
      <c r="U1" s="544" t="s">
        <v>451</v>
      </c>
      <c r="V1" s="547" t="str">
        <f>IF(KDOKE!B13="","",KDOKE!B13)</f>
        <v>Mengidentifikasi  informasi tentang fabel/ legenda daerah setempat yang dibaca dan didengar</v>
      </c>
      <c r="W1" s="547"/>
      <c r="X1" s="547"/>
      <c r="Y1" s="547"/>
      <c r="Z1" s="547"/>
      <c r="AA1" s="547"/>
      <c r="AB1" s="547"/>
      <c r="AC1" s="544" t="s">
        <v>452</v>
      </c>
      <c r="AD1" s="546" t="str">
        <f>IF(KDOKE!B14="","",KDOKE!B14)</f>
        <v xml:space="preserve">Menelaah struktur dan kebahasaan fabel/ legenda daerah setempat yang dibaca dan didengar </v>
      </c>
      <c r="AE1" s="546"/>
      <c r="AF1" s="546"/>
      <c r="AG1" s="546"/>
      <c r="AH1" s="546"/>
      <c r="AI1" s="546"/>
      <c r="AJ1" s="546"/>
      <c r="AK1" s="544" t="s">
        <v>453</v>
      </c>
      <c r="AL1" s="548" t="str">
        <f>IF(KDOKE!B15="","",KDOKE!B15)</f>
        <v>Mengidentifikasi informasi (kabar, keperluan, permintaan, atau permohonan) dari surat pribadi dan surat dinas yang dibaca dan didengar</v>
      </c>
      <c r="AM1" s="548"/>
      <c r="AN1" s="548"/>
      <c r="AO1" s="548"/>
      <c r="AP1" s="548"/>
      <c r="AQ1" s="548"/>
      <c r="AR1" s="548"/>
      <c r="AS1" s="544" t="s">
        <v>454</v>
      </c>
      <c r="AT1" s="545" t="str">
        <f>IF(KDOKE!B16="","",KDOKE!B16)</f>
        <v>Menelaah unsur-unsur dan kebahasaan dari surat pribadi dan surat dinas yang dibaca dan didengar</v>
      </c>
      <c r="AU1" s="545"/>
      <c r="AV1" s="545"/>
      <c r="AW1" s="545"/>
      <c r="AX1" s="545"/>
      <c r="AY1" s="545"/>
      <c r="AZ1" s="545"/>
      <c r="BA1" s="544" t="s">
        <v>455</v>
      </c>
      <c r="BB1" s="572" t="str">
        <f>IF(KDOKE!B17="","",KDOKE!B17)</f>
        <v>Menemukan unsur-unsur dari buku fiksi dan nonfiksi yang dibca</v>
      </c>
      <c r="BC1" s="572"/>
      <c r="BD1" s="572"/>
      <c r="BE1" s="572"/>
      <c r="BF1" s="572"/>
      <c r="BG1" s="572"/>
      <c r="BH1" s="572"/>
      <c r="BI1" s="544" t="s">
        <v>456</v>
      </c>
      <c r="BJ1" s="553" t="str">
        <f>IF(KDOKE!B18="","",KDOKE!B18)</f>
        <v>Menelaah hubungan unsur-unsur dalam buku fiksi dan nonfiksi</v>
      </c>
      <c r="BK1" s="553"/>
      <c r="BL1" s="553"/>
      <c r="BM1" s="553"/>
      <c r="BN1" s="553"/>
      <c r="BO1" s="553"/>
      <c r="BP1" s="553"/>
      <c r="BQ1" s="544" t="s">
        <v>457</v>
      </c>
      <c r="BR1" s="556" t="str">
        <f>IF(KDOKE!B19="","",KDOKE!B19)</f>
        <v/>
      </c>
      <c r="BS1" s="556"/>
      <c r="BT1" s="556"/>
      <c r="BU1" s="556"/>
      <c r="BV1" s="556"/>
      <c r="BW1" s="556"/>
      <c r="BX1" s="556"/>
      <c r="BY1" s="544" t="s">
        <v>458</v>
      </c>
      <c r="BZ1" s="545" t="str">
        <f>IF(KDOKE!B20="","",KDOKE!B20)</f>
        <v/>
      </c>
      <c r="CA1" s="545"/>
      <c r="CB1" s="545"/>
      <c r="CC1" s="545"/>
      <c r="CD1" s="545"/>
      <c r="CE1" s="545"/>
      <c r="CF1" s="545"/>
      <c r="CG1" s="544" t="s">
        <v>459</v>
      </c>
      <c r="CH1" s="552" t="s">
        <v>27</v>
      </c>
      <c r="CI1" s="577" t="s">
        <v>333</v>
      </c>
      <c r="CJ1" s="557" t="s">
        <v>332</v>
      </c>
      <c r="CK1" s="93" t="s">
        <v>462</v>
      </c>
      <c r="CL1" s="549" t="s">
        <v>464</v>
      </c>
      <c r="CM1" s="589" t="s">
        <v>442</v>
      </c>
      <c r="CN1" s="590"/>
      <c r="CO1" s="591"/>
      <c r="CP1" s="580" t="s">
        <v>449</v>
      </c>
      <c r="CQ1" s="580" t="s">
        <v>447</v>
      </c>
      <c r="CR1" s="580" t="s">
        <v>448</v>
      </c>
      <c r="CS1" s="580" t="s">
        <v>406</v>
      </c>
      <c r="CT1" s="587" t="s">
        <v>313</v>
      </c>
      <c r="CU1" s="588"/>
      <c r="CV1" s="583" t="s">
        <v>334</v>
      </c>
      <c r="CW1" s="563" t="s">
        <v>335</v>
      </c>
      <c r="CX1" s="560" t="s">
        <v>336</v>
      </c>
    </row>
    <row r="2" spans="1:102" ht="18.75" customHeight="1">
      <c r="A2" s="567"/>
      <c r="B2" s="567"/>
      <c r="C2" s="573"/>
      <c r="D2" s="574"/>
      <c r="E2" s="570"/>
      <c r="F2" s="548">
        <f>IF(KDOKE!A11="","",KDOKE!A11)</f>
        <v>31</v>
      </c>
      <c r="G2" s="548"/>
      <c r="H2" s="548"/>
      <c r="I2" s="548"/>
      <c r="J2" s="548"/>
      <c r="K2" s="548"/>
      <c r="L2" s="548"/>
      <c r="M2" s="544"/>
      <c r="N2" s="576">
        <f>IF(KDOKE!A12="","",KDOKE!A12)</f>
        <v>32</v>
      </c>
      <c r="O2" s="576"/>
      <c r="P2" s="576"/>
      <c r="Q2" s="576"/>
      <c r="R2" s="576"/>
      <c r="S2" s="576"/>
      <c r="T2" s="576"/>
      <c r="U2" s="544"/>
      <c r="V2" s="547">
        <f>IF(KDOKE!A13="","",KDOKE!A13)</f>
        <v>33</v>
      </c>
      <c r="W2" s="547"/>
      <c r="X2" s="547"/>
      <c r="Y2" s="547"/>
      <c r="Z2" s="547"/>
      <c r="AA2" s="547"/>
      <c r="AB2" s="547"/>
      <c r="AC2" s="544"/>
      <c r="AD2" s="546">
        <f>IF(KDOKE!A14="","",KDOKE!A14)</f>
        <v>34</v>
      </c>
      <c r="AE2" s="546"/>
      <c r="AF2" s="546"/>
      <c r="AG2" s="546"/>
      <c r="AH2" s="546"/>
      <c r="AI2" s="546"/>
      <c r="AJ2" s="546"/>
      <c r="AK2" s="544"/>
      <c r="AL2" s="548">
        <f>IF(KDOKE!A15="","",KDOKE!A15)</f>
        <v>35</v>
      </c>
      <c r="AM2" s="548"/>
      <c r="AN2" s="548"/>
      <c r="AO2" s="548"/>
      <c r="AP2" s="548"/>
      <c r="AQ2" s="548"/>
      <c r="AR2" s="548"/>
      <c r="AS2" s="544"/>
      <c r="AT2" s="545">
        <f>IF(KDOKE!A16="","",KDOKE!A16)</f>
        <v>36</v>
      </c>
      <c r="AU2" s="545"/>
      <c r="AV2" s="545"/>
      <c r="AW2" s="545"/>
      <c r="AX2" s="545"/>
      <c r="AY2" s="545"/>
      <c r="AZ2" s="545"/>
      <c r="BA2" s="544"/>
      <c r="BB2" s="572">
        <f>IF(KDOKE!A17="","",KDOKE!A17)</f>
        <v>37</v>
      </c>
      <c r="BC2" s="572"/>
      <c r="BD2" s="572"/>
      <c r="BE2" s="572"/>
      <c r="BF2" s="572"/>
      <c r="BG2" s="572"/>
      <c r="BH2" s="572"/>
      <c r="BI2" s="544"/>
      <c r="BJ2" s="553">
        <f>IF(KDOKE!A18="","",KDOKE!A18)</f>
        <v>38</v>
      </c>
      <c r="BK2" s="553"/>
      <c r="BL2" s="553"/>
      <c r="BM2" s="553"/>
      <c r="BN2" s="553"/>
      <c r="BO2" s="553"/>
      <c r="BP2" s="553"/>
      <c r="BQ2" s="544"/>
      <c r="BR2" s="556">
        <f>IF(KDOKE!A19="","",KDOKE!A19)</f>
        <v>39</v>
      </c>
      <c r="BS2" s="556"/>
      <c r="BT2" s="556"/>
      <c r="BU2" s="556"/>
      <c r="BV2" s="556"/>
      <c r="BW2" s="556"/>
      <c r="BX2" s="556"/>
      <c r="BY2" s="544"/>
      <c r="BZ2" s="545">
        <f>IF(KDOKE!A20="","",KDOKE!A20)</f>
        <v>310</v>
      </c>
      <c r="CA2" s="545"/>
      <c r="CB2" s="545"/>
      <c r="CC2" s="545"/>
      <c r="CD2" s="545"/>
      <c r="CE2" s="545"/>
      <c r="CF2" s="545"/>
      <c r="CG2" s="544"/>
      <c r="CH2" s="552"/>
      <c r="CI2" s="578"/>
      <c r="CJ2" s="558"/>
      <c r="CK2" s="554" t="s">
        <v>463</v>
      </c>
      <c r="CL2" s="550"/>
      <c r="CM2" s="305" t="s">
        <v>444</v>
      </c>
      <c r="CN2" s="305" t="s">
        <v>445</v>
      </c>
      <c r="CO2" s="305" t="s">
        <v>446</v>
      </c>
      <c r="CP2" s="581"/>
      <c r="CQ2" s="581"/>
      <c r="CR2" s="581"/>
      <c r="CS2" s="581"/>
      <c r="CT2" s="586">
        <f>menu!B18</f>
        <v>72</v>
      </c>
      <c r="CU2" s="586"/>
      <c r="CV2" s="584"/>
      <c r="CW2" s="564"/>
      <c r="CX2" s="561"/>
    </row>
    <row r="3" spans="1:102" s="98" customFormat="1" ht="81" customHeight="1">
      <c r="A3" s="568"/>
      <c r="B3" s="568"/>
      <c r="C3" s="573"/>
      <c r="D3" s="574"/>
      <c r="E3" s="571"/>
      <c r="F3" s="96" t="s">
        <v>5</v>
      </c>
      <c r="G3" s="96" t="s">
        <v>3</v>
      </c>
      <c r="H3" s="97" t="s">
        <v>4</v>
      </c>
      <c r="I3" s="96" t="s">
        <v>32</v>
      </c>
      <c r="J3" s="307" t="s">
        <v>460</v>
      </c>
      <c r="K3" s="96" t="s">
        <v>50</v>
      </c>
      <c r="L3" s="96" t="s">
        <v>51</v>
      </c>
      <c r="M3" s="544"/>
      <c r="N3" s="96" t="s">
        <v>5</v>
      </c>
      <c r="O3" s="96" t="s">
        <v>3</v>
      </c>
      <c r="P3" s="97" t="s">
        <v>4</v>
      </c>
      <c r="Q3" s="96" t="s">
        <v>32</v>
      </c>
      <c r="R3" s="307" t="s">
        <v>460</v>
      </c>
      <c r="S3" s="96" t="s">
        <v>50</v>
      </c>
      <c r="T3" s="96" t="s">
        <v>51</v>
      </c>
      <c r="U3" s="544"/>
      <c r="V3" s="96" t="s">
        <v>5</v>
      </c>
      <c r="W3" s="96" t="s">
        <v>3</v>
      </c>
      <c r="X3" s="97" t="s">
        <v>4</v>
      </c>
      <c r="Y3" s="96" t="s">
        <v>32</v>
      </c>
      <c r="Z3" s="307" t="s">
        <v>460</v>
      </c>
      <c r="AA3" s="96" t="s">
        <v>50</v>
      </c>
      <c r="AB3" s="96" t="s">
        <v>51</v>
      </c>
      <c r="AC3" s="544"/>
      <c r="AD3" s="96" t="s">
        <v>5</v>
      </c>
      <c r="AE3" s="96" t="s">
        <v>3</v>
      </c>
      <c r="AF3" s="97" t="s">
        <v>4</v>
      </c>
      <c r="AG3" s="96" t="s">
        <v>32</v>
      </c>
      <c r="AH3" s="307" t="s">
        <v>460</v>
      </c>
      <c r="AI3" s="96" t="s">
        <v>50</v>
      </c>
      <c r="AJ3" s="96" t="s">
        <v>51</v>
      </c>
      <c r="AK3" s="544"/>
      <c r="AL3" s="96" t="s">
        <v>5</v>
      </c>
      <c r="AM3" s="96" t="s">
        <v>3</v>
      </c>
      <c r="AN3" s="97" t="s">
        <v>4</v>
      </c>
      <c r="AO3" s="96" t="s">
        <v>32</v>
      </c>
      <c r="AP3" s="307" t="s">
        <v>460</v>
      </c>
      <c r="AQ3" s="96" t="s">
        <v>50</v>
      </c>
      <c r="AR3" s="96" t="s">
        <v>51</v>
      </c>
      <c r="AS3" s="544"/>
      <c r="AT3" s="96" t="s">
        <v>5</v>
      </c>
      <c r="AU3" s="96" t="s">
        <v>3</v>
      </c>
      <c r="AV3" s="97" t="s">
        <v>4</v>
      </c>
      <c r="AW3" s="96" t="s">
        <v>32</v>
      </c>
      <c r="AX3" s="307" t="s">
        <v>460</v>
      </c>
      <c r="AY3" s="96" t="s">
        <v>50</v>
      </c>
      <c r="AZ3" s="96" t="s">
        <v>51</v>
      </c>
      <c r="BA3" s="544"/>
      <c r="BB3" s="96" t="s">
        <v>5</v>
      </c>
      <c r="BC3" s="96" t="s">
        <v>3</v>
      </c>
      <c r="BD3" s="97" t="s">
        <v>4</v>
      </c>
      <c r="BE3" s="96" t="s">
        <v>32</v>
      </c>
      <c r="BF3" s="307" t="s">
        <v>460</v>
      </c>
      <c r="BG3" s="96" t="s">
        <v>50</v>
      </c>
      <c r="BH3" s="96" t="s">
        <v>51</v>
      </c>
      <c r="BI3" s="544"/>
      <c r="BJ3" s="96" t="s">
        <v>5</v>
      </c>
      <c r="BK3" s="96" t="s">
        <v>3</v>
      </c>
      <c r="BL3" s="97" t="s">
        <v>4</v>
      </c>
      <c r="BM3" s="96" t="s">
        <v>32</v>
      </c>
      <c r="BN3" s="307" t="s">
        <v>460</v>
      </c>
      <c r="BO3" s="96" t="s">
        <v>50</v>
      </c>
      <c r="BP3" s="96" t="s">
        <v>51</v>
      </c>
      <c r="BQ3" s="544"/>
      <c r="BR3" s="96" t="s">
        <v>5</v>
      </c>
      <c r="BS3" s="96" t="s">
        <v>3</v>
      </c>
      <c r="BT3" s="97" t="s">
        <v>4</v>
      </c>
      <c r="BU3" s="96" t="s">
        <v>32</v>
      </c>
      <c r="BV3" s="307" t="s">
        <v>460</v>
      </c>
      <c r="BW3" s="96" t="s">
        <v>50</v>
      </c>
      <c r="BX3" s="96" t="s">
        <v>51</v>
      </c>
      <c r="BY3" s="544"/>
      <c r="BZ3" s="96" t="s">
        <v>5</v>
      </c>
      <c r="CA3" s="96" t="s">
        <v>3</v>
      </c>
      <c r="CB3" s="97" t="s">
        <v>4</v>
      </c>
      <c r="CC3" s="96" t="s">
        <v>32</v>
      </c>
      <c r="CD3" s="307" t="s">
        <v>460</v>
      </c>
      <c r="CE3" s="96" t="s">
        <v>50</v>
      </c>
      <c r="CF3" s="96" t="s">
        <v>51</v>
      </c>
      <c r="CG3" s="544"/>
      <c r="CH3" s="552"/>
      <c r="CI3" s="579"/>
      <c r="CJ3" s="559"/>
      <c r="CK3" s="555"/>
      <c r="CL3" s="551"/>
      <c r="CM3" s="304">
        <v>3</v>
      </c>
      <c r="CN3" s="304">
        <v>1.5</v>
      </c>
      <c r="CO3" s="304">
        <v>0.5</v>
      </c>
      <c r="CP3" s="582"/>
      <c r="CQ3" s="582"/>
      <c r="CR3" s="582"/>
      <c r="CS3" s="582"/>
      <c r="CT3" s="226" t="s">
        <v>404</v>
      </c>
      <c r="CU3" s="226" t="s">
        <v>405</v>
      </c>
      <c r="CV3" s="585"/>
      <c r="CW3" s="565"/>
      <c r="CX3" s="562"/>
    </row>
    <row r="4" spans="1:102" ht="18.75" customHeight="1">
      <c r="A4" s="99">
        <v>1</v>
      </c>
      <c r="B4" s="99">
        <v>2</v>
      </c>
      <c r="C4" s="99">
        <v>3</v>
      </c>
      <c r="D4" s="99">
        <v>4</v>
      </c>
      <c r="E4" s="99">
        <v>5</v>
      </c>
      <c r="F4" s="99">
        <v>6</v>
      </c>
      <c r="G4" s="99">
        <v>7</v>
      </c>
      <c r="H4" s="99">
        <v>8</v>
      </c>
      <c r="I4" s="99">
        <v>10</v>
      </c>
      <c r="J4" s="99">
        <v>11</v>
      </c>
      <c r="K4" s="99">
        <v>12</v>
      </c>
      <c r="L4" s="99">
        <v>13</v>
      </c>
      <c r="M4" s="114">
        <v>14</v>
      </c>
      <c r="N4" s="99">
        <v>15</v>
      </c>
      <c r="O4" s="99">
        <v>16</v>
      </c>
      <c r="P4" s="99">
        <v>17</v>
      </c>
      <c r="Q4" s="99">
        <v>19</v>
      </c>
      <c r="R4" s="99">
        <v>20</v>
      </c>
      <c r="S4" s="99">
        <v>21</v>
      </c>
      <c r="T4" s="99">
        <v>22</v>
      </c>
      <c r="U4" s="114">
        <v>23</v>
      </c>
      <c r="V4" s="99">
        <v>24</v>
      </c>
      <c r="W4" s="99">
        <v>25</v>
      </c>
      <c r="X4" s="99">
        <v>26</v>
      </c>
      <c r="Y4" s="99">
        <v>28</v>
      </c>
      <c r="Z4" s="99">
        <v>29</v>
      </c>
      <c r="AA4" s="99">
        <v>30</v>
      </c>
      <c r="AB4" s="99">
        <v>31</v>
      </c>
      <c r="AC4" s="114">
        <v>32</v>
      </c>
      <c r="AD4" s="99">
        <v>33</v>
      </c>
      <c r="AE4" s="99">
        <v>34</v>
      </c>
      <c r="AF4" s="99">
        <v>35</v>
      </c>
      <c r="AG4" s="99">
        <v>37</v>
      </c>
      <c r="AH4" s="99">
        <v>38</v>
      </c>
      <c r="AI4" s="99">
        <v>39</v>
      </c>
      <c r="AJ4" s="99">
        <v>40</v>
      </c>
      <c r="AK4" s="114">
        <v>41</v>
      </c>
      <c r="AL4" s="99">
        <v>42</v>
      </c>
      <c r="AM4" s="99">
        <v>43</v>
      </c>
      <c r="AN4" s="99">
        <v>44</v>
      </c>
      <c r="AO4" s="99">
        <v>46</v>
      </c>
      <c r="AP4" s="99">
        <v>47</v>
      </c>
      <c r="AQ4" s="99">
        <v>48</v>
      </c>
      <c r="AR4" s="99">
        <v>49</v>
      </c>
      <c r="AS4" s="114">
        <v>50</v>
      </c>
      <c r="AT4" s="99">
        <v>51</v>
      </c>
      <c r="AU4" s="99">
        <v>52</v>
      </c>
      <c r="AV4" s="99">
        <v>53</v>
      </c>
      <c r="AW4" s="99">
        <v>55</v>
      </c>
      <c r="AX4" s="99">
        <v>56</v>
      </c>
      <c r="AY4" s="99">
        <v>57</v>
      </c>
      <c r="AZ4" s="99">
        <v>58</v>
      </c>
      <c r="BA4" s="114">
        <v>59</v>
      </c>
      <c r="BB4" s="99">
        <v>60</v>
      </c>
      <c r="BC4" s="99">
        <v>61</v>
      </c>
      <c r="BD4" s="99">
        <v>62</v>
      </c>
      <c r="BE4" s="99">
        <v>64</v>
      </c>
      <c r="BF4" s="99">
        <v>65</v>
      </c>
      <c r="BG4" s="99">
        <v>66</v>
      </c>
      <c r="BH4" s="99">
        <v>67</v>
      </c>
      <c r="BI4" s="114">
        <v>68</v>
      </c>
      <c r="BJ4" s="99">
        <v>69</v>
      </c>
      <c r="BK4" s="99">
        <v>70</v>
      </c>
      <c r="BL4" s="99">
        <v>71</v>
      </c>
      <c r="BM4" s="99">
        <v>73</v>
      </c>
      <c r="BN4" s="99">
        <v>74</v>
      </c>
      <c r="BO4" s="99">
        <v>75</v>
      </c>
      <c r="BP4" s="99">
        <v>76</v>
      </c>
      <c r="BQ4" s="114">
        <v>77</v>
      </c>
      <c r="BR4" s="99">
        <v>78</v>
      </c>
      <c r="BS4" s="99">
        <v>79</v>
      </c>
      <c r="BT4" s="99">
        <v>80</v>
      </c>
      <c r="BU4" s="99">
        <v>82</v>
      </c>
      <c r="BV4" s="99">
        <v>83</v>
      </c>
      <c r="BW4" s="99">
        <v>84</v>
      </c>
      <c r="BX4" s="99">
        <v>85</v>
      </c>
      <c r="BY4" s="114">
        <v>86</v>
      </c>
      <c r="BZ4" s="99">
        <v>87</v>
      </c>
      <c r="CA4" s="99">
        <v>88</v>
      </c>
      <c r="CB4" s="99">
        <v>89</v>
      </c>
      <c r="CC4" s="99">
        <v>91</v>
      </c>
      <c r="CD4" s="99">
        <v>92</v>
      </c>
      <c r="CE4" s="99">
        <v>93</v>
      </c>
      <c r="CF4" s="99">
        <v>94</v>
      </c>
      <c r="CG4" s="114">
        <v>95</v>
      </c>
      <c r="CH4" s="318">
        <v>96</v>
      </c>
      <c r="CI4" s="99">
        <v>97</v>
      </c>
      <c r="CJ4" s="99">
        <v>98</v>
      </c>
      <c r="CK4" s="99">
        <v>99</v>
      </c>
      <c r="CL4" s="99">
        <v>100</v>
      </c>
      <c r="CM4" s="99">
        <v>101</v>
      </c>
      <c r="CN4" s="99">
        <v>102</v>
      </c>
      <c r="CO4" s="99">
        <v>103</v>
      </c>
      <c r="CP4" s="99">
        <v>104</v>
      </c>
      <c r="CQ4" s="99">
        <v>105</v>
      </c>
      <c r="CR4" s="99">
        <v>106</v>
      </c>
      <c r="CS4" s="99">
        <v>107</v>
      </c>
      <c r="CT4" s="99">
        <v>108</v>
      </c>
      <c r="CU4" s="99">
        <v>109</v>
      </c>
      <c r="CV4" s="99">
        <v>110</v>
      </c>
      <c r="CW4" s="99">
        <v>111</v>
      </c>
      <c r="CX4" s="99">
        <v>112</v>
      </c>
    </row>
    <row r="5" spans="1:102" ht="16.5">
      <c r="A5" s="105">
        <f>'DATA SISWA'!A5</f>
        <v>1</v>
      </c>
      <c r="B5" s="105" t="str">
        <f>'DATA SISWA'!B5</f>
        <v>7643</v>
      </c>
      <c r="C5" s="105" t="str">
        <f>'DATA SISWA'!C5</f>
        <v>ABD MANNAN</v>
      </c>
      <c r="D5" s="105" t="str">
        <f>'DATA SISWA'!D5</f>
        <v>L</v>
      </c>
      <c r="E5" s="105" t="str">
        <f>'DATA SISWA'!E5</f>
        <v>VII-J</v>
      </c>
      <c r="F5" s="407">
        <v>75</v>
      </c>
      <c r="G5" s="101"/>
      <c r="H5" s="407">
        <v>80</v>
      </c>
      <c r="I5" s="407"/>
      <c r="J5" s="308">
        <f>IF(AND(F5="",G5="",H5="",I5=""),"",AVERAGE(F5:I5))</f>
        <v>77.5</v>
      </c>
      <c r="K5" s="101"/>
      <c r="L5" s="101"/>
      <c r="M5" s="317">
        <f>IF(AND(F5="",G5="",H5="",I5=""),"",IF(AND(K5="",L5=""),J5,IF(OR(L5="",K5="",L5&lt;=$CT$2),MAX(J5:L5),$CT$2)))</f>
        <v>77.5</v>
      </c>
      <c r="N5" s="407">
        <v>80</v>
      </c>
      <c r="O5" s="101"/>
      <c r="P5" s="407">
        <v>85</v>
      </c>
      <c r="Q5" s="407"/>
      <c r="R5" s="308">
        <f>IF(AND(N5="",O5="",P5="",Q5=""),"",AVERAGE(N5:Q5))</f>
        <v>82.5</v>
      </c>
      <c r="S5" s="101"/>
      <c r="T5" s="101"/>
      <c r="U5" s="317">
        <f>IF(AND(N5="",O5="",P5="",Q5=""),"",IF(AND(S5="",T5=""),R5,IF(OR(T5="",S5="",T5&lt;=$CT$2),MAX(R5:T5),$CT$2)))</f>
        <v>82.5</v>
      </c>
      <c r="V5" s="101"/>
      <c r="W5" s="101"/>
      <c r="X5" s="101"/>
      <c r="Y5" s="91"/>
      <c r="Z5" s="308" t="str">
        <f>IF(AND(V5="",W5="",X5="",Y5=""),"",AVERAGE(V5:Y5))</f>
        <v/>
      </c>
      <c r="AA5" s="101"/>
      <c r="AB5" s="101"/>
      <c r="AC5" s="317" t="str">
        <f>IF(AND(V5="",W5="",X5="",Y5=""),"",IF(AND(AA5="",AB5=""),Z5,IF(OR(AB5="",AA5="",AB5&lt;=$CT$2),MAX(Z5:AB5),$CT$2)))</f>
        <v/>
      </c>
      <c r="AD5" s="101"/>
      <c r="AE5" s="101"/>
      <c r="AF5" s="101"/>
      <c r="AG5" s="91"/>
      <c r="AH5" s="308" t="str">
        <f>IF(AND(AD5="",AE5="",AF5="",AG5=""),"",AVERAGE(AD5:AG5))</f>
        <v/>
      </c>
      <c r="AI5" s="101"/>
      <c r="AJ5" s="101"/>
      <c r="AK5" s="317" t="str">
        <f>IF(AND(AD5="",AE5="",AF5="",AG5=""),"",IF(AND(AI5="",AJ5=""),AH5,IF(OR(AJ5="",AI5="",AJ5&lt;=$CT$2),MAX(AH5:AJ5),$CT$2)))</f>
        <v/>
      </c>
      <c r="AL5" s="101"/>
      <c r="AM5" s="101"/>
      <c r="AN5" s="101"/>
      <c r="AO5" s="91"/>
      <c r="AP5" s="308" t="str">
        <f>IF(AND(AL5="",AM5="",AN5="",AO5=""),"",AVERAGE(AL5:AO5))</f>
        <v/>
      </c>
      <c r="AQ5" s="101"/>
      <c r="AR5" s="101"/>
      <c r="AS5" s="317" t="str">
        <f>IF(AND(AL5="",AM5="",AN5="",AO5=""),"",IF(AND(AQ5="",AR5=""),AP5,IF(OR(AR5="",AQ5="",AR5&lt;=$CT$2),MAX(AP5:AR5),$CT$2)))</f>
        <v/>
      </c>
      <c r="AT5" s="101"/>
      <c r="AU5" s="101"/>
      <c r="AV5" s="101"/>
      <c r="AW5" s="91"/>
      <c r="AX5" s="308" t="str">
        <f>IF(AND(AT5="",AU5="",AV5="",AW5=""),"",AVERAGE(AT5:AW5))</f>
        <v/>
      </c>
      <c r="AY5" s="101"/>
      <c r="AZ5" s="101"/>
      <c r="BA5" s="317" t="str">
        <f>IF(AND(AT5="",AU5="",AV5="",AW5=""),"",IF(AND(AY5="",AZ5=""),AX5,IF(OR(AZ5="",AY5="",AZ5&lt;=$CT$2),MAX(AX5:AZ5),$CT$2)))</f>
        <v/>
      </c>
      <c r="BB5" s="101"/>
      <c r="BC5" s="101"/>
      <c r="BD5" s="101"/>
      <c r="BE5" s="91"/>
      <c r="BF5" s="308" t="str">
        <f>IF(AND(BB5="",BC5="",BD5="",BE5=""),"",AVERAGE(BB5:BE5))</f>
        <v/>
      </c>
      <c r="BG5" s="101"/>
      <c r="BH5" s="101"/>
      <c r="BI5" s="317" t="str">
        <f>IF(AND(BB5="",BC5="",BD5="",BE5=""),"",IF(AND(BG5="",BH5=""),BF5,IF(OR(BH5="",BG5="",BH5&lt;=$CT$2),MAX(BF5:BH5),$CT$2)))</f>
        <v/>
      </c>
      <c r="BJ5" s="101"/>
      <c r="BK5" s="101"/>
      <c r="BL5" s="101"/>
      <c r="BM5" s="91"/>
      <c r="BN5" s="308" t="str">
        <f>IF(AND(BJ5="",BK5="",BL5="",BM5=""),"",AVERAGE(BJ5:BM5))</f>
        <v/>
      </c>
      <c r="BO5" s="101"/>
      <c r="BP5" s="101"/>
      <c r="BQ5" s="317" t="str">
        <f>IF(AND(BJ5="",BK5="",BL5="",BM5=""),"",IF(AND(BO5="",BP5=""),BN5,IF(OR(BP5="",BO5="",BP5&lt;=$CT$2),MAX(BN5:BP5),$CT$2)))</f>
        <v/>
      </c>
      <c r="BR5" s="101"/>
      <c r="BS5" s="101"/>
      <c r="BT5" s="101"/>
      <c r="BU5" s="91"/>
      <c r="BV5" s="308" t="str">
        <f>IF(AND(BR5="",BS5="",BT5="",BU5=""),"",AVERAGE(BR5:BU5))</f>
        <v/>
      </c>
      <c r="BW5" s="101"/>
      <c r="BX5" s="101"/>
      <c r="BY5" s="317" t="str">
        <f>IF(AND(BR5="",BS5="",BT5="",BU5=""),"",IF(AND(BW5="",BX5=""),BV5,IF(OR(BX5="",BW5="",BX5&lt;=$CT$2),MAX(BV5:BX5),$CT$2)))</f>
        <v/>
      </c>
      <c r="BZ5" s="101"/>
      <c r="CA5" s="101"/>
      <c r="CB5" s="101"/>
      <c r="CC5" s="91"/>
      <c r="CD5" s="308" t="str">
        <f>IF(AND(BZ5="",CA5="",CB5="",CC5=""),"",AVERAGE(BZ5:CC5))</f>
        <v/>
      </c>
      <c r="CE5" s="101"/>
      <c r="CF5" s="101"/>
      <c r="CG5" s="317" t="str">
        <f>IF(AND(BZ5="",CA5="",CB5="",CC5=""),"",IF(AND(CE5="",CF5=""),CD5,IF(OR(CF5="",CE5="",CF5&lt;=$CT$2),MAX(CD5:CF5),$CT$2)))</f>
        <v/>
      </c>
      <c r="CH5" s="319">
        <f t="shared" ref="CH5:CH52" si="0">IF(AND(M5="",U5=""),"",AVERAGE(M5,U5,AC5,AK5,AS5,BA5,BI5,BQ5,BY5,CG5))</f>
        <v>80</v>
      </c>
      <c r="CI5" s="105">
        <f t="shared" ref="CI5:CI52" si="1">MAX(M5,U5,AC5,AK5,AS5,BA5,BI5,BQ5,BY5,CG5)</f>
        <v>82.5</v>
      </c>
      <c r="CJ5" s="105">
        <f t="shared" ref="CJ5:CJ52" si="2">MIN(M5,U5,AC5,AK5,AS5,BA5,BI5,BQ5,BY5,CG5)</f>
        <v>77.5</v>
      </c>
      <c r="CK5" s="408">
        <v>70</v>
      </c>
      <c r="CL5" s="101">
        <v>70</v>
      </c>
      <c r="CM5" s="320">
        <f>IF(CH5="","",CH5*$CM$3)</f>
        <v>240</v>
      </c>
      <c r="CN5" s="320">
        <f>IF(CK5="","",CK5*$CN$3)</f>
        <v>105</v>
      </c>
      <c r="CO5" s="320">
        <f>IF(CL5="","",CL5*$CO$3)</f>
        <v>35</v>
      </c>
      <c r="CP5" s="227">
        <f>IF(OR(CH5="",CK5="",CL5=""),"",(SUM(CM5:CO5)/SUM($CM$3:$CO$3)))</f>
        <v>76</v>
      </c>
      <c r="CQ5" s="321">
        <f>IF(CP5="","",ROUNDUP(CP5,0))</f>
        <v>76</v>
      </c>
      <c r="CR5" s="106" t="str">
        <f>IF(CQ5="","",IF(CQ5&gt;85,"A",IF(CQ5&gt;70,"B",IF(CQ5&gt;55,"C","D"))))</f>
        <v>B</v>
      </c>
      <c r="CS5" s="106" t="str">
        <f>IF(CQ5="","",IF(CQ5&gt;85,"sangat baik",IF(CQ5&gt;70,"baik",IF(CQ5&gt;55,"cukup","kurang"))))</f>
        <v>baik</v>
      </c>
      <c r="CT5" s="106" t="str">
        <f>IF(CI5="","",IF(CI5&gt;=$CT$2,"TUNTAS","TIDAK"))</f>
        <v>TUNTAS</v>
      </c>
      <c r="CU5" s="106" t="str">
        <f>IF(CJ5="","",IF(CJ5&gt;=$CT$2,"TUNTAS","TIDAK"))</f>
        <v>TUNTAS</v>
      </c>
      <c r="CV5" s="116" t="str">
        <f>IF(CP5="","",IF(AND(CT5="TUNTAS",CU5="TUNTAS"),"Penguasaan materi sudah "&amp;CS5&amp;" "&amp;"dalam "&amp;CW5,IF(AND(CT5="TUNTAS",CU5="TIDAK"),"Penguasaan semua materi "&amp;CS5&amp;", "&amp;" sudah menguasai "&amp;CW5&amp;", "&amp;"dan perlu ditingkatkan dalam "&amp;CX5,"Perlu perbaikan pada semua materi")))</f>
        <v>Penguasaan materi sudah baik dalam Menelaah struktur  dan kebahasaan puisi rakyat (pantun, syair, dan bentuk puisi rakyat setempat) yang dibaca dan didengar</v>
      </c>
      <c r="CW5" s="108" t="str">
        <f>IF(CI5="","",VLOOKUP(CI5,DATAPENG!$B$3:$C$12,2,FALSE))</f>
        <v>Menelaah struktur  dan kebahasaan puisi rakyat (pantun, syair, dan bentuk puisi rakyat setempat) yang dibaca dan didengar</v>
      </c>
      <c r="CX5" s="108" t="str">
        <f>IF(CJ5="","",VLOOKUP(CJ5,DATAPENG!$B$3:$C$12,2,FALSE))</f>
        <v>Mengidentifikasi informasi (pesan, rima, dan pilihan kata) dari puisi rakyat (pantun, syair, dan bentuk puisi rakyat setempat) yang dibaca dan didengar</v>
      </c>
    </row>
    <row r="6" spans="1:102" ht="16.5">
      <c r="A6" s="105">
        <f>'DATA SISWA'!A6</f>
        <v>2</v>
      </c>
      <c r="B6" s="105">
        <f>'DATA SISWA'!B6</f>
        <v>0</v>
      </c>
      <c r="C6" s="105">
        <f>'DATA SISWA'!C6</f>
        <v>0</v>
      </c>
      <c r="D6" s="105">
        <f>'DATA SISWA'!D6</f>
        <v>0</v>
      </c>
      <c r="E6" s="105" t="str">
        <f>'DATA SISWA'!E6</f>
        <v>VII-J</v>
      </c>
      <c r="F6" s="407"/>
      <c r="G6" s="101"/>
      <c r="H6" s="407"/>
      <c r="I6" s="407"/>
      <c r="J6" s="308" t="str">
        <f t="shared" ref="J6:J8" si="3">IF(AND(F6="",G6="",H6="",I6=""),"",AVERAGE(F6:I6))</f>
        <v/>
      </c>
      <c r="K6" s="101"/>
      <c r="L6" s="101"/>
      <c r="M6" s="317" t="str">
        <f t="shared" ref="M6:M8" si="4">IF(AND(F6="",G6="",H6="",I6=""),"",IF(AND(K6="",L6=""),J6,IF(OR(L6="",K6="",L6&lt;=$CT$2),MAX(J6:L6),$CT$2)))</f>
        <v/>
      </c>
      <c r="N6" s="407"/>
      <c r="O6" s="101"/>
      <c r="P6" s="407"/>
      <c r="Q6" s="407"/>
      <c r="R6" s="308" t="str">
        <f t="shared" ref="R6:R8" si="5">IF(AND(N6="",O6="",P6="",Q6=""),"",AVERAGE(N6:Q6))</f>
        <v/>
      </c>
      <c r="S6" s="101"/>
      <c r="T6" s="101"/>
      <c r="U6" s="317" t="str">
        <f t="shared" ref="U6:U8" si="6">IF(AND(N6="",O6="",P6="",Q6=""),"",IF(AND(S6="",T6=""),R6,IF(OR(T6="",S6="",T6&lt;=$CT$2),MAX(R6:T6),$CT$2)))</f>
        <v/>
      </c>
      <c r="V6" s="101"/>
      <c r="W6" s="101"/>
      <c r="X6" s="101"/>
      <c r="Y6" s="91"/>
      <c r="Z6" s="308" t="str">
        <f t="shared" ref="Z6:Z8" si="7">IF(AND(V6="",W6="",X6="",Y6=""),"",AVERAGE(V6:Y6))</f>
        <v/>
      </c>
      <c r="AA6" s="101"/>
      <c r="AB6" s="101"/>
      <c r="AC6" s="317" t="str">
        <f t="shared" ref="AC6:AC8" si="8">IF(AND(V6="",W6="",X6="",Y6=""),"",IF(AND(AA6="",AB6=""),Z6,IF(OR(AB6="",AA6="",AB6&lt;=$CT$2),MAX(Z6:AB6),$CT$2)))</f>
        <v/>
      </c>
      <c r="AD6" s="101"/>
      <c r="AE6" s="101"/>
      <c r="AF6" s="101"/>
      <c r="AG6" s="91"/>
      <c r="AH6" s="308" t="str">
        <f t="shared" ref="AH6:AH8" si="9">IF(AND(AD6="",AE6="",AF6="",AG6=""),"",AVERAGE(AD6:AG6))</f>
        <v/>
      </c>
      <c r="AI6" s="101"/>
      <c r="AJ6" s="101"/>
      <c r="AK6" s="317" t="str">
        <f t="shared" ref="AK6:AK8" si="10">IF(AND(AD6="",AE6="",AF6="",AG6=""),"",IF(AND(AI6="",AJ6=""),AH6,IF(OR(AJ6="",AI6="",AJ6&lt;=$CT$2),MAX(AH6:AJ6),$CT$2)))</f>
        <v/>
      </c>
      <c r="AL6" s="101"/>
      <c r="AM6" s="101"/>
      <c r="AN6" s="101"/>
      <c r="AO6" s="91"/>
      <c r="AP6" s="308" t="str">
        <f t="shared" ref="AP6:AP8" si="11">IF(AND(AL6="",AM6="",AN6="",AO6=""),"",AVERAGE(AL6:AO6))</f>
        <v/>
      </c>
      <c r="AQ6" s="101"/>
      <c r="AR6" s="101"/>
      <c r="AS6" s="317" t="str">
        <f t="shared" ref="AS6:AS8" si="12">IF(AND(AL6="",AM6="",AN6="",AO6=""),"",IF(AND(AQ6="",AR6=""),AP6,IF(OR(AR6="",AQ6="",AR6&lt;=$CT$2),MAX(AP6:AR6),$CT$2)))</f>
        <v/>
      </c>
      <c r="AT6" s="101"/>
      <c r="AU6" s="101"/>
      <c r="AV6" s="101"/>
      <c r="AW6" s="91"/>
      <c r="AX6" s="308" t="str">
        <f t="shared" ref="AX6:AX8" si="13">IF(AND(AT6="",AU6="",AV6="",AW6=""),"",AVERAGE(AT6:AW6))</f>
        <v/>
      </c>
      <c r="AY6" s="101"/>
      <c r="AZ6" s="101"/>
      <c r="BA6" s="317" t="str">
        <f t="shared" ref="BA6:BA8" si="14">IF(AND(AT6="",AU6="",AV6="",AW6=""),"",IF(AND(AY6="",AZ6=""),AX6,IF(OR(AZ6="",AY6="",AZ6&lt;=$CT$2),MAX(AX6:AZ6),$CT$2)))</f>
        <v/>
      </c>
      <c r="BB6" s="101"/>
      <c r="BC6" s="101"/>
      <c r="BD6" s="101"/>
      <c r="BE6" s="91"/>
      <c r="BF6" s="308" t="str">
        <f t="shared" ref="BF6:BF8" si="15">IF(AND(BB6="",BC6="",BD6="",BE6=""),"",AVERAGE(BB6:BE6))</f>
        <v/>
      </c>
      <c r="BG6" s="101"/>
      <c r="BH6" s="101"/>
      <c r="BI6" s="317" t="str">
        <f t="shared" ref="BI6:BI8" si="16">IF(AND(BB6="",BC6="",BD6="",BE6=""),"",IF(AND(BG6="",BH6=""),BF6,IF(OR(BH6="",BG6="",BH6&lt;=$CT$2),MAX(BF6:BH6),$CT$2)))</f>
        <v/>
      </c>
      <c r="BJ6" s="101"/>
      <c r="BK6" s="101"/>
      <c r="BL6" s="101"/>
      <c r="BM6" s="91"/>
      <c r="BN6" s="308" t="str">
        <f t="shared" ref="BN6:BN8" si="17">IF(AND(BJ6="",BK6="",BL6="",BM6=""),"",AVERAGE(BJ6:BM6))</f>
        <v/>
      </c>
      <c r="BO6" s="101"/>
      <c r="BP6" s="101"/>
      <c r="BQ6" s="317" t="str">
        <f t="shared" ref="BQ6:BQ8" si="18">IF(AND(BJ6="",BK6="",BL6="",BM6=""),"",IF(AND(BO6="",BP6=""),BN6,IF(OR(BP6="",BO6="",BP6&lt;=$CT$2),MAX(BN6:BP6),$CT$2)))</f>
        <v/>
      </c>
      <c r="BR6" s="101"/>
      <c r="BS6" s="101"/>
      <c r="BT6" s="101"/>
      <c r="BU6" s="91"/>
      <c r="BV6" s="308" t="str">
        <f t="shared" ref="BV6:BV8" si="19">IF(AND(BR6="",BS6="",BT6="",BU6=""),"",AVERAGE(BR6:BU6))</f>
        <v/>
      </c>
      <c r="BW6" s="101"/>
      <c r="BX6" s="101"/>
      <c r="BY6" s="317" t="str">
        <f t="shared" ref="BY6:BY8" si="20">IF(AND(BR6="",BS6="",BT6="",BU6=""),"",IF(AND(BW6="",BX6=""),BV6,IF(OR(BX6="",BW6="",BX6&lt;=$CT$2),MAX(BV6:BX6),$CT$2)))</f>
        <v/>
      </c>
      <c r="BZ6" s="101"/>
      <c r="CA6" s="101"/>
      <c r="CB6" s="101"/>
      <c r="CC6" s="91"/>
      <c r="CD6" s="308" t="str">
        <f t="shared" ref="CD6:CD8" si="21">IF(AND(BZ6="",CA6="",CB6="",CC6=""),"",AVERAGE(BZ6:CC6))</f>
        <v/>
      </c>
      <c r="CE6" s="101"/>
      <c r="CF6" s="101"/>
      <c r="CG6" s="317" t="str">
        <f t="shared" ref="CG6:CG8" si="22">IF(AND(BZ6="",CA6="",CB6="",CC6=""),"",IF(AND(CE6="",CF6=""),CD6,IF(OR(CF6="",CE6="",CF6&lt;=$CT$2),MAX(CD6:CF6),$CT$2)))</f>
        <v/>
      </c>
      <c r="CH6" s="319" t="str">
        <f t="shared" si="0"/>
        <v/>
      </c>
      <c r="CI6" s="105">
        <f t="shared" si="1"/>
        <v>0</v>
      </c>
      <c r="CJ6" s="105">
        <f t="shared" si="2"/>
        <v>0</v>
      </c>
      <c r="CK6" s="408"/>
      <c r="CL6" s="101"/>
      <c r="CM6" s="320" t="str">
        <f t="shared" ref="CM6:CM52" si="23">IF(CH6="","",CH6*$CM$3)</f>
        <v/>
      </c>
      <c r="CN6" s="320" t="str">
        <f t="shared" ref="CN6:CN52" si="24">IF(CK6="","",CK6*$CN$3)</f>
        <v/>
      </c>
      <c r="CO6" s="320" t="str">
        <f t="shared" ref="CO6:CO52" si="25">IF(CL6="","",CL6*$CO$3)</f>
        <v/>
      </c>
      <c r="CP6" s="227" t="str">
        <f t="shared" ref="CP6:CP52" si="26">IF(OR(CH6="",CK6="",CL6=""),"",(SUM(CM6:CO6)/SUM($CM$3:$CO$3)))</f>
        <v/>
      </c>
      <c r="CQ6" s="321" t="str">
        <f t="shared" ref="CQ6:CQ52" si="27">IF(CP6="","",ROUNDUP(CP6,0))</f>
        <v/>
      </c>
      <c r="CR6" s="106" t="str">
        <f t="shared" ref="CR6:CR52" si="28">IF(CQ6="","",IF(CQ6&gt;85,"A",IF(CQ6&gt;70,"B",IF(CQ6&gt;55,"C","D"))))</f>
        <v/>
      </c>
      <c r="CS6" s="106" t="str">
        <f t="shared" ref="CS6:CS52" si="29">IF(CQ6="","",IF(CQ6&gt;85,"sangat baik",IF(CQ6&gt;70,"baik",IF(CQ6&gt;55,"cukup","kurang"))))</f>
        <v/>
      </c>
      <c r="CT6" s="106" t="str">
        <f t="shared" ref="CT6:CT52" si="30">IF(CI6="","",IF(CI6&gt;=$CT$2,"TUNTAS","TIDAK"))</f>
        <v>TIDAK</v>
      </c>
      <c r="CU6" s="106" t="str">
        <f t="shared" ref="CU6:CU52" si="31">IF(CJ6="","",IF(CJ6&gt;=$CT$2,"TUNTAS","TIDAK"))</f>
        <v>TIDAK</v>
      </c>
      <c r="CV6" s="116" t="str">
        <f t="shared" ref="CV6:CV52" si="32">IF(CP6="","",IF(AND(CT6="TUNTAS",CU6="TUNTAS"),"Penguasaan materi sudah "&amp;CS6&amp;" "&amp;"dalam "&amp;CW6,IF(AND(CT6="TUNTAS",CU6="TIDAK"),"Penguasaan semua materi "&amp;CS6&amp;", "&amp;" sudah menguasai "&amp;CW6&amp;", "&amp;"dan perlu ditingkatkan dalam "&amp;CX6,"Perlu perbaikan pada semua materi")))</f>
        <v/>
      </c>
      <c r="CW6" s="109" t="e">
        <f>IF(CI6="","",VLOOKUP(CI6,DATAPENG!$D$3:$E$12,2,FALSE))</f>
        <v>#N/A</v>
      </c>
      <c r="CX6" s="109" t="e">
        <f>IF(CJ6="","",VLOOKUP(CJ6,DATAPENG!$D$3:$E$12,2,FALSE))</f>
        <v>#N/A</v>
      </c>
    </row>
    <row r="7" spans="1:102" ht="16.5">
      <c r="A7" s="105">
        <f>'DATA SISWA'!A7</f>
        <v>3</v>
      </c>
      <c r="B7" s="105" t="str">
        <f>'DATA SISWA'!B7</f>
        <v>7645</v>
      </c>
      <c r="C7" s="105" t="str">
        <f>'DATA SISWA'!C7</f>
        <v>ACHMAD ALFARESI</v>
      </c>
      <c r="D7" s="105" t="str">
        <f>'DATA SISWA'!D7</f>
        <v>L</v>
      </c>
      <c r="E7" s="105" t="str">
        <f>'DATA SISWA'!E7</f>
        <v>VII-J</v>
      </c>
      <c r="F7" s="407">
        <v>85</v>
      </c>
      <c r="G7" s="101"/>
      <c r="H7" s="407">
        <v>80</v>
      </c>
      <c r="I7" s="407"/>
      <c r="J7" s="308">
        <f t="shared" si="3"/>
        <v>82.5</v>
      </c>
      <c r="K7" s="101"/>
      <c r="L7" s="101"/>
      <c r="M7" s="317">
        <f t="shared" si="4"/>
        <v>82.5</v>
      </c>
      <c r="N7" s="407">
        <v>85</v>
      </c>
      <c r="O7" s="101"/>
      <c r="P7" s="407">
        <v>85</v>
      </c>
      <c r="Q7" s="407"/>
      <c r="R7" s="308">
        <f t="shared" si="5"/>
        <v>85</v>
      </c>
      <c r="S7" s="101"/>
      <c r="T7" s="101"/>
      <c r="U7" s="317">
        <f t="shared" si="6"/>
        <v>85</v>
      </c>
      <c r="V7" s="101"/>
      <c r="W7" s="101"/>
      <c r="X7" s="101"/>
      <c r="Y7" s="91"/>
      <c r="Z7" s="308" t="str">
        <f t="shared" si="7"/>
        <v/>
      </c>
      <c r="AA7" s="101"/>
      <c r="AB7" s="101"/>
      <c r="AC7" s="317" t="str">
        <f t="shared" si="8"/>
        <v/>
      </c>
      <c r="AD7" s="101"/>
      <c r="AE7" s="101"/>
      <c r="AF7" s="101"/>
      <c r="AG7" s="91"/>
      <c r="AH7" s="308" t="str">
        <f t="shared" si="9"/>
        <v/>
      </c>
      <c r="AI7" s="101"/>
      <c r="AJ7" s="101"/>
      <c r="AK7" s="317" t="str">
        <f t="shared" si="10"/>
        <v/>
      </c>
      <c r="AL7" s="101"/>
      <c r="AM7" s="101"/>
      <c r="AN7" s="101"/>
      <c r="AO7" s="91"/>
      <c r="AP7" s="308" t="str">
        <f t="shared" si="11"/>
        <v/>
      </c>
      <c r="AQ7" s="101"/>
      <c r="AR7" s="101"/>
      <c r="AS7" s="317" t="str">
        <f t="shared" si="12"/>
        <v/>
      </c>
      <c r="AT7" s="101"/>
      <c r="AU7" s="101"/>
      <c r="AV7" s="101"/>
      <c r="AW7" s="91"/>
      <c r="AX7" s="308" t="str">
        <f t="shared" si="13"/>
        <v/>
      </c>
      <c r="AY7" s="101"/>
      <c r="AZ7" s="101"/>
      <c r="BA7" s="317" t="str">
        <f t="shared" si="14"/>
        <v/>
      </c>
      <c r="BB7" s="101"/>
      <c r="BC7" s="101"/>
      <c r="BD7" s="101"/>
      <c r="BE7" s="91"/>
      <c r="BF7" s="308" t="str">
        <f t="shared" si="15"/>
        <v/>
      </c>
      <c r="BG7" s="101"/>
      <c r="BH7" s="101"/>
      <c r="BI7" s="317" t="str">
        <f t="shared" si="16"/>
        <v/>
      </c>
      <c r="BJ7" s="101"/>
      <c r="BK7" s="101"/>
      <c r="BL7" s="101"/>
      <c r="BM7" s="91"/>
      <c r="BN7" s="308" t="str">
        <f t="shared" si="17"/>
        <v/>
      </c>
      <c r="BO7" s="101"/>
      <c r="BP7" s="101"/>
      <c r="BQ7" s="317" t="str">
        <f t="shared" si="18"/>
        <v/>
      </c>
      <c r="BR7" s="101"/>
      <c r="BS7" s="101"/>
      <c r="BT7" s="101"/>
      <c r="BU7" s="91"/>
      <c r="BV7" s="308" t="str">
        <f t="shared" si="19"/>
        <v/>
      </c>
      <c r="BW7" s="101"/>
      <c r="BX7" s="101"/>
      <c r="BY7" s="317" t="str">
        <f t="shared" si="20"/>
        <v/>
      </c>
      <c r="BZ7" s="101"/>
      <c r="CA7" s="101"/>
      <c r="CB7" s="101"/>
      <c r="CC7" s="91"/>
      <c r="CD7" s="308" t="str">
        <f t="shared" si="21"/>
        <v/>
      </c>
      <c r="CE7" s="101"/>
      <c r="CF7" s="101"/>
      <c r="CG7" s="317" t="str">
        <f t="shared" si="22"/>
        <v/>
      </c>
      <c r="CH7" s="319">
        <f t="shared" si="0"/>
        <v>83.75</v>
      </c>
      <c r="CI7" s="105">
        <f t="shared" si="1"/>
        <v>85</v>
      </c>
      <c r="CJ7" s="105">
        <f t="shared" si="2"/>
        <v>82.5</v>
      </c>
      <c r="CK7" s="408">
        <v>70</v>
      </c>
      <c r="CL7" s="101">
        <v>74</v>
      </c>
      <c r="CM7" s="320">
        <f t="shared" si="23"/>
        <v>251.25</v>
      </c>
      <c r="CN7" s="320">
        <f t="shared" si="24"/>
        <v>105</v>
      </c>
      <c r="CO7" s="320">
        <f t="shared" si="25"/>
        <v>37</v>
      </c>
      <c r="CP7" s="227">
        <f t="shared" si="26"/>
        <v>78.650000000000006</v>
      </c>
      <c r="CQ7" s="321">
        <f t="shared" si="27"/>
        <v>79</v>
      </c>
      <c r="CR7" s="106" t="str">
        <f t="shared" si="28"/>
        <v>B</v>
      </c>
      <c r="CS7" s="106" t="str">
        <f t="shared" si="29"/>
        <v>baik</v>
      </c>
      <c r="CT7" s="106" t="str">
        <f t="shared" si="30"/>
        <v>TUNTAS</v>
      </c>
      <c r="CU7" s="106" t="str">
        <f t="shared" si="31"/>
        <v>TUNTAS</v>
      </c>
      <c r="CV7" s="116" t="str">
        <f t="shared" si="32"/>
        <v>Penguasaan materi sudah baik dalam Menelaah struktur  dan kebahasaan puisi rakyat (pantun, syair, dan bentuk puisi rakyat setempat) yang dibaca dan didengar</v>
      </c>
      <c r="CW7" s="109" t="str">
        <f>IF(CI7="","",VLOOKUP(CI7,DATAPENG!$F$3:$G$12,2,FALSE))</f>
        <v>Menelaah struktur  dan kebahasaan puisi rakyat (pantun, syair, dan bentuk puisi rakyat setempat) yang dibaca dan didengar</v>
      </c>
      <c r="CX7" s="109" t="str">
        <f>IF(CJ7="","",VLOOKUP(CJ7,DATAPENG!$F$3:$G$12,2,FALSE))</f>
        <v>Mengidentifikasi informasi (pesan, rima, dan pilihan kata) dari puisi rakyat (pantun, syair, dan bentuk puisi rakyat setempat) yang dibaca dan didengar</v>
      </c>
    </row>
    <row r="8" spans="1:102" ht="16.5">
      <c r="A8" s="105">
        <f>'DATA SISWA'!A8</f>
        <v>4</v>
      </c>
      <c r="B8" s="105" t="str">
        <f>'DATA SISWA'!B8</f>
        <v>7674</v>
      </c>
      <c r="C8" s="105" t="str">
        <f>'DATA SISWA'!C8</f>
        <v>AGITA ZAHRAH MUFIDAH</v>
      </c>
      <c r="D8" s="105" t="str">
        <f>'DATA SISWA'!D8</f>
        <v>P</v>
      </c>
      <c r="E8" s="105" t="str">
        <f>'DATA SISWA'!E8</f>
        <v>VII-J</v>
      </c>
      <c r="F8" s="407">
        <v>85</v>
      </c>
      <c r="G8" s="101"/>
      <c r="H8" s="407">
        <v>85</v>
      </c>
      <c r="I8" s="407"/>
      <c r="J8" s="308">
        <f t="shared" si="3"/>
        <v>85</v>
      </c>
      <c r="K8" s="101"/>
      <c r="L8" s="101"/>
      <c r="M8" s="317">
        <f t="shared" si="4"/>
        <v>85</v>
      </c>
      <c r="N8" s="407">
        <v>90</v>
      </c>
      <c r="O8" s="101"/>
      <c r="P8" s="407">
        <v>85</v>
      </c>
      <c r="Q8" s="407"/>
      <c r="R8" s="308">
        <f t="shared" si="5"/>
        <v>87.5</v>
      </c>
      <c r="S8" s="101"/>
      <c r="T8" s="101"/>
      <c r="U8" s="317">
        <f t="shared" si="6"/>
        <v>87.5</v>
      </c>
      <c r="V8" s="101"/>
      <c r="W8" s="101"/>
      <c r="X8" s="101"/>
      <c r="Y8" s="91"/>
      <c r="Z8" s="308" t="str">
        <f t="shared" si="7"/>
        <v/>
      </c>
      <c r="AA8" s="101"/>
      <c r="AB8" s="101"/>
      <c r="AC8" s="317" t="str">
        <f t="shared" si="8"/>
        <v/>
      </c>
      <c r="AD8" s="101"/>
      <c r="AE8" s="101"/>
      <c r="AF8" s="101"/>
      <c r="AG8" s="91"/>
      <c r="AH8" s="308" t="str">
        <f t="shared" si="9"/>
        <v/>
      </c>
      <c r="AI8" s="101"/>
      <c r="AJ8" s="101"/>
      <c r="AK8" s="317" t="str">
        <f t="shared" si="10"/>
        <v/>
      </c>
      <c r="AL8" s="101"/>
      <c r="AM8" s="101"/>
      <c r="AN8" s="101"/>
      <c r="AO8" s="91"/>
      <c r="AP8" s="308" t="str">
        <f t="shared" si="11"/>
        <v/>
      </c>
      <c r="AQ8" s="101"/>
      <c r="AR8" s="101"/>
      <c r="AS8" s="317" t="str">
        <f t="shared" si="12"/>
        <v/>
      </c>
      <c r="AT8" s="101"/>
      <c r="AU8" s="101"/>
      <c r="AV8" s="101"/>
      <c r="AW8" s="91"/>
      <c r="AX8" s="308" t="str">
        <f t="shared" si="13"/>
        <v/>
      </c>
      <c r="AY8" s="101"/>
      <c r="AZ8" s="101"/>
      <c r="BA8" s="317" t="str">
        <f t="shared" si="14"/>
        <v/>
      </c>
      <c r="BB8" s="101"/>
      <c r="BC8" s="101"/>
      <c r="BD8" s="101"/>
      <c r="BE8" s="91"/>
      <c r="BF8" s="308" t="str">
        <f t="shared" si="15"/>
        <v/>
      </c>
      <c r="BG8" s="101"/>
      <c r="BH8" s="101"/>
      <c r="BI8" s="317" t="str">
        <f t="shared" si="16"/>
        <v/>
      </c>
      <c r="BJ8" s="101"/>
      <c r="BK8" s="101"/>
      <c r="BL8" s="101"/>
      <c r="BM8" s="91"/>
      <c r="BN8" s="308" t="str">
        <f t="shared" si="17"/>
        <v/>
      </c>
      <c r="BO8" s="101"/>
      <c r="BP8" s="101"/>
      <c r="BQ8" s="317" t="str">
        <f t="shared" si="18"/>
        <v/>
      </c>
      <c r="BR8" s="101"/>
      <c r="BS8" s="101"/>
      <c r="BT8" s="101"/>
      <c r="BU8" s="91"/>
      <c r="BV8" s="308" t="str">
        <f t="shared" si="19"/>
        <v/>
      </c>
      <c r="BW8" s="101"/>
      <c r="BX8" s="101"/>
      <c r="BY8" s="317" t="str">
        <f t="shared" si="20"/>
        <v/>
      </c>
      <c r="BZ8" s="101"/>
      <c r="CA8" s="101"/>
      <c r="CB8" s="101"/>
      <c r="CC8" s="91"/>
      <c r="CD8" s="308" t="str">
        <f t="shared" si="21"/>
        <v/>
      </c>
      <c r="CE8" s="101"/>
      <c r="CF8" s="101"/>
      <c r="CG8" s="317" t="str">
        <f t="shared" si="22"/>
        <v/>
      </c>
      <c r="CH8" s="319">
        <f t="shared" si="0"/>
        <v>86.25</v>
      </c>
      <c r="CI8" s="105">
        <f t="shared" si="1"/>
        <v>87.5</v>
      </c>
      <c r="CJ8" s="105">
        <f t="shared" si="2"/>
        <v>85</v>
      </c>
      <c r="CK8" s="408">
        <v>60</v>
      </c>
      <c r="CL8" s="101">
        <v>70</v>
      </c>
      <c r="CM8" s="320">
        <f t="shared" si="23"/>
        <v>258.75</v>
      </c>
      <c r="CN8" s="320">
        <f t="shared" si="24"/>
        <v>90</v>
      </c>
      <c r="CO8" s="320">
        <f t="shared" si="25"/>
        <v>35</v>
      </c>
      <c r="CP8" s="227">
        <f t="shared" si="26"/>
        <v>76.75</v>
      </c>
      <c r="CQ8" s="321">
        <f t="shared" si="27"/>
        <v>77</v>
      </c>
      <c r="CR8" s="106" t="str">
        <f t="shared" si="28"/>
        <v>B</v>
      </c>
      <c r="CS8" s="106" t="str">
        <f t="shared" si="29"/>
        <v>baik</v>
      </c>
      <c r="CT8" s="106" t="str">
        <f t="shared" si="30"/>
        <v>TUNTAS</v>
      </c>
      <c r="CU8" s="106" t="str">
        <f t="shared" si="31"/>
        <v>TUNTAS</v>
      </c>
      <c r="CV8" s="116" t="str">
        <f t="shared" si="32"/>
        <v>Penguasaan materi sudah baik dalam Menelaah struktur  dan kebahasaan puisi rakyat (pantun, syair, dan bentuk puisi rakyat setempat) yang dibaca dan didengar</v>
      </c>
      <c r="CW8" s="109" t="str">
        <f>IF(CI8="","",VLOOKUP(CI8,DATAPENG!$H$3:$I$12,2,FALSE))</f>
        <v>Menelaah struktur  dan kebahasaan puisi rakyat (pantun, syair, dan bentuk puisi rakyat setempat) yang dibaca dan didengar</v>
      </c>
      <c r="CX8" s="109" t="str">
        <f>IF(CJ8="","",VLOOKUP(CJ8,DATAPENG!$H$3:$I$12,2,FALSE))</f>
        <v>Mengidentifikasi informasi (pesan, rima, dan pilihan kata) dari puisi rakyat (pantun, syair, dan bentuk puisi rakyat setempat) yang dibaca dan didengar</v>
      </c>
    </row>
    <row r="9" spans="1:102" ht="16.5">
      <c r="A9" s="105">
        <f>'DATA SISWA'!A9</f>
        <v>5</v>
      </c>
      <c r="B9" s="105" t="str">
        <f>'DATA SISWA'!B9</f>
        <v>7646</v>
      </c>
      <c r="C9" s="105" t="str">
        <f>'DATA SISWA'!C9</f>
        <v>AHMAD HAMBALI</v>
      </c>
      <c r="D9" s="105" t="str">
        <f>'DATA SISWA'!D9</f>
        <v>L</v>
      </c>
      <c r="E9" s="105" t="str">
        <f>'DATA SISWA'!E9</f>
        <v>VII-J</v>
      </c>
      <c r="F9" s="407">
        <v>90</v>
      </c>
      <c r="G9" s="101"/>
      <c r="H9" s="407">
        <v>90</v>
      </c>
      <c r="I9" s="407"/>
      <c r="J9" s="308">
        <f>IF(AND(F9="",G9="",H9="",I9=""),"",AVERAGE(F9:I9))</f>
        <v>90</v>
      </c>
      <c r="K9" s="101"/>
      <c r="L9" s="101"/>
      <c r="M9" s="317">
        <f>IF(AND(F9="",G9="",H9="",I9=""),"",IF(AND(K9="",L9=""),J9,IF(OR(L9="",K9="",L9&lt;=$CT$2),MAX(J9:L9),$CT$2)))</f>
        <v>90</v>
      </c>
      <c r="N9" s="407">
        <v>85</v>
      </c>
      <c r="O9" s="101"/>
      <c r="P9" s="407">
        <v>90</v>
      </c>
      <c r="Q9" s="407"/>
      <c r="R9" s="308">
        <f>IF(AND(N9="",O9="",P9="",Q9=""),"",AVERAGE(N9:Q9))</f>
        <v>87.5</v>
      </c>
      <c r="S9" s="101"/>
      <c r="T9" s="101"/>
      <c r="U9" s="317">
        <f>IF(AND(N9="",O9="",P9="",Q9=""),"",IF(AND(S9="",T9=""),R9,IF(OR(T9="",S9="",T9&lt;=$CT$2),MAX(R9:T9),$CT$2)))</f>
        <v>87.5</v>
      </c>
      <c r="V9" s="101"/>
      <c r="W9" s="101"/>
      <c r="X9" s="101"/>
      <c r="Y9" s="91"/>
      <c r="Z9" s="308" t="str">
        <f>IF(AND(V9="",W9="",X9="",Y9=""),"",AVERAGE(V9:Y9))</f>
        <v/>
      </c>
      <c r="AA9" s="101"/>
      <c r="AB9" s="101"/>
      <c r="AC9" s="317" t="str">
        <f>IF(AND(V9="",W9="",X9="",Y9=""),"",IF(AND(AA9="",AB9=""),Z9,IF(OR(AB9="",AA9="",AB9&lt;=$CT$2),MAX(Z9:AB9),$CT$2)))</f>
        <v/>
      </c>
      <c r="AD9" s="101"/>
      <c r="AE9" s="101"/>
      <c r="AF9" s="101"/>
      <c r="AG9" s="91"/>
      <c r="AH9" s="308" t="str">
        <f>IF(AND(AD9="",AE9="",AF9="",AG9=""),"",AVERAGE(AD9:AG9))</f>
        <v/>
      </c>
      <c r="AI9" s="101"/>
      <c r="AJ9" s="101"/>
      <c r="AK9" s="317" t="str">
        <f>IF(AND(AD9="",AE9="",AF9="",AG9=""),"",IF(AND(AI9="",AJ9=""),AH9,IF(OR(AJ9="",AI9="",AJ9&lt;=$CT$2),MAX(AH9:AJ9),$CT$2)))</f>
        <v/>
      </c>
      <c r="AL9" s="101"/>
      <c r="AM9" s="101"/>
      <c r="AN9" s="101"/>
      <c r="AO9" s="91"/>
      <c r="AP9" s="308" t="str">
        <f>IF(AND(AL9="",AM9="",AN9="",AO9=""),"",AVERAGE(AL9:AO9))</f>
        <v/>
      </c>
      <c r="AQ9" s="101"/>
      <c r="AR9" s="101"/>
      <c r="AS9" s="317" t="str">
        <f>IF(AND(AL9="",AM9="",AN9="",AO9=""),"",IF(AND(AQ9="",AR9=""),AP9,IF(OR(AR9="",AQ9="",AR9&lt;=$CT$2),MAX(AP9:AR9),$CT$2)))</f>
        <v/>
      </c>
      <c r="AT9" s="101"/>
      <c r="AU9" s="101"/>
      <c r="AV9" s="101"/>
      <c r="AW9" s="91"/>
      <c r="AX9" s="308" t="str">
        <f>IF(AND(AT9="",AU9="",AV9="",AW9=""),"",AVERAGE(AT9:AW9))</f>
        <v/>
      </c>
      <c r="AY9" s="101"/>
      <c r="AZ9" s="101"/>
      <c r="BA9" s="317" t="str">
        <f>IF(AND(AT9="",AU9="",AV9="",AW9=""),"",IF(AND(AY9="",AZ9=""),AX9,IF(OR(AZ9="",AY9="",AZ9&lt;=$CT$2),MAX(AX9:AZ9),$CT$2)))</f>
        <v/>
      </c>
      <c r="BB9" s="101"/>
      <c r="BC9" s="101"/>
      <c r="BD9" s="101"/>
      <c r="BE9" s="91"/>
      <c r="BF9" s="308" t="str">
        <f>IF(AND(BB9="",BC9="",BD9="",BE9=""),"",AVERAGE(BB9:BE9))</f>
        <v/>
      </c>
      <c r="BG9" s="101"/>
      <c r="BH9" s="101"/>
      <c r="BI9" s="317" t="str">
        <f>IF(AND(BB9="",BC9="",BD9="",BE9=""),"",IF(AND(BG9="",BH9=""),BF9,IF(OR(BH9="",BG9="",BH9&lt;=$CT$2),MAX(BF9:BH9),$CT$2)))</f>
        <v/>
      </c>
      <c r="BJ9" s="101"/>
      <c r="BK9" s="101"/>
      <c r="BL9" s="101"/>
      <c r="BM9" s="91"/>
      <c r="BN9" s="308" t="str">
        <f>IF(AND(BJ9="",BK9="",BL9="",BM9=""),"",AVERAGE(BJ9:BM9))</f>
        <v/>
      </c>
      <c r="BO9" s="101"/>
      <c r="BP9" s="101"/>
      <c r="BQ9" s="317" t="str">
        <f>IF(AND(BJ9="",BK9="",BL9="",BM9=""),"",IF(AND(BO9="",BP9=""),BN9,IF(OR(BP9="",BO9="",BP9&lt;=$CT$2),MAX(BN9:BP9),$CT$2)))</f>
        <v/>
      </c>
      <c r="BR9" s="101"/>
      <c r="BS9" s="101"/>
      <c r="BT9" s="101"/>
      <c r="BU9" s="91"/>
      <c r="BV9" s="308" t="str">
        <f>IF(AND(BR9="",BS9="",BT9="",BU9=""),"",AVERAGE(BR9:BU9))</f>
        <v/>
      </c>
      <c r="BW9" s="101"/>
      <c r="BX9" s="101"/>
      <c r="BY9" s="317" t="str">
        <f>IF(AND(BR9="",BS9="",BT9="",BU9=""),"",IF(AND(BW9="",BX9=""),BV9,IF(OR(BX9="",BW9="",BX9&lt;=$CT$2),MAX(BV9:BX9),$CT$2)))</f>
        <v/>
      </c>
      <c r="BZ9" s="101"/>
      <c r="CA9" s="101"/>
      <c r="CB9" s="101"/>
      <c r="CC9" s="91"/>
      <c r="CD9" s="308" t="str">
        <f>IF(AND(BZ9="",CA9="",CB9="",CC9=""),"",AVERAGE(BZ9:CC9))</f>
        <v/>
      </c>
      <c r="CE9" s="101"/>
      <c r="CF9" s="101"/>
      <c r="CG9" s="317" t="str">
        <f>IF(AND(BZ9="",CA9="",CB9="",CC9=""),"",IF(AND(CE9="",CF9=""),CD9,IF(OR(CF9="",CE9="",CF9&lt;=$CT$2),MAX(CD9:CF9),$CT$2)))</f>
        <v/>
      </c>
      <c r="CH9" s="319">
        <f t="shared" si="0"/>
        <v>88.75</v>
      </c>
      <c r="CI9" s="105">
        <f t="shared" si="1"/>
        <v>90</v>
      </c>
      <c r="CJ9" s="105">
        <f t="shared" si="2"/>
        <v>87.5</v>
      </c>
      <c r="CK9" s="408">
        <v>55</v>
      </c>
      <c r="CL9" s="101">
        <v>70</v>
      </c>
      <c r="CM9" s="320">
        <f t="shared" si="23"/>
        <v>266.25</v>
      </c>
      <c r="CN9" s="320">
        <f t="shared" si="24"/>
        <v>82.5</v>
      </c>
      <c r="CO9" s="320">
        <f t="shared" si="25"/>
        <v>35</v>
      </c>
      <c r="CP9" s="227">
        <f t="shared" si="26"/>
        <v>76.75</v>
      </c>
      <c r="CQ9" s="321">
        <f t="shared" si="27"/>
        <v>77</v>
      </c>
      <c r="CR9" s="106" t="str">
        <f t="shared" si="28"/>
        <v>B</v>
      </c>
      <c r="CS9" s="106" t="str">
        <f t="shared" si="29"/>
        <v>baik</v>
      </c>
      <c r="CT9" s="106" t="str">
        <f t="shared" si="30"/>
        <v>TUNTAS</v>
      </c>
      <c r="CU9" s="106" t="str">
        <f t="shared" si="31"/>
        <v>TUNTAS</v>
      </c>
      <c r="CV9" s="116" t="str">
        <f t="shared" si="32"/>
        <v>Penguasaan materi sudah baik dalam Mengidentifikasi informasi (pesan, rima, dan pilihan kata) dari puisi rakyat (pantun, syair, dan bentuk puisi rakyat setempat) yang dibaca dan didengar</v>
      </c>
      <c r="CW9" s="109" t="str">
        <f>IF(CI9="","",VLOOKUP(CI9,DATAPENG!$J$3:$K$12,2,FALSE))</f>
        <v>Mengidentifikasi informasi (pesan, rima, dan pilihan kata) dari puisi rakyat (pantun, syair, dan bentuk puisi rakyat setempat) yang dibaca dan didengar</v>
      </c>
      <c r="CX9" s="109" t="str">
        <f>IF(CJ9="","",VLOOKUP(CJ9,DATAPENG!$J$3:$K$12,2,FALSE))</f>
        <v>Menelaah struktur  dan kebahasaan puisi rakyat (pantun, syair, dan bentuk puisi rakyat setempat) yang dibaca dan didengar</v>
      </c>
    </row>
    <row r="10" spans="1:102" ht="16.5">
      <c r="A10" s="105">
        <f>'DATA SISWA'!A10</f>
        <v>6</v>
      </c>
      <c r="B10" s="105" t="str">
        <f>'DATA SISWA'!B10</f>
        <v>7647</v>
      </c>
      <c r="C10" s="105" t="str">
        <f>'DATA SISWA'!C10</f>
        <v>AHMADI</v>
      </c>
      <c r="D10" s="105" t="str">
        <f>'DATA SISWA'!D10</f>
        <v>L</v>
      </c>
      <c r="E10" s="105" t="str">
        <f>'DATA SISWA'!E10</f>
        <v>VII-J</v>
      </c>
      <c r="F10" s="407">
        <v>85</v>
      </c>
      <c r="G10" s="101"/>
      <c r="H10" s="407">
        <v>85</v>
      </c>
      <c r="I10" s="407"/>
      <c r="J10" s="308">
        <f t="shared" ref="J10:J12" si="33">IF(AND(F10="",G10="",H10="",I10=""),"",AVERAGE(F10:I10))</f>
        <v>85</v>
      </c>
      <c r="K10" s="101"/>
      <c r="L10" s="101"/>
      <c r="M10" s="317">
        <f t="shared" ref="M10:M12" si="34">IF(AND(F10="",G10="",H10="",I10=""),"",IF(AND(K10="",L10=""),J10,IF(OR(L10="",K10="",L10&lt;=$CT$2),MAX(J10:L10),$CT$2)))</f>
        <v>85</v>
      </c>
      <c r="N10" s="407">
        <v>80</v>
      </c>
      <c r="O10" s="101"/>
      <c r="P10" s="407">
        <v>85</v>
      </c>
      <c r="Q10" s="407"/>
      <c r="R10" s="308">
        <f t="shared" ref="R10:R12" si="35">IF(AND(N10="",O10="",P10="",Q10=""),"",AVERAGE(N10:Q10))</f>
        <v>82.5</v>
      </c>
      <c r="S10" s="101"/>
      <c r="T10" s="101"/>
      <c r="U10" s="317">
        <f t="shared" ref="U10:U12" si="36">IF(AND(N10="",O10="",P10="",Q10=""),"",IF(AND(S10="",T10=""),R10,IF(OR(T10="",S10="",T10&lt;=$CT$2),MAX(R10:T10),$CT$2)))</f>
        <v>82.5</v>
      </c>
      <c r="V10" s="101"/>
      <c r="W10" s="101"/>
      <c r="X10" s="101"/>
      <c r="Y10" s="91"/>
      <c r="Z10" s="308" t="str">
        <f t="shared" ref="Z10:Z12" si="37">IF(AND(V10="",W10="",X10="",Y10=""),"",AVERAGE(V10:Y10))</f>
        <v/>
      </c>
      <c r="AA10" s="101"/>
      <c r="AB10" s="101"/>
      <c r="AC10" s="317" t="str">
        <f t="shared" ref="AC10:AC12" si="38">IF(AND(V10="",W10="",X10="",Y10=""),"",IF(AND(AA10="",AB10=""),Z10,IF(OR(AB10="",AA10="",AB10&lt;=$CT$2),MAX(Z10:AB10),$CT$2)))</f>
        <v/>
      </c>
      <c r="AD10" s="101"/>
      <c r="AE10" s="101"/>
      <c r="AF10" s="101"/>
      <c r="AG10" s="91"/>
      <c r="AH10" s="308" t="str">
        <f t="shared" ref="AH10:AH12" si="39">IF(AND(AD10="",AE10="",AF10="",AG10=""),"",AVERAGE(AD10:AG10))</f>
        <v/>
      </c>
      <c r="AI10" s="101"/>
      <c r="AJ10" s="101"/>
      <c r="AK10" s="317" t="str">
        <f t="shared" ref="AK10:AK12" si="40">IF(AND(AD10="",AE10="",AF10="",AG10=""),"",IF(AND(AI10="",AJ10=""),AH10,IF(OR(AJ10="",AI10="",AJ10&lt;=$CT$2),MAX(AH10:AJ10),$CT$2)))</f>
        <v/>
      </c>
      <c r="AL10" s="101"/>
      <c r="AM10" s="101"/>
      <c r="AN10" s="101"/>
      <c r="AO10" s="91"/>
      <c r="AP10" s="308" t="str">
        <f t="shared" ref="AP10:AP12" si="41">IF(AND(AL10="",AM10="",AN10="",AO10=""),"",AVERAGE(AL10:AO10))</f>
        <v/>
      </c>
      <c r="AQ10" s="101"/>
      <c r="AR10" s="101"/>
      <c r="AS10" s="317" t="str">
        <f t="shared" ref="AS10:AS12" si="42">IF(AND(AL10="",AM10="",AN10="",AO10=""),"",IF(AND(AQ10="",AR10=""),AP10,IF(OR(AR10="",AQ10="",AR10&lt;=$CT$2),MAX(AP10:AR10),$CT$2)))</f>
        <v/>
      </c>
      <c r="AT10" s="101"/>
      <c r="AU10" s="101"/>
      <c r="AV10" s="101"/>
      <c r="AW10" s="91"/>
      <c r="AX10" s="308" t="str">
        <f t="shared" ref="AX10:AX12" si="43">IF(AND(AT10="",AU10="",AV10="",AW10=""),"",AVERAGE(AT10:AW10))</f>
        <v/>
      </c>
      <c r="AY10" s="101"/>
      <c r="AZ10" s="101"/>
      <c r="BA10" s="317" t="str">
        <f t="shared" ref="BA10:BA12" si="44">IF(AND(AT10="",AU10="",AV10="",AW10=""),"",IF(AND(AY10="",AZ10=""),AX10,IF(OR(AZ10="",AY10="",AZ10&lt;=$CT$2),MAX(AX10:AZ10),$CT$2)))</f>
        <v/>
      </c>
      <c r="BB10" s="101"/>
      <c r="BC10" s="101"/>
      <c r="BD10" s="101"/>
      <c r="BE10" s="91"/>
      <c r="BF10" s="308" t="str">
        <f t="shared" ref="BF10:BF12" si="45">IF(AND(BB10="",BC10="",BD10="",BE10=""),"",AVERAGE(BB10:BE10))</f>
        <v/>
      </c>
      <c r="BG10" s="101"/>
      <c r="BH10" s="101"/>
      <c r="BI10" s="317" t="str">
        <f t="shared" ref="BI10:BI12" si="46">IF(AND(BB10="",BC10="",BD10="",BE10=""),"",IF(AND(BG10="",BH10=""),BF10,IF(OR(BH10="",BG10="",BH10&lt;=$CT$2),MAX(BF10:BH10),$CT$2)))</f>
        <v/>
      </c>
      <c r="BJ10" s="101"/>
      <c r="BK10" s="101"/>
      <c r="BL10" s="101"/>
      <c r="BM10" s="91"/>
      <c r="BN10" s="308" t="str">
        <f t="shared" ref="BN10:BN12" si="47">IF(AND(BJ10="",BK10="",BL10="",BM10=""),"",AVERAGE(BJ10:BM10))</f>
        <v/>
      </c>
      <c r="BO10" s="101"/>
      <c r="BP10" s="101"/>
      <c r="BQ10" s="317" t="str">
        <f t="shared" ref="BQ10:BQ12" si="48">IF(AND(BJ10="",BK10="",BL10="",BM10=""),"",IF(AND(BO10="",BP10=""),BN10,IF(OR(BP10="",BO10="",BP10&lt;=$CT$2),MAX(BN10:BP10),$CT$2)))</f>
        <v/>
      </c>
      <c r="BR10" s="101"/>
      <c r="BS10" s="101"/>
      <c r="BT10" s="101"/>
      <c r="BU10" s="91"/>
      <c r="BV10" s="308" t="str">
        <f t="shared" ref="BV10:BV12" si="49">IF(AND(BR10="",BS10="",BT10="",BU10=""),"",AVERAGE(BR10:BU10))</f>
        <v/>
      </c>
      <c r="BW10" s="101"/>
      <c r="BX10" s="101"/>
      <c r="BY10" s="317" t="str">
        <f t="shared" ref="BY10:BY12" si="50">IF(AND(BR10="",BS10="",BT10="",BU10=""),"",IF(AND(BW10="",BX10=""),BV10,IF(OR(BX10="",BW10="",BX10&lt;=$CT$2),MAX(BV10:BX10),$CT$2)))</f>
        <v/>
      </c>
      <c r="BZ10" s="101"/>
      <c r="CA10" s="101"/>
      <c r="CB10" s="101"/>
      <c r="CC10" s="91"/>
      <c r="CD10" s="308" t="str">
        <f t="shared" ref="CD10:CD12" si="51">IF(AND(BZ10="",CA10="",CB10="",CC10=""),"",AVERAGE(BZ10:CC10))</f>
        <v/>
      </c>
      <c r="CE10" s="101"/>
      <c r="CF10" s="101"/>
      <c r="CG10" s="317" t="str">
        <f t="shared" ref="CG10:CG12" si="52">IF(AND(BZ10="",CA10="",CB10="",CC10=""),"",IF(AND(CE10="",CF10=""),CD10,IF(OR(CF10="",CE10="",CF10&lt;=$CT$2),MAX(CD10:CF10),$CT$2)))</f>
        <v/>
      </c>
      <c r="CH10" s="319">
        <f t="shared" si="0"/>
        <v>83.75</v>
      </c>
      <c r="CI10" s="105">
        <f t="shared" si="1"/>
        <v>85</v>
      </c>
      <c r="CJ10" s="105">
        <f t="shared" si="2"/>
        <v>82.5</v>
      </c>
      <c r="CK10" s="408">
        <v>70</v>
      </c>
      <c r="CL10" s="101">
        <v>70</v>
      </c>
      <c r="CM10" s="320">
        <f t="shared" si="23"/>
        <v>251.25</v>
      </c>
      <c r="CN10" s="320">
        <f t="shared" si="24"/>
        <v>105</v>
      </c>
      <c r="CO10" s="320">
        <f t="shared" si="25"/>
        <v>35</v>
      </c>
      <c r="CP10" s="227">
        <f t="shared" si="26"/>
        <v>78.25</v>
      </c>
      <c r="CQ10" s="321">
        <f t="shared" si="27"/>
        <v>79</v>
      </c>
      <c r="CR10" s="106" t="str">
        <f t="shared" si="28"/>
        <v>B</v>
      </c>
      <c r="CS10" s="106" t="str">
        <f t="shared" si="29"/>
        <v>baik</v>
      </c>
      <c r="CT10" s="106" t="str">
        <f t="shared" si="30"/>
        <v>TUNTAS</v>
      </c>
      <c r="CU10" s="106" t="str">
        <f t="shared" si="31"/>
        <v>TUNTAS</v>
      </c>
      <c r="CV10" s="116" t="str">
        <f t="shared" si="32"/>
        <v>Penguasaan materi sudah baik dalam Mengidentifikasi informasi (pesan, rima, dan pilihan kata) dari puisi rakyat (pantun, syair, dan bentuk puisi rakyat setempat) yang dibaca dan didengar</v>
      </c>
      <c r="CW10" s="109" t="str">
        <f>IF(CI10="","",VLOOKUP(CI10,DATAPENG!$L$3:$M$12,2,FALSE))</f>
        <v>Mengidentifikasi informasi (pesan, rima, dan pilihan kata) dari puisi rakyat (pantun, syair, dan bentuk puisi rakyat setempat) yang dibaca dan didengar</v>
      </c>
      <c r="CX10" s="109" t="str">
        <f>IF(CJ10="","",VLOOKUP(CJ10,DATAPENG!$L$3:$M$12,2,FALSE))</f>
        <v>Menelaah struktur  dan kebahasaan puisi rakyat (pantun, syair, dan bentuk puisi rakyat setempat) yang dibaca dan didengar</v>
      </c>
    </row>
    <row r="11" spans="1:102" ht="16.5">
      <c r="A11" s="105">
        <f>'DATA SISWA'!A11</f>
        <v>7</v>
      </c>
      <c r="B11" s="105" t="str">
        <f>'DATA SISWA'!B11</f>
        <v>7648</v>
      </c>
      <c r="C11" s="105" t="str">
        <f>'DATA SISWA'!C11</f>
        <v xml:space="preserve">AINUR ROFIK </v>
      </c>
      <c r="D11" s="105" t="str">
        <f>'DATA SISWA'!D11</f>
        <v>L</v>
      </c>
      <c r="E11" s="105" t="str">
        <f>'DATA SISWA'!E11</f>
        <v>VII-J</v>
      </c>
      <c r="F11" s="407">
        <v>80</v>
      </c>
      <c r="G11" s="101"/>
      <c r="H11" s="407">
        <v>75</v>
      </c>
      <c r="I11" s="407"/>
      <c r="J11" s="308">
        <f t="shared" si="33"/>
        <v>77.5</v>
      </c>
      <c r="K11" s="101"/>
      <c r="L11" s="101"/>
      <c r="M11" s="317">
        <f t="shared" si="34"/>
        <v>77.5</v>
      </c>
      <c r="N11" s="407">
        <v>80</v>
      </c>
      <c r="O11" s="101"/>
      <c r="P11" s="407">
        <v>80</v>
      </c>
      <c r="Q11" s="407"/>
      <c r="R11" s="308">
        <f t="shared" si="35"/>
        <v>80</v>
      </c>
      <c r="S11" s="101"/>
      <c r="T11" s="101"/>
      <c r="U11" s="317">
        <f t="shared" si="36"/>
        <v>80</v>
      </c>
      <c r="V11" s="101"/>
      <c r="W11" s="101"/>
      <c r="X11" s="101"/>
      <c r="Y11" s="91"/>
      <c r="Z11" s="308" t="str">
        <f t="shared" si="37"/>
        <v/>
      </c>
      <c r="AA11" s="101"/>
      <c r="AB11" s="101"/>
      <c r="AC11" s="317" t="str">
        <f t="shared" si="38"/>
        <v/>
      </c>
      <c r="AD11" s="101"/>
      <c r="AE11" s="101"/>
      <c r="AF11" s="101"/>
      <c r="AG11" s="91"/>
      <c r="AH11" s="308" t="str">
        <f t="shared" si="39"/>
        <v/>
      </c>
      <c r="AI11" s="101"/>
      <c r="AJ11" s="101"/>
      <c r="AK11" s="317" t="str">
        <f t="shared" si="40"/>
        <v/>
      </c>
      <c r="AL11" s="101"/>
      <c r="AM11" s="101"/>
      <c r="AN11" s="101"/>
      <c r="AO11" s="91"/>
      <c r="AP11" s="308" t="str">
        <f t="shared" si="41"/>
        <v/>
      </c>
      <c r="AQ11" s="101"/>
      <c r="AR11" s="101"/>
      <c r="AS11" s="317" t="str">
        <f t="shared" si="42"/>
        <v/>
      </c>
      <c r="AT11" s="101"/>
      <c r="AU11" s="101"/>
      <c r="AV11" s="101"/>
      <c r="AW11" s="91"/>
      <c r="AX11" s="308" t="str">
        <f t="shared" si="43"/>
        <v/>
      </c>
      <c r="AY11" s="101"/>
      <c r="AZ11" s="101"/>
      <c r="BA11" s="317" t="str">
        <f t="shared" si="44"/>
        <v/>
      </c>
      <c r="BB11" s="101"/>
      <c r="BC11" s="101"/>
      <c r="BD11" s="101"/>
      <c r="BE11" s="91"/>
      <c r="BF11" s="308" t="str">
        <f t="shared" si="45"/>
        <v/>
      </c>
      <c r="BG11" s="101"/>
      <c r="BH11" s="101"/>
      <c r="BI11" s="317" t="str">
        <f t="shared" si="46"/>
        <v/>
      </c>
      <c r="BJ11" s="101"/>
      <c r="BK11" s="101"/>
      <c r="BL11" s="101"/>
      <c r="BM11" s="91"/>
      <c r="BN11" s="308" t="str">
        <f t="shared" si="47"/>
        <v/>
      </c>
      <c r="BO11" s="101"/>
      <c r="BP11" s="101"/>
      <c r="BQ11" s="317" t="str">
        <f t="shared" si="48"/>
        <v/>
      </c>
      <c r="BR11" s="101"/>
      <c r="BS11" s="101"/>
      <c r="BT11" s="101"/>
      <c r="BU11" s="91"/>
      <c r="BV11" s="308" t="str">
        <f t="shared" si="49"/>
        <v/>
      </c>
      <c r="BW11" s="101"/>
      <c r="BX11" s="101"/>
      <c r="BY11" s="317" t="str">
        <f t="shared" si="50"/>
        <v/>
      </c>
      <c r="BZ11" s="101"/>
      <c r="CA11" s="101"/>
      <c r="CB11" s="101"/>
      <c r="CC11" s="91"/>
      <c r="CD11" s="308" t="str">
        <f t="shared" si="51"/>
        <v/>
      </c>
      <c r="CE11" s="101"/>
      <c r="CF11" s="101"/>
      <c r="CG11" s="317" t="str">
        <f t="shared" si="52"/>
        <v/>
      </c>
      <c r="CH11" s="319">
        <f t="shared" si="0"/>
        <v>78.75</v>
      </c>
      <c r="CI11" s="105">
        <f t="shared" si="1"/>
        <v>80</v>
      </c>
      <c r="CJ11" s="105">
        <f t="shared" si="2"/>
        <v>77.5</v>
      </c>
      <c r="CK11" s="408">
        <v>70</v>
      </c>
      <c r="CL11" s="101">
        <v>70</v>
      </c>
      <c r="CM11" s="320">
        <f t="shared" si="23"/>
        <v>236.25</v>
      </c>
      <c r="CN11" s="320">
        <f t="shared" si="24"/>
        <v>105</v>
      </c>
      <c r="CO11" s="320">
        <f t="shared" si="25"/>
        <v>35</v>
      </c>
      <c r="CP11" s="227">
        <f t="shared" si="26"/>
        <v>75.25</v>
      </c>
      <c r="CQ11" s="321">
        <f t="shared" si="27"/>
        <v>76</v>
      </c>
      <c r="CR11" s="106" t="str">
        <f t="shared" si="28"/>
        <v>B</v>
      </c>
      <c r="CS11" s="106" t="str">
        <f t="shared" si="29"/>
        <v>baik</v>
      </c>
      <c r="CT11" s="106" t="str">
        <f t="shared" si="30"/>
        <v>TUNTAS</v>
      </c>
      <c r="CU11" s="106" t="str">
        <f t="shared" si="31"/>
        <v>TUNTAS</v>
      </c>
      <c r="CV11" s="116" t="str">
        <f t="shared" si="32"/>
        <v>Penguasaan materi sudah baik dalam Menelaah struktur  dan kebahasaan puisi rakyat (pantun, syair, dan bentuk puisi rakyat setempat) yang dibaca dan didengar</v>
      </c>
      <c r="CW11" s="109" t="str">
        <f>IF(CI11="","",VLOOKUP(CI11,DATAPENG!$N$3:$O$12,2,FALSE))</f>
        <v>Menelaah struktur  dan kebahasaan puisi rakyat (pantun, syair, dan bentuk puisi rakyat setempat) yang dibaca dan didengar</v>
      </c>
      <c r="CX11" s="109" t="str">
        <f>IF(CJ11="","",VLOOKUP(CJ11,DATAPENG!$N$3:$O$12,2,FALSE))</f>
        <v>Mengidentifikasi informasi (pesan, rima, dan pilihan kata) dari puisi rakyat (pantun, syair, dan bentuk puisi rakyat setempat) yang dibaca dan didengar</v>
      </c>
    </row>
    <row r="12" spans="1:102" ht="16.5">
      <c r="A12" s="105">
        <f>'DATA SISWA'!A12</f>
        <v>8</v>
      </c>
      <c r="B12" s="105" t="str">
        <f>'DATA SISWA'!B12</f>
        <v>7377</v>
      </c>
      <c r="C12" s="105" t="str">
        <f>'DATA SISWA'!C12</f>
        <v>AT-THORIQ BINTANG PRAJA</v>
      </c>
      <c r="D12" s="105" t="str">
        <f>'DATA SISWA'!D12</f>
        <v>L</v>
      </c>
      <c r="E12" s="105" t="str">
        <f>'DATA SISWA'!E12</f>
        <v>VII-J</v>
      </c>
      <c r="F12" s="407">
        <v>85</v>
      </c>
      <c r="G12" s="101"/>
      <c r="H12" s="407">
        <v>85</v>
      </c>
      <c r="I12" s="407"/>
      <c r="J12" s="308">
        <f t="shared" si="33"/>
        <v>85</v>
      </c>
      <c r="K12" s="101"/>
      <c r="L12" s="101"/>
      <c r="M12" s="317">
        <f t="shared" si="34"/>
        <v>85</v>
      </c>
      <c r="N12" s="407">
        <v>90</v>
      </c>
      <c r="O12" s="101"/>
      <c r="P12" s="407">
        <v>85</v>
      </c>
      <c r="Q12" s="407"/>
      <c r="R12" s="308">
        <f t="shared" si="35"/>
        <v>87.5</v>
      </c>
      <c r="S12" s="101"/>
      <c r="T12" s="101"/>
      <c r="U12" s="317">
        <f t="shared" si="36"/>
        <v>87.5</v>
      </c>
      <c r="V12" s="101"/>
      <c r="W12" s="101"/>
      <c r="X12" s="101"/>
      <c r="Y12" s="91"/>
      <c r="Z12" s="308" t="str">
        <f t="shared" si="37"/>
        <v/>
      </c>
      <c r="AA12" s="101"/>
      <c r="AB12" s="101"/>
      <c r="AC12" s="317" t="str">
        <f t="shared" si="38"/>
        <v/>
      </c>
      <c r="AD12" s="101"/>
      <c r="AE12" s="101"/>
      <c r="AF12" s="101"/>
      <c r="AG12" s="91"/>
      <c r="AH12" s="308" t="str">
        <f t="shared" si="39"/>
        <v/>
      </c>
      <c r="AI12" s="101"/>
      <c r="AJ12" s="101"/>
      <c r="AK12" s="317" t="str">
        <f t="shared" si="40"/>
        <v/>
      </c>
      <c r="AL12" s="101"/>
      <c r="AM12" s="101"/>
      <c r="AN12" s="101"/>
      <c r="AO12" s="91"/>
      <c r="AP12" s="308" t="str">
        <f t="shared" si="41"/>
        <v/>
      </c>
      <c r="AQ12" s="101"/>
      <c r="AR12" s="101"/>
      <c r="AS12" s="317" t="str">
        <f t="shared" si="42"/>
        <v/>
      </c>
      <c r="AT12" s="101"/>
      <c r="AU12" s="101"/>
      <c r="AV12" s="101"/>
      <c r="AW12" s="91"/>
      <c r="AX12" s="308" t="str">
        <f t="shared" si="43"/>
        <v/>
      </c>
      <c r="AY12" s="101"/>
      <c r="AZ12" s="101"/>
      <c r="BA12" s="317" t="str">
        <f t="shared" si="44"/>
        <v/>
      </c>
      <c r="BB12" s="101"/>
      <c r="BC12" s="101"/>
      <c r="BD12" s="101"/>
      <c r="BE12" s="91"/>
      <c r="BF12" s="308" t="str">
        <f t="shared" si="45"/>
        <v/>
      </c>
      <c r="BG12" s="101"/>
      <c r="BH12" s="101"/>
      <c r="BI12" s="317" t="str">
        <f t="shared" si="46"/>
        <v/>
      </c>
      <c r="BJ12" s="101"/>
      <c r="BK12" s="101"/>
      <c r="BL12" s="101"/>
      <c r="BM12" s="91"/>
      <c r="BN12" s="308" t="str">
        <f t="shared" si="47"/>
        <v/>
      </c>
      <c r="BO12" s="101"/>
      <c r="BP12" s="101"/>
      <c r="BQ12" s="317" t="str">
        <f t="shared" si="48"/>
        <v/>
      </c>
      <c r="BR12" s="101"/>
      <c r="BS12" s="101"/>
      <c r="BT12" s="101"/>
      <c r="BU12" s="91"/>
      <c r="BV12" s="308" t="str">
        <f t="shared" si="49"/>
        <v/>
      </c>
      <c r="BW12" s="101"/>
      <c r="BX12" s="101"/>
      <c r="BY12" s="317" t="str">
        <f t="shared" si="50"/>
        <v/>
      </c>
      <c r="BZ12" s="101"/>
      <c r="CA12" s="101"/>
      <c r="CB12" s="101"/>
      <c r="CC12" s="91"/>
      <c r="CD12" s="308" t="str">
        <f t="shared" si="51"/>
        <v/>
      </c>
      <c r="CE12" s="101"/>
      <c r="CF12" s="101"/>
      <c r="CG12" s="317" t="str">
        <f t="shared" si="52"/>
        <v/>
      </c>
      <c r="CH12" s="319">
        <f t="shared" si="0"/>
        <v>86.25</v>
      </c>
      <c r="CI12" s="105">
        <f t="shared" si="1"/>
        <v>87.5</v>
      </c>
      <c r="CJ12" s="105">
        <f t="shared" si="2"/>
        <v>85</v>
      </c>
      <c r="CK12" s="408">
        <v>66</v>
      </c>
      <c r="CL12" s="101">
        <v>73</v>
      </c>
      <c r="CM12" s="320">
        <f t="shared" si="23"/>
        <v>258.75</v>
      </c>
      <c r="CN12" s="320">
        <f t="shared" si="24"/>
        <v>99</v>
      </c>
      <c r="CO12" s="320">
        <f t="shared" si="25"/>
        <v>36.5</v>
      </c>
      <c r="CP12" s="227">
        <f t="shared" si="26"/>
        <v>78.849999999999994</v>
      </c>
      <c r="CQ12" s="321">
        <f t="shared" si="27"/>
        <v>79</v>
      </c>
      <c r="CR12" s="106" t="str">
        <f t="shared" si="28"/>
        <v>B</v>
      </c>
      <c r="CS12" s="106" t="str">
        <f t="shared" si="29"/>
        <v>baik</v>
      </c>
      <c r="CT12" s="106" t="str">
        <f t="shared" si="30"/>
        <v>TUNTAS</v>
      </c>
      <c r="CU12" s="106" t="str">
        <f t="shared" si="31"/>
        <v>TUNTAS</v>
      </c>
      <c r="CV12" s="116" t="str">
        <f t="shared" si="32"/>
        <v>Penguasaan materi sudah baik dalam Menelaah struktur  dan kebahasaan puisi rakyat (pantun, syair, dan bentuk puisi rakyat setempat) yang dibaca dan didengar</v>
      </c>
      <c r="CW12" s="109" t="str">
        <f>IF(CI12="","",VLOOKUP(CI12,DATAPENG!$P$3:$Q$12,2,FALSE))</f>
        <v>Menelaah struktur  dan kebahasaan puisi rakyat (pantun, syair, dan bentuk puisi rakyat setempat) yang dibaca dan didengar</v>
      </c>
      <c r="CX12" s="109" t="str">
        <f>IF(CJ12="","",VLOOKUP(CJ12,DATAPENG!$P$3:$Q$12,2,FALSE))</f>
        <v>Mengidentifikasi informasi (pesan, rima, dan pilihan kata) dari puisi rakyat (pantun, syair, dan bentuk puisi rakyat setempat) yang dibaca dan didengar</v>
      </c>
    </row>
    <row r="13" spans="1:102" ht="16.5">
      <c r="A13" s="105">
        <f>'DATA SISWA'!A13</f>
        <v>9</v>
      </c>
      <c r="B13" s="105" t="str">
        <f>'DATA SISWA'!B13</f>
        <v>7649</v>
      </c>
      <c r="C13" s="105" t="str">
        <f>'DATA SISWA'!C13</f>
        <v>DEWI WULANDARI</v>
      </c>
      <c r="D13" s="105" t="str">
        <f>'DATA SISWA'!D13</f>
        <v>P</v>
      </c>
      <c r="E13" s="105" t="str">
        <f>'DATA SISWA'!E13</f>
        <v>VII-J</v>
      </c>
      <c r="F13" s="407">
        <v>85</v>
      </c>
      <c r="G13" s="101"/>
      <c r="H13" s="407">
        <v>85</v>
      </c>
      <c r="I13" s="407"/>
      <c r="J13" s="308">
        <f>IF(AND(F13="",G13="",H13="",I13=""),"",AVERAGE(F13:I13))</f>
        <v>85</v>
      </c>
      <c r="K13" s="101"/>
      <c r="L13" s="101"/>
      <c r="M13" s="317">
        <f>IF(AND(F13="",G13="",H13="",I13=""),"",IF(AND(K13="",L13=""),J13,IF(OR(L13="",K13="",L13&lt;=$CT$2),MAX(J13:L13),$CT$2)))</f>
        <v>85</v>
      </c>
      <c r="N13" s="407">
        <v>90</v>
      </c>
      <c r="O13" s="101"/>
      <c r="P13" s="407">
        <v>90</v>
      </c>
      <c r="Q13" s="407"/>
      <c r="R13" s="308">
        <f>IF(AND(N13="",O13="",P13="",Q13=""),"",AVERAGE(N13:Q13))</f>
        <v>90</v>
      </c>
      <c r="S13" s="101"/>
      <c r="T13" s="101"/>
      <c r="U13" s="317">
        <f>IF(AND(N13="",O13="",P13="",Q13=""),"",IF(AND(S13="",T13=""),R13,IF(OR(T13="",S13="",T13&lt;=$CT$2),MAX(R13:T13),$CT$2)))</f>
        <v>90</v>
      </c>
      <c r="V13" s="101"/>
      <c r="W13" s="101"/>
      <c r="X13" s="101"/>
      <c r="Y13" s="91"/>
      <c r="Z13" s="308" t="str">
        <f>IF(AND(V13="",W13="",X13="",Y13=""),"",AVERAGE(V13:Y13))</f>
        <v/>
      </c>
      <c r="AA13" s="101"/>
      <c r="AB13" s="101"/>
      <c r="AC13" s="317" t="str">
        <f>IF(AND(V13="",W13="",X13="",Y13=""),"",IF(AND(AA13="",AB13=""),Z13,IF(OR(AB13="",AA13="",AB13&lt;=$CT$2),MAX(Z13:AB13),$CT$2)))</f>
        <v/>
      </c>
      <c r="AD13" s="101"/>
      <c r="AE13" s="101"/>
      <c r="AF13" s="101"/>
      <c r="AG13" s="91"/>
      <c r="AH13" s="308" t="str">
        <f>IF(AND(AD13="",AE13="",AF13="",AG13=""),"",AVERAGE(AD13:AG13))</f>
        <v/>
      </c>
      <c r="AI13" s="101"/>
      <c r="AJ13" s="101"/>
      <c r="AK13" s="317" t="str">
        <f>IF(AND(AD13="",AE13="",AF13="",AG13=""),"",IF(AND(AI13="",AJ13=""),AH13,IF(OR(AJ13="",AI13="",AJ13&lt;=$CT$2),MAX(AH13:AJ13),$CT$2)))</f>
        <v/>
      </c>
      <c r="AL13" s="101"/>
      <c r="AM13" s="101"/>
      <c r="AN13" s="101"/>
      <c r="AO13" s="91"/>
      <c r="AP13" s="308" t="str">
        <f>IF(AND(AL13="",AM13="",AN13="",AO13=""),"",AVERAGE(AL13:AO13))</f>
        <v/>
      </c>
      <c r="AQ13" s="101"/>
      <c r="AR13" s="101"/>
      <c r="AS13" s="317" t="str">
        <f>IF(AND(AL13="",AM13="",AN13="",AO13=""),"",IF(AND(AQ13="",AR13=""),AP13,IF(OR(AR13="",AQ13="",AR13&lt;=$CT$2),MAX(AP13:AR13),$CT$2)))</f>
        <v/>
      </c>
      <c r="AT13" s="101"/>
      <c r="AU13" s="101"/>
      <c r="AV13" s="101"/>
      <c r="AW13" s="91"/>
      <c r="AX13" s="308" t="str">
        <f>IF(AND(AT13="",AU13="",AV13="",AW13=""),"",AVERAGE(AT13:AW13))</f>
        <v/>
      </c>
      <c r="AY13" s="101"/>
      <c r="AZ13" s="101"/>
      <c r="BA13" s="317" t="str">
        <f>IF(AND(AT13="",AU13="",AV13="",AW13=""),"",IF(AND(AY13="",AZ13=""),AX13,IF(OR(AZ13="",AY13="",AZ13&lt;=$CT$2),MAX(AX13:AZ13),$CT$2)))</f>
        <v/>
      </c>
      <c r="BB13" s="101"/>
      <c r="BC13" s="101"/>
      <c r="BD13" s="101"/>
      <c r="BE13" s="91"/>
      <c r="BF13" s="308" t="str">
        <f>IF(AND(BB13="",BC13="",BD13="",BE13=""),"",AVERAGE(BB13:BE13))</f>
        <v/>
      </c>
      <c r="BG13" s="101"/>
      <c r="BH13" s="101"/>
      <c r="BI13" s="317" t="str">
        <f>IF(AND(BB13="",BC13="",BD13="",BE13=""),"",IF(AND(BG13="",BH13=""),BF13,IF(OR(BH13="",BG13="",BH13&lt;=$CT$2),MAX(BF13:BH13),$CT$2)))</f>
        <v/>
      </c>
      <c r="BJ13" s="101"/>
      <c r="BK13" s="101"/>
      <c r="BL13" s="101"/>
      <c r="BM13" s="91"/>
      <c r="BN13" s="308" t="str">
        <f>IF(AND(BJ13="",BK13="",BL13="",BM13=""),"",AVERAGE(BJ13:BM13))</f>
        <v/>
      </c>
      <c r="BO13" s="101"/>
      <c r="BP13" s="101"/>
      <c r="BQ13" s="317" t="str">
        <f>IF(AND(BJ13="",BK13="",BL13="",BM13=""),"",IF(AND(BO13="",BP13=""),BN13,IF(OR(BP13="",BO13="",BP13&lt;=$CT$2),MAX(BN13:BP13),$CT$2)))</f>
        <v/>
      </c>
      <c r="BR13" s="101"/>
      <c r="BS13" s="101"/>
      <c r="BT13" s="101"/>
      <c r="BU13" s="91"/>
      <c r="BV13" s="308" t="str">
        <f>IF(AND(BR13="",BS13="",BT13="",BU13=""),"",AVERAGE(BR13:BU13))</f>
        <v/>
      </c>
      <c r="BW13" s="101"/>
      <c r="BX13" s="101"/>
      <c r="BY13" s="317" t="str">
        <f>IF(AND(BR13="",BS13="",BT13="",BU13=""),"",IF(AND(BW13="",BX13=""),BV13,IF(OR(BX13="",BW13="",BX13&lt;=$CT$2),MAX(BV13:BX13),$CT$2)))</f>
        <v/>
      </c>
      <c r="BZ13" s="101"/>
      <c r="CA13" s="101"/>
      <c r="CB13" s="101"/>
      <c r="CC13" s="91"/>
      <c r="CD13" s="308" t="str">
        <f>IF(AND(BZ13="",CA13="",CB13="",CC13=""),"",AVERAGE(BZ13:CC13))</f>
        <v/>
      </c>
      <c r="CE13" s="101"/>
      <c r="CF13" s="101"/>
      <c r="CG13" s="317" t="str">
        <f>IF(AND(BZ13="",CA13="",CB13="",CC13=""),"",IF(AND(CE13="",CF13=""),CD13,IF(OR(CF13="",CE13="",CF13&lt;=$CT$2),MAX(CD13:CF13),$CT$2)))</f>
        <v/>
      </c>
      <c r="CH13" s="319">
        <f t="shared" si="0"/>
        <v>87.5</v>
      </c>
      <c r="CI13" s="105">
        <f t="shared" si="1"/>
        <v>90</v>
      </c>
      <c r="CJ13" s="105">
        <f t="shared" si="2"/>
        <v>85</v>
      </c>
      <c r="CK13" s="408">
        <v>66</v>
      </c>
      <c r="CL13" s="101">
        <v>70</v>
      </c>
      <c r="CM13" s="320">
        <f t="shared" si="23"/>
        <v>262.5</v>
      </c>
      <c r="CN13" s="320">
        <f t="shared" si="24"/>
        <v>99</v>
      </c>
      <c r="CO13" s="320">
        <f t="shared" si="25"/>
        <v>35</v>
      </c>
      <c r="CP13" s="227">
        <f t="shared" si="26"/>
        <v>79.3</v>
      </c>
      <c r="CQ13" s="321">
        <f t="shared" si="27"/>
        <v>80</v>
      </c>
      <c r="CR13" s="106" t="str">
        <f t="shared" si="28"/>
        <v>B</v>
      </c>
      <c r="CS13" s="106" t="str">
        <f t="shared" si="29"/>
        <v>baik</v>
      </c>
      <c r="CT13" s="106" t="str">
        <f t="shared" si="30"/>
        <v>TUNTAS</v>
      </c>
      <c r="CU13" s="106" t="str">
        <f t="shared" si="31"/>
        <v>TUNTAS</v>
      </c>
      <c r="CV13" s="116" t="str">
        <f t="shared" si="32"/>
        <v>Penguasaan materi sudah baik dalam Menelaah struktur  dan kebahasaan puisi rakyat (pantun, syair, dan bentuk puisi rakyat setempat) yang dibaca dan didengar</v>
      </c>
      <c r="CW13" s="109" t="str">
        <f>IF(CI13="","",VLOOKUP(CI13,DATAPENG!$R$3:$S$12,2,FALSE))</f>
        <v>Menelaah struktur  dan kebahasaan puisi rakyat (pantun, syair, dan bentuk puisi rakyat setempat) yang dibaca dan didengar</v>
      </c>
      <c r="CX13" s="109" t="str">
        <f>IF(CJ13="","",VLOOKUP(CJ13,DATAPENG!$R$3:$S$12,2,FALSE))</f>
        <v>Mengidentifikasi informasi (pesan, rima, dan pilihan kata) dari puisi rakyat (pantun, syair, dan bentuk puisi rakyat setempat) yang dibaca dan didengar</v>
      </c>
    </row>
    <row r="14" spans="1:102" ht="16.5">
      <c r="A14" s="105">
        <f>'DATA SISWA'!A14</f>
        <v>10</v>
      </c>
      <c r="B14" s="105" t="str">
        <f>'DATA SISWA'!B14</f>
        <v>7650</v>
      </c>
      <c r="C14" s="105" t="str">
        <f>'DATA SISWA'!C14</f>
        <v>ENI UMAMAH</v>
      </c>
      <c r="D14" s="105" t="str">
        <f>'DATA SISWA'!D14</f>
        <v>P</v>
      </c>
      <c r="E14" s="105" t="str">
        <f>'DATA SISWA'!E14</f>
        <v>VII-J</v>
      </c>
      <c r="F14" s="407">
        <v>80</v>
      </c>
      <c r="G14" s="101"/>
      <c r="H14" s="407">
        <v>80</v>
      </c>
      <c r="I14" s="407"/>
      <c r="J14" s="308">
        <f t="shared" ref="J14:J16" si="53">IF(AND(F14="",G14="",H14="",I14=""),"",AVERAGE(F14:I14))</f>
        <v>80</v>
      </c>
      <c r="K14" s="101"/>
      <c r="L14" s="101"/>
      <c r="M14" s="317">
        <f t="shared" ref="M14:M16" si="54">IF(AND(F14="",G14="",H14="",I14=""),"",IF(AND(K14="",L14=""),J14,IF(OR(L14="",K14="",L14&lt;=$CT$2),MAX(J14:L14),$CT$2)))</f>
        <v>80</v>
      </c>
      <c r="N14" s="407">
        <v>85</v>
      </c>
      <c r="O14" s="101"/>
      <c r="P14" s="407">
        <v>85</v>
      </c>
      <c r="Q14" s="407"/>
      <c r="R14" s="308">
        <f t="shared" ref="R14:R16" si="55">IF(AND(N14="",O14="",P14="",Q14=""),"",AVERAGE(N14:Q14))</f>
        <v>85</v>
      </c>
      <c r="S14" s="101"/>
      <c r="T14" s="101"/>
      <c r="U14" s="317">
        <f t="shared" ref="U14:U16" si="56">IF(AND(N14="",O14="",P14="",Q14=""),"",IF(AND(S14="",T14=""),R14,IF(OR(T14="",S14="",T14&lt;=$CT$2),MAX(R14:T14),$CT$2)))</f>
        <v>85</v>
      </c>
      <c r="V14" s="101"/>
      <c r="W14" s="101"/>
      <c r="X14" s="101"/>
      <c r="Y14" s="91"/>
      <c r="Z14" s="308" t="str">
        <f t="shared" ref="Z14:Z16" si="57">IF(AND(V14="",W14="",X14="",Y14=""),"",AVERAGE(V14:Y14))</f>
        <v/>
      </c>
      <c r="AA14" s="101"/>
      <c r="AB14" s="101"/>
      <c r="AC14" s="317" t="str">
        <f t="shared" ref="AC14:AC16" si="58">IF(AND(V14="",W14="",X14="",Y14=""),"",IF(AND(AA14="",AB14=""),Z14,IF(OR(AB14="",AA14="",AB14&lt;=$CT$2),MAX(Z14:AB14),$CT$2)))</f>
        <v/>
      </c>
      <c r="AD14" s="101"/>
      <c r="AE14" s="101"/>
      <c r="AF14" s="101"/>
      <c r="AG14" s="91"/>
      <c r="AH14" s="308" t="str">
        <f t="shared" ref="AH14:AH16" si="59">IF(AND(AD14="",AE14="",AF14="",AG14=""),"",AVERAGE(AD14:AG14))</f>
        <v/>
      </c>
      <c r="AI14" s="101"/>
      <c r="AJ14" s="101"/>
      <c r="AK14" s="317" t="str">
        <f t="shared" ref="AK14:AK16" si="60">IF(AND(AD14="",AE14="",AF14="",AG14=""),"",IF(AND(AI14="",AJ14=""),AH14,IF(OR(AJ14="",AI14="",AJ14&lt;=$CT$2),MAX(AH14:AJ14),$CT$2)))</f>
        <v/>
      </c>
      <c r="AL14" s="101"/>
      <c r="AM14" s="101"/>
      <c r="AN14" s="101"/>
      <c r="AO14" s="91"/>
      <c r="AP14" s="308" t="str">
        <f t="shared" ref="AP14:AP16" si="61">IF(AND(AL14="",AM14="",AN14="",AO14=""),"",AVERAGE(AL14:AO14))</f>
        <v/>
      </c>
      <c r="AQ14" s="101"/>
      <c r="AR14" s="101"/>
      <c r="AS14" s="317" t="str">
        <f t="shared" ref="AS14:AS16" si="62">IF(AND(AL14="",AM14="",AN14="",AO14=""),"",IF(AND(AQ14="",AR14=""),AP14,IF(OR(AR14="",AQ14="",AR14&lt;=$CT$2),MAX(AP14:AR14),$CT$2)))</f>
        <v/>
      </c>
      <c r="AT14" s="101"/>
      <c r="AU14" s="101"/>
      <c r="AV14" s="101"/>
      <c r="AW14" s="91"/>
      <c r="AX14" s="308" t="str">
        <f t="shared" ref="AX14:AX16" si="63">IF(AND(AT14="",AU14="",AV14="",AW14=""),"",AVERAGE(AT14:AW14))</f>
        <v/>
      </c>
      <c r="AY14" s="101"/>
      <c r="AZ14" s="101"/>
      <c r="BA14" s="317" t="str">
        <f t="shared" ref="BA14:BA16" si="64">IF(AND(AT14="",AU14="",AV14="",AW14=""),"",IF(AND(AY14="",AZ14=""),AX14,IF(OR(AZ14="",AY14="",AZ14&lt;=$CT$2),MAX(AX14:AZ14),$CT$2)))</f>
        <v/>
      </c>
      <c r="BB14" s="101"/>
      <c r="BC14" s="101"/>
      <c r="BD14" s="101"/>
      <c r="BE14" s="91"/>
      <c r="BF14" s="308" t="str">
        <f t="shared" ref="BF14:BF16" si="65">IF(AND(BB14="",BC14="",BD14="",BE14=""),"",AVERAGE(BB14:BE14))</f>
        <v/>
      </c>
      <c r="BG14" s="101"/>
      <c r="BH14" s="101"/>
      <c r="BI14" s="317" t="str">
        <f t="shared" ref="BI14:BI16" si="66">IF(AND(BB14="",BC14="",BD14="",BE14=""),"",IF(AND(BG14="",BH14=""),BF14,IF(OR(BH14="",BG14="",BH14&lt;=$CT$2),MAX(BF14:BH14),$CT$2)))</f>
        <v/>
      </c>
      <c r="BJ14" s="101"/>
      <c r="BK14" s="101"/>
      <c r="BL14" s="101"/>
      <c r="BM14" s="91"/>
      <c r="BN14" s="308" t="str">
        <f t="shared" ref="BN14:BN16" si="67">IF(AND(BJ14="",BK14="",BL14="",BM14=""),"",AVERAGE(BJ14:BM14))</f>
        <v/>
      </c>
      <c r="BO14" s="101"/>
      <c r="BP14" s="101"/>
      <c r="BQ14" s="317" t="str">
        <f t="shared" ref="BQ14:BQ16" si="68">IF(AND(BJ14="",BK14="",BL14="",BM14=""),"",IF(AND(BO14="",BP14=""),BN14,IF(OR(BP14="",BO14="",BP14&lt;=$CT$2),MAX(BN14:BP14),$CT$2)))</f>
        <v/>
      </c>
      <c r="BR14" s="101"/>
      <c r="BS14" s="101"/>
      <c r="BT14" s="101"/>
      <c r="BU14" s="91"/>
      <c r="BV14" s="308" t="str">
        <f t="shared" ref="BV14:BV16" si="69">IF(AND(BR14="",BS14="",BT14="",BU14=""),"",AVERAGE(BR14:BU14))</f>
        <v/>
      </c>
      <c r="BW14" s="101"/>
      <c r="BX14" s="101"/>
      <c r="BY14" s="317" t="str">
        <f t="shared" ref="BY14:BY16" si="70">IF(AND(BR14="",BS14="",BT14="",BU14=""),"",IF(AND(BW14="",BX14=""),BV14,IF(OR(BX14="",BW14="",BX14&lt;=$CT$2),MAX(BV14:BX14),$CT$2)))</f>
        <v/>
      </c>
      <c r="BZ14" s="101"/>
      <c r="CA14" s="101"/>
      <c r="CB14" s="101"/>
      <c r="CC14" s="91"/>
      <c r="CD14" s="308" t="str">
        <f t="shared" ref="CD14:CD16" si="71">IF(AND(BZ14="",CA14="",CB14="",CC14=""),"",AVERAGE(BZ14:CC14))</f>
        <v/>
      </c>
      <c r="CE14" s="101"/>
      <c r="CF14" s="101"/>
      <c r="CG14" s="317" t="str">
        <f t="shared" ref="CG14:CG16" si="72">IF(AND(BZ14="",CA14="",CB14="",CC14=""),"",IF(AND(CE14="",CF14=""),CD14,IF(OR(CF14="",CE14="",CF14&lt;=$CT$2),MAX(CD14:CF14),$CT$2)))</f>
        <v/>
      </c>
      <c r="CH14" s="319">
        <f t="shared" si="0"/>
        <v>82.5</v>
      </c>
      <c r="CI14" s="105">
        <f t="shared" si="1"/>
        <v>85</v>
      </c>
      <c r="CJ14" s="105">
        <f t="shared" si="2"/>
        <v>80</v>
      </c>
      <c r="CK14" s="408">
        <v>60</v>
      </c>
      <c r="CL14" s="101">
        <v>76</v>
      </c>
      <c r="CM14" s="320">
        <f t="shared" si="23"/>
        <v>247.5</v>
      </c>
      <c r="CN14" s="320">
        <f t="shared" si="24"/>
        <v>90</v>
      </c>
      <c r="CO14" s="320">
        <f t="shared" si="25"/>
        <v>38</v>
      </c>
      <c r="CP14" s="227">
        <f t="shared" si="26"/>
        <v>75.099999999999994</v>
      </c>
      <c r="CQ14" s="321">
        <f t="shared" si="27"/>
        <v>76</v>
      </c>
      <c r="CR14" s="106" t="str">
        <f t="shared" si="28"/>
        <v>B</v>
      </c>
      <c r="CS14" s="106" t="str">
        <f t="shared" si="29"/>
        <v>baik</v>
      </c>
      <c r="CT14" s="106" t="str">
        <f t="shared" si="30"/>
        <v>TUNTAS</v>
      </c>
      <c r="CU14" s="106" t="str">
        <f t="shared" si="31"/>
        <v>TUNTAS</v>
      </c>
      <c r="CV14" s="116" t="str">
        <f t="shared" si="32"/>
        <v>Penguasaan materi sudah baik dalam Menelaah struktur  dan kebahasaan puisi rakyat (pantun, syair, dan bentuk puisi rakyat setempat) yang dibaca dan didengar</v>
      </c>
      <c r="CW14" s="109" t="str">
        <f>IF(CI14="","",VLOOKUP(CI14,DATAPENG!$T$3:$U$12,2,FALSE))</f>
        <v>Menelaah struktur  dan kebahasaan puisi rakyat (pantun, syair, dan bentuk puisi rakyat setempat) yang dibaca dan didengar</v>
      </c>
      <c r="CX14" s="109" t="str">
        <f>IF(CJ14="","",VLOOKUP(CJ14,DATAPENG!$T$3:$U$12,2,FALSE))</f>
        <v>Mengidentifikasi informasi (pesan, rima, dan pilihan kata) dari puisi rakyat (pantun, syair, dan bentuk puisi rakyat setempat) yang dibaca dan didengar</v>
      </c>
    </row>
    <row r="15" spans="1:102" ht="16.5">
      <c r="A15" s="105">
        <f>'DATA SISWA'!A15</f>
        <v>11</v>
      </c>
      <c r="B15" s="105" t="str">
        <f>'DATA SISWA'!B15</f>
        <v>7651</v>
      </c>
      <c r="C15" s="105" t="str">
        <f>'DATA SISWA'!C15</f>
        <v>FADIA FASSA</v>
      </c>
      <c r="D15" s="105" t="str">
        <f>'DATA SISWA'!D15</f>
        <v>P</v>
      </c>
      <c r="E15" s="105" t="str">
        <f>'DATA SISWA'!E15</f>
        <v>VII-J</v>
      </c>
      <c r="F15" s="407">
        <v>85</v>
      </c>
      <c r="G15" s="101"/>
      <c r="H15" s="407">
        <v>85</v>
      </c>
      <c r="I15" s="407"/>
      <c r="J15" s="308">
        <f t="shared" si="53"/>
        <v>85</v>
      </c>
      <c r="K15" s="101"/>
      <c r="L15" s="101"/>
      <c r="M15" s="317">
        <f t="shared" si="54"/>
        <v>85</v>
      </c>
      <c r="N15" s="407">
        <v>85</v>
      </c>
      <c r="O15" s="101"/>
      <c r="P15" s="407">
        <v>90</v>
      </c>
      <c r="Q15" s="407"/>
      <c r="R15" s="308">
        <f t="shared" si="55"/>
        <v>87.5</v>
      </c>
      <c r="S15" s="101"/>
      <c r="T15" s="101"/>
      <c r="U15" s="317">
        <f t="shared" si="56"/>
        <v>87.5</v>
      </c>
      <c r="V15" s="101"/>
      <c r="W15" s="101"/>
      <c r="X15" s="101"/>
      <c r="Y15" s="91"/>
      <c r="Z15" s="308" t="str">
        <f t="shared" si="57"/>
        <v/>
      </c>
      <c r="AA15" s="101"/>
      <c r="AB15" s="101"/>
      <c r="AC15" s="317" t="str">
        <f t="shared" si="58"/>
        <v/>
      </c>
      <c r="AD15" s="101"/>
      <c r="AE15" s="101"/>
      <c r="AF15" s="101"/>
      <c r="AG15" s="91"/>
      <c r="AH15" s="308" t="str">
        <f t="shared" si="59"/>
        <v/>
      </c>
      <c r="AI15" s="101"/>
      <c r="AJ15" s="101"/>
      <c r="AK15" s="317" t="str">
        <f t="shared" si="60"/>
        <v/>
      </c>
      <c r="AL15" s="101"/>
      <c r="AM15" s="101"/>
      <c r="AN15" s="101"/>
      <c r="AO15" s="91"/>
      <c r="AP15" s="308" t="str">
        <f t="shared" si="61"/>
        <v/>
      </c>
      <c r="AQ15" s="101"/>
      <c r="AR15" s="101"/>
      <c r="AS15" s="317" t="str">
        <f t="shared" si="62"/>
        <v/>
      </c>
      <c r="AT15" s="101"/>
      <c r="AU15" s="101"/>
      <c r="AV15" s="101"/>
      <c r="AW15" s="91"/>
      <c r="AX15" s="308" t="str">
        <f t="shared" si="63"/>
        <v/>
      </c>
      <c r="AY15" s="101"/>
      <c r="AZ15" s="101"/>
      <c r="BA15" s="317" t="str">
        <f t="shared" si="64"/>
        <v/>
      </c>
      <c r="BB15" s="101"/>
      <c r="BC15" s="101"/>
      <c r="BD15" s="101"/>
      <c r="BE15" s="91"/>
      <c r="BF15" s="308" t="str">
        <f t="shared" si="65"/>
        <v/>
      </c>
      <c r="BG15" s="101"/>
      <c r="BH15" s="101"/>
      <c r="BI15" s="317" t="str">
        <f t="shared" si="66"/>
        <v/>
      </c>
      <c r="BJ15" s="101"/>
      <c r="BK15" s="101"/>
      <c r="BL15" s="101"/>
      <c r="BM15" s="91"/>
      <c r="BN15" s="308" t="str">
        <f t="shared" si="67"/>
        <v/>
      </c>
      <c r="BO15" s="101"/>
      <c r="BP15" s="101"/>
      <c r="BQ15" s="317" t="str">
        <f t="shared" si="68"/>
        <v/>
      </c>
      <c r="BR15" s="101"/>
      <c r="BS15" s="101"/>
      <c r="BT15" s="101"/>
      <c r="BU15" s="91"/>
      <c r="BV15" s="308" t="str">
        <f t="shared" si="69"/>
        <v/>
      </c>
      <c r="BW15" s="101"/>
      <c r="BX15" s="101"/>
      <c r="BY15" s="317" t="str">
        <f t="shared" si="70"/>
        <v/>
      </c>
      <c r="BZ15" s="101"/>
      <c r="CA15" s="101"/>
      <c r="CB15" s="101"/>
      <c r="CC15" s="91"/>
      <c r="CD15" s="308" t="str">
        <f t="shared" si="71"/>
        <v/>
      </c>
      <c r="CE15" s="101"/>
      <c r="CF15" s="101"/>
      <c r="CG15" s="317" t="str">
        <f t="shared" si="72"/>
        <v/>
      </c>
      <c r="CH15" s="319">
        <f t="shared" si="0"/>
        <v>86.25</v>
      </c>
      <c r="CI15" s="105">
        <f t="shared" si="1"/>
        <v>87.5</v>
      </c>
      <c r="CJ15" s="105">
        <f t="shared" si="2"/>
        <v>85</v>
      </c>
      <c r="CK15" s="408">
        <v>55</v>
      </c>
      <c r="CL15" s="101">
        <v>70</v>
      </c>
      <c r="CM15" s="320">
        <f t="shared" si="23"/>
        <v>258.75</v>
      </c>
      <c r="CN15" s="320">
        <f t="shared" si="24"/>
        <v>82.5</v>
      </c>
      <c r="CO15" s="320">
        <f t="shared" si="25"/>
        <v>35</v>
      </c>
      <c r="CP15" s="227">
        <f t="shared" si="26"/>
        <v>75.25</v>
      </c>
      <c r="CQ15" s="321">
        <f t="shared" si="27"/>
        <v>76</v>
      </c>
      <c r="CR15" s="106" t="str">
        <f t="shared" si="28"/>
        <v>B</v>
      </c>
      <c r="CS15" s="106" t="str">
        <f t="shared" si="29"/>
        <v>baik</v>
      </c>
      <c r="CT15" s="106" t="str">
        <f t="shared" si="30"/>
        <v>TUNTAS</v>
      </c>
      <c r="CU15" s="106" t="str">
        <f t="shared" si="31"/>
        <v>TUNTAS</v>
      </c>
      <c r="CV15" s="116" t="str">
        <f t="shared" si="32"/>
        <v>Penguasaan materi sudah baik dalam Menelaah struktur  dan kebahasaan puisi rakyat (pantun, syair, dan bentuk puisi rakyat setempat) yang dibaca dan didengar</v>
      </c>
      <c r="CW15" s="109" t="str">
        <f>IF(CI15="","",VLOOKUP(CI15,DATAPENG!$V$3:$W$12,2,FALSE))</f>
        <v>Menelaah struktur  dan kebahasaan puisi rakyat (pantun, syair, dan bentuk puisi rakyat setempat) yang dibaca dan didengar</v>
      </c>
      <c r="CX15" s="109" t="str">
        <f>IF(CJ15="","",VLOOKUP(CJ15,DATAPENG!$V$3:$W$12,2,FALSE))</f>
        <v>Mengidentifikasi informasi (pesan, rima, dan pilihan kata) dari puisi rakyat (pantun, syair, dan bentuk puisi rakyat setempat) yang dibaca dan didengar</v>
      </c>
    </row>
    <row r="16" spans="1:102" ht="16.5">
      <c r="A16" s="105">
        <f>'DATA SISWA'!A16</f>
        <v>12</v>
      </c>
      <c r="B16" s="105" t="str">
        <f>'DATA SISWA'!B16</f>
        <v>7652</v>
      </c>
      <c r="C16" s="105" t="str">
        <f>'DATA SISWA'!C16</f>
        <v>FATIMATUZ  ZAHROH</v>
      </c>
      <c r="D16" s="105" t="str">
        <f>'DATA SISWA'!D16</f>
        <v>P</v>
      </c>
      <c r="E16" s="105" t="str">
        <f>'DATA SISWA'!E16</f>
        <v>VII-J</v>
      </c>
      <c r="F16" s="407">
        <v>85</v>
      </c>
      <c r="G16" s="101"/>
      <c r="H16" s="407">
        <v>85</v>
      </c>
      <c r="I16" s="407"/>
      <c r="J16" s="308">
        <f t="shared" si="53"/>
        <v>85</v>
      </c>
      <c r="K16" s="101"/>
      <c r="L16" s="101"/>
      <c r="M16" s="317">
        <f t="shared" si="54"/>
        <v>85</v>
      </c>
      <c r="N16" s="407">
        <v>85</v>
      </c>
      <c r="O16" s="101"/>
      <c r="P16" s="407">
        <v>85</v>
      </c>
      <c r="Q16" s="407"/>
      <c r="R16" s="308">
        <f t="shared" si="55"/>
        <v>85</v>
      </c>
      <c r="S16" s="101"/>
      <c r="T16" s="101"/>
      <c r="U16" s="317">
        <f t="shared" si="56"/>
        <v>85</v>
      </c>
      <c r="V16" s="101"/>
      <c r="W16" s="101"/>
      <c r="X16" s="101"/>
      <c r="Y16" s="91"/>
      <c r="Z16" s="308" t="str">
        <f t="shared" si="57"/>
        <v/>
      </c>
      <c r="AA16" s="101"/>
      <c r="AB16" s="101"/>
      <c r="AC16" s="317" t="str">
        <f t="shared" si="58"/>
        <v/>
      </c>
      <c r="AD16" s="101"/>
      <c r="AE16" s="101"/>
      <c r="AF16" s="101"/>
      <c r="AG16" s="91"/>
      <c r="AH16" s="308" t="str">
        <f t="shared" si="59"/>
        <v/>
      </c>
      <c r="AI16" s="101"/>
      <c r="AJ16" s="101"/>
      <c r="AK16" s="317" t="str">
        <f t="shared" si="60"/>
        <v/>
      </c>
      <c r="AL16" s="101"/>
      <c r="AM16" s="101"/>
      <c r="AN16" s="101"/>
      <c r="AO16" s="91"/>
      <c r="AP16" s="308" t="str">
        <f t="shared" si="61"/>
        <v/>
      </c>
      <c r="AQ16" s="101"/>
      <c r="AR16" s="101"/>
      <c r="AS16" s="317" t="str">
        <f t="shared" si="62"/>
        <v/>
      </c>
      <c r="AT16" s="101"/>
      <c r="AU16" s="101"/>
      <c r="AV16" s="101"/>
      <c r="AW16" s="91"/>
      <c r="AX16" s="308" t="str">
        <f t="shared" si="63"/>
        <v/>
      </c>
      <c r="AY16" s="101"/>
      <c r="AZ16" s="101"/>
      <c r="BA16" s="317" t="str">
        <f t="shared" si="64"/>
        <v/>
      </c>
      <c r="BB16" s="101"/>
      <c r="BC16" s="101"/>
      <c r="BD16" s="101"/>
      <c r="BE16" s="91"/>
      <c r="BF16" s="308" t="str">
        <f t="shared" si="65"/>
        <v/>
      </c>
      <c r="BG16" s="101"/>
      <c r="BH16" s="101"/>
      <c r="BI16" s="317" t="str">
        <f t="shared" si="66"/>
        <v/>
      </c>
      <c r="BJ16" s="101"/>
      <c r="BK16" s="101"/>
      <c r="BL16" s="101"/>
      <c r="BM16" s="91"/>
      <c r="BN16" s="308" t="str">
        <f t="shared" si="67"/>
        <v/>
      </c>
      <c r="BO16" s="101"/>
      <c r="BP16" s="101"/>
      <c r="BQ16" s="317" t="str">
        <f t="shared" si="68"/>
        <v/>
      </c>
      <c r="BR16" s="101"/>
      <c r="BS16" s="101"/>
      <c r="BT16" s="101"/>
      <c r="BU16" s="91"/>
      <c r="BV16" s="308" t="str">
        <f t="shared" si="69"/>
        <v/>
      </c>
      <c r="BW16" s="101"/>
      <c r="BX16" s="101"/>
      <c r="BY16" s="317" t="str">
        <f t="shared" si="70"/>
        <v/>
      </c>
      <c r="BZ16" s="101"/>
      <c r="CA16" s="101"/>
      <c r="CB16" s="101"/>
      <c r="CC16" s="91"/>
      <c r="CD16" s="308" t="str">
        <f t="shared" si="71"/>
        <v/>
      </c>
      <c r="CE16" s="101"/>
      <c r="CF16" s="101"/>
      <c r="CG16" s="317" t="str">
        <f t="shared" si="72"/>
        <v/>
      </c>
      <c r="CH16" s="319">
        <f t="shared" si="0"/>
        <v>85</v>
      </c>
      <c r="CI16" s="105">
        <f t="shared" si="1"/>
        <v>85</v>
      </c>
      <c r="CJ16" s="105">
        <f t="shared" si="2"/>
        <v>85</v>
      </c>
      <c r="CK16" s="408">
        <v>66</v>
      </c>
      <c r="CL16" s="101">
        <v>86</v>
      </c>
      <c r="CM16" s="320">
        <f t="shared" si="23"/>
        <v>255</v>
      </c>
      <c r="CN16" s="320">
        <f t="shared" si="24"/>
        <v>99</v>
      </c>
      <c r="CO16" s="320">
        <f t="shared" si="25"/>
        <v>43</v>
      </c>
      <c r="CP16" s="227">
        <f t="shared" si="26"/>
        <v>79.400000000000006</v>
      </c>
      <c r="CQ16" s="321">
        <f t="shared" si="27"/>
        <v>80</v>
      </c>
      <c r="CR16" s="106" t="str">
        <f t="shared" si="28"/>
        <v>B</v>
      </c>
      <c r="CS16" s="106" t="str">
        <f t="shared" si="29"/>
        <v>baik</v>
      </c>
      <c r="CT16" s="106" t="str">
        <f t="shared" si="30"/>
        <v>TUNTAS</v>
      </c>
      <c r="CU16" s="106" t="str">
        <f t="shared" si="31"/>
        <v>TUNTAS</v>
      </c>
      <c r="CV16" s="116" t="str">
        <f t="shared" si="32"/>
        <v>Penguasaan materi sudah baik dalam Mengidentifikasi informasi (pesan, rima, dan pilihan kata) dari puisi rakyat (pantun, syair, dan bentuk puisi rakyat setempat) yang dibaca dan didengar</v>
      </c>
      <c r="CW16" s="109" t="str">
        <f>IF(CI16="","",VLOOKUP(CI16,DATAPENG!$X$3:$Y$12,2,FALSE))</f>
        <v>Mengidentifikasi informasi (pesan, rima, dan pilihan kata) dari puisi rakyat (pantun, syair, dan bentuk puisi rakyat setempat) yang dibaca dan didengar</v>
      </c>
      <c r="CX16" s="109" t="str">
        <f>IF(CJ16="","",VLOOKUP(CJ16,DATAPENG!$X$3:$Y$12,2,FALSE))</f>
        <v>Mengidentifikasi informasi (pesan, rima, dan pilihan kata) dari puisi rakyat (pantun, syair, dan bentuk puisi rakyat setempat) yang dibaca dan didengar</v>
      </c>
    </row>
    <row r="17" spans="1:102" ht="16.5">
      <c r="A17" s="105">
        <f>'DATA SISWA'!A17</f>
        <v>13</v>
      </c>
      <c r="B17" s="105" t="str">
        <f>'DATA SISWA'!B17</f>
        <v>7653</v>
      </c>
      <c r="C17" s="105" t="str">
        <f>'DATA SISWA'!C17</f>
        <v>IMAM FATONI</v>
      </c>
      <c r="D17" s="105" t="str">
        <f>'DATA SISWA'!D17</f>
        <v>L</v>
      </c>
      <c r="E17" s="105" t="str">
        <f>'DATA SISWA'!E17</f>
        <v>VII-J</v>
      </c>
      <c r="F17" s="407">
        <v>80</v>
      </c>
      <c r="G17" s="101"/>
      <c r="H17" s="407">
        <v>75</v>
      </c>
      <c r="I17" s="407"/>
      <c r="J17" s="308">
        <f>IF(AND(F17="",G17="",H17="",I17=""),"",AVERAGE(F17:I17))</f>
        <v>77.5</v>
      </c>
      <c r="K17" s="101"/>
      <c r="L17" s="101"/>
      <c r="M17" s="317">
        <f>IF(AND(F17="",G17="",H17="",I17=""),"",IF(AND(K17="",L17=""),J17,IF(OR(L17="",K17="",L17&lt;=$CT$2),MAX(J17:L17),$CT$2)))</f>
        <v>77.5</v>
      </c>
      <c r="N17" s="407">
        <v>80</v>
      </c>
      <c r="O17" s="101"/>
      <c r="P17" s="407">
        <v>80</v>
      </c>
      <c r="Q17" s="407"/>
      <c r="R17" s="308">
        <f>IF(AND(N17="",O17="",P17="",Q17=""),"",AVERAGE(N17:Q17))</f>
        <v>80</v>
      </c>
      <c r="S17" s="101"/>
      <c r="T17" s="101"/>
      <c r="U17" s="317">
        <f>IF(AND(N17="",O17="",P17="",Q17=""),"",IF(AND(S17="",T17=""),R17,IF(OR(T17="",S17="",T17&lt;=$CT$2),MAX(R17:T17),$CT$2)))</f>
        <v>80</v>
      </c>
      <c r="V17" s="101"/>
      <c r="W17" s="101"/>
      <c r="X17" s="101"/>
      <c r="Y17" s="91"/>
      <c r="Z17" s="308" t="str">
        <f>IF(AND(V17="",W17="",X17="",Y17=""),"",AVERAGE(V17:Y17))</f>
        <v/>
      </c>
      <c r="AA17" s="101"/>
      <c r="AB17" s="101"/>
      <c r="AC17" s="317" t="str">
        <f>IF(AND(V17="",W17="",X17="",Y17=""),"",IF(AND(AA17="",AB17=""),Z17,IF(OR(AB17="",AA17="",AB17&lt;=$CT$2),MAX(Z17:AB17),$CT$2)))</f>
        <v/>
      </c>
      <c r="AD17" s="101"/>
      <c r="AE17" s="101"/>
      <c r="AF17" s="101"/>
      <c r="AG17" s="91"/>
      <c r="AH17" s="308" t="str">
        <f>IF(AND(AD17="",AE17="",AF17="",AG17=""),"",AVERAGE(AD17:AG17))</f>
        <v/>
      </c>
      <c r="AI17" s="101"/>
      <c r="AJ17" s="101"/>
      <c r="AK17" s="317" t="str">
        <f>IF(AND(AD17="",AE17="",AF17="",AG17=""),"",IF(AND(AI17="",AJ17=""),AH17,IF(OR(AJ17="",AI17="",AJ17&lt;=$CT$2),MAX(AH17:AJ17),$CT$2)))</f>
        <v/>
      </c>
      <c r="AL17" s="101"/>
      <c r="AM17" s="101"/>
      <c r="AN17" s="101"/>
      <c r="AO17" s="91"/>
      <c r="AP17" s="308" t="str">
        <f>IF(AND(AL17="",AM17="",AN17="",AO17=""),"",AVERAGE(AL17:AO17))</f>
        <v/>
      </c>
      <c r="AQ17" s="101"/>
      <c r="AR17" s="101"/>
      <c r="AS17" s="317" t="str">
        <f>IF(AND(AL17="",AM17="",AN17="",AO17=""),"",IF(AND(AQ17="",AR17=""),AP17,IF(OR(AR17="",AQ17="",AR17&lt;=$CT$2),MAX(AP17:AR17),$CT$2)))</f>
        <v/>
      </c>
      <c r="AT17" s="101"/>
      <c r="AU17" s="101"/>
      <c r="AV17" s="101"/>
      <c r="AW17" s="91"/>
      <c r="AX17" s="308" t="str">
        <f>IF(AND(AT17="",AU17="",AV17="",AW17=""),"",AVERAGE(AT17:AW17))</f>
        <v/>
      </c>
      <c r="AY17" s="101"/>
      <c r="AZ17" s="101"/>
      <c r="BA17" s="317" t="str">
        <f>IF(AND(AT17="",AU17="",AV17="",AW17=""),"",IF(AND(AY17="",AZ17=""),AX17,IF(OR(AZ17="",AY17="",AZ17&lt;=$CT$2),MAX(AX17:AZ17),$CT$2)))</f>
        <v/>
      </c>
      <c r="BB17" s="101"/>
      <c r="BC17" s="101"/>
      <c r="BD17" s="101"/>
      <c r="BE17" s="91"/>
      <c r="BF17" s="308" t="str">
        <f>IF(AND(BB17="",BC17="",BD17="",BE17=""),"",AVERAGE(BB17:BE17))</f>
        <v/>
      </c>
      <c r="BG17" s="101"/>
      <c r="BH17" s="101"/>
      <c r="BI17" s="317" t="str">
        <f>IF(AND(BB17="",BC17="",BD17="",BE17=""),"",IF(AND(BG17="",BH17=""),BF17,IF(OR(BH17="",BG17="",BH17&lt;=$CT$2),MAX(BF17:BH17),$CT$2)))</f>
        <v/>
      </c>
      <c r="BJ17" s="101"/>
      <c r="BK17" s="101"/>
      <c r="BL17" s="101"/>
      <c r="BM17" s="91"/>
      <c r="BN17" s="308" t="str">
        <f>IF(AND(BJ17="",BK17="",BL17="",BM17=""),"",AVERAGE(BJ17:BM17))</f>
        <v/>
      </c>
      <c r="BO17" s="101"/>
      <c r="BP17" s="101"/>
      <c r="BQ17" s="317" t="str">
        <f>IF(AND(BJ17="",BK17="",BL17="",BM17=""),"",IF(AND(BO17="",BP17=""),BN17,IF(OR(BP17="",BO17="",BP17&lt;=$CT$2),MAX(BN17:BP17),$CT$2)))</f>
        <v/>
      </c>
      <c r="BR17" s="101"/>
      <c r="BS17" s="101"/>
      <c r="BT17" s="101"/>
      <c r="BU17" s="91"/>
      <c r="BV17" s="308" t="str">
        <f>IF(AND(BR17="",BS17="",BT17="",BU17=""),"",AVERAGE(BR17:BU17))</f>
        <v/>
      </c>
      <c r="BW17" s="101"/>
      <c r="BX17" s="101"/>
      <c r="BY17" s="317" t="str">
        <f>IF(AND(BR17="",BS17="",BT17="",BU17=""),"",IF(AND(BW17="",BX17=""),BV17,IF(OR(BX17="",BW17="",BX17&lt;=$CT$2),MAX(BV17:BX17),$CT$2)))</f>
        <v/>
      </c>
      <c r="BZ17" s="101"/>
      <c r="CA17" s="101"/>
      <c r="CB17" s="101"/>
      <c r="CC17" s="91"/>
      <c r="CD17" s="308" t="str">
        <f>IF(AND(BZ17="",CA17="",CB17="",CC17=""),"",AVERAGE(BZ17:CC17))</f>
        <v/>
      </c>
      <c r="CE17" s="101"/>
      <c r="CF17" s="101"/>
      <c r="CG17" s="317" t="str">
        <f>IF(AND(BZ17="",CA17="",CB17="",CC17=""),"",IF(AND(CE17="",CF17=""),CD17,IF(OR(CF17="",CE17="",CF17&lt;=$CT$2),MAX(CD17:CF17),$CT$2)))</f>
        <v/>
      </c>
      <c r="CH17" s="319">
        <f t="shared" si="0"/>
        <v>78.75</v>
      </c>
      <c r="CI17" s="105">
        <f t="shared" si="1"/>
        <v>80</v>
      </c>
      <c r="CJ17" s="105">
        <f t="shared" si="2"/>
        <v>77.5</v>
      </c>
      <c r="CK17" s="408">
        <v>70</v>
      </c>
      <c r="CL17" s="101">
        <v>73</v>
      </c>
      <c r="CM17" s="320">
        <f t="shared" si="23"/>
        <v>236.25</v>
      </c>
      <c r="CN17" s="320">
        <f t="shared" si="24"/>
        <v>105</v>
      </c>
      <c r="CO17" s="320">
        <f t="shared" si="25"/>
        <v>36.5</v>
      </c>
      <c r="CP17" s="227">
        <f t="shared" si="26"/>
        <v>75.55</v>
      </c>
      <c r="CQ17" s="321">
        <f t="shared" si="27"/>
        <v>76</v>
      </c>
      <c r="CR17" s="106" t="str">
        <f t="shared" si="28"/>
        <v>B</v>
      </c>
      <c r="CS17" s="106" t="str">
        <f t="shared" si="29"/>
        <v>baik</v>
      </c>
      <c r="CT17" s="106" t="str">
        <f t="shared" si="30"/>
        <v>TUNTAS</v>
      </c>
      <c r="CU17" s="106" t="str">
        <f t="shared" si="31"/>
        <v>TUNTAS</v>
      </c>
      <c r="CV17" s="116" t="str">
        <f t="shared" si="32"/>
        <v>Penguasaan materi sudah baik dalam Menelaah struktur  dan kebahasaan puisi rakyat (pantun, syair, dan bentuk puisi rakyat setempat) yang dibaca dan didengar</v>
      </c>
      <c r="CW17" s="109" t="str">
        <f>IF(CI17="","",VLOOKUP(CI17,DATAPENG!$Z$3:$AA$12,2,FALSE))</f>
        <v>Menelaah struktur  dan kebahasaan puisi rakyat (pantun, syair, dan bentuk puisi rakyat setempat) yang dibaca dan didengar</v>
      </c>
      <c r="CX17" s="109" t="str">
        <f>IF(CJ17="","",VLOOKUP(CJ17,DATAPENG!$Z$3:$AA$12,2,FALSE))</f>
        <v>Mengidentifikasi informasi (pesan, rima, dan pilihan kata) dari puisi rakyat (pantun, syair, dan bentuk puisi rakyat setempat) yang dibaca dan didengar</v>
      </c>
    </row>
    <row r="18" spans="1:102" ht="16.5">
      <c r="A18" s="105">
        <f>'DATA SISWA'!A18</f>
        <v>14</v>
      </c>
      <c r="B18" s="105" t="str">
        <f>'DATA SISWA'!B18</f>
        <v>7654</v>
      </c>
      <c r="C18" s="105" t="str">
        <f>'DATA SISWA'!C18</f>
        <v>ISMA SRI WAHYUNI</v>
      </c>
      <c r="D18" s="105" t="str">
        <f>'DATA SISWA'!D18</f>
        <v>P</v>
      </c>
      <c r="E18" s="105" t="str">
        <f>'DATA SISWA'!E18</f>
        <v>VII-J</v>
      </c>
      <c r="F18" s="407">
        <v>90</v>
      </c>
      <c r="G18" s="101"/>
      <c r="H18" s="407">
        <v>85</v>
      </c>
      <c r="I18" s="407"/>
      <c r="J18" s="308">
        <f t="shared" ref="J18:J20" si="73">IF(AND(F18="",G18="",H18="",I18=""),"",AVERAGE(F18:I18))</f>
        <v>87.5</v>
      </c>
      <c r="K18" s="101"/>
      <c r="L18" s="101"/>
      <c r="M18" s="317">
        <f t="shared" ref="M18:M20" si="74">IF(AND(F18="",G18="",H18="",I18=""),"",IF(AND(K18="",L18=""),J18,IF(OR(L18="",K18="",L18&lt;=$CT$2),MAX(J18:L18),$CT$2)))</f>
        <v>87.5</v>
      </c>
      <c r="N18" s="407">
        <v>85</v>
      </c>
      <c r="O18" s="101"/>
      <c r="P18" s="407">
        <v>85</v>
      </c>
      <c r="Q18" s="407"/>
      <c r="R18" s="308">
        <f t="shared" ref="R18:R20" si="75">IF(AND(N18="",O18="",P18="",Q18=""),"",AVERAGE(N18:Q18))</f>
        <v>85</v>
      </c>
      <c r="S18" s="101"/>
      <c r="T18" s="101"/>
      <c r="U18" s="317">
        <f t="shared" ref="U18:U20" si="76">IF(AND(N18="",O18="",P18="",Q18=""),"",IF(AND(S18="",T18=""),R18,IF(OR(T18="",S18="",T18&lt;=$CT$2),MAX(R18:T18),$CT$2)))</f>
        <v>85</v>
      </c>
      <c r="V18" s="101"/>
      <c r="W18" s="101"/>
      <c r="X18" s="101"/>
      <c r="Y18" s="91"/>
      <c r="Z18" s="308" t="str">
        <f t="shared" ref="Z18:Z20" si="77">IF(AND(V18="",W18="",X18="",Y18=""),"",AVERAGE(V18:Y18))</f>
        <v/>
      </c>
      <c r="AA18" s="101"/>
      <c r="AB18" s="101"/>
      <c r="AC18" s="317" t="str">
        <f t="shared" ref="AC18:AC20" si="78">IF(AND(V18="",W18="",X18="",Y18=""),"",IF(AND(AA18="",AB18=""),Z18,IF(OR(AB18="",AA18="",AB18&lt;=$CT$2),MAX(Z18:AB18),$CT$2)))</f>
        <v/>
      </c>
      <c r="AD18" s="101"/>
      <c r="AE18" s="101"/>
      <c r="AF18" s="101"/>
      <c r="AG18" s="91"/>
      <c r="AH18" s="308" t="str">
        <f t="shared" ref="AH18:AH20" si="79">IF(AND(AD18="",AE18="",AF18="",AG18=""),"",AVERAGE(AD18:AG18))</f>
        <v/>
      </c>
      <c r="AI18" s="101"/>
      <c r="AJ18" s="101"/>
      <c r="AK18" s="317" t="str">
        <f t="shared" ref="AK18:AK20" si="80">IF(AND(AD18="",AE18="",AF18="",AG18=""),"",IF(AND(AI18="",AJ18=""),AH18,IF(OR(AJ18="",AI18="",AJ18&lt;=$CT$2),MAX(AH18:AJ18),$CT$2)))</f>
        <v/>
      </c>
      <c r="AL18" s="101"/>
      <c r="AM18" s="101"/>
      <c r="AN18" s="101"/>
      <c r="AO18" s="91"/>
      <c r="AP18" s="308" t="str">
        <f t="shared" ref="AP18:AP20" si="81">IF(AND(AL18="",AM18="",AN18="",AO18=""),"",AVERAGE(AL18:AO18))</f>
        <v/>
      </c>
      <c r="AQ18" s="101"/>
      <c r="AR18" s="101"/>
      <c r="AS18" s="317" t="str">
        <f t="shared" ref="AS18:AS20" si="82">IF(AND(AL18="",AM18="",AN18="",AO18=""),"",IF(AND(AQ18="",AR18=""),AP18,IF(OR(AR18="",AQ18="",AR18&lt;=$CT$2),MAX(AP18:AR18),$CT$2)))</f>
        <v/>
      </c>
      <c r="AT18" s="101"/>
      <c r="AU18" s="101"/>
      <c r="AV18" s="101"/>
      <c r="AW18" s="91"/>
      <c r="AX18" s="308" t="str">
        <f t="shared" ref="AX18:AX20" si="83">IF(AND(AT18="",AU18="",AV18="",AW18=""),"",AVERAGE(AT18:AW18))</f>
        <v/>
      </c>
      <c r="AY18" s="101"/>
      <c r="AZ18" s="101"/>
      <c r="BA18" s="317" t="str">
        <f t="shared" ref="BA18:BA20" si="84">IF(AND(AT18="",AU18="",AV18="",AW18=""),"",IF(AND(AY18="",AZ18=""),AX18,IF(OR(AZ18="",AY18="",AZ18&lt;=$CT$2),MAX(AX18:AZ18),$CT$2)))</f>
        <v/>
      </c>
      <c r="BB18" s="101"/>
      <c r="BC18" s="101"/>
      <c r="BD18" s="101"/>
      <c r="BE18" s="91"/>
      <c r="BF18" s="308" t="str">
        <f t="shared" ref="BF18:BF20" si="85">IF(AND(BB18="",BC18="",BD18="",BE18=""),"",AVERAGE(BB18:BE18))</f>
        <v/>
      </c>
      <c r="BG18" s="101"/>
      <c r="BH18" s="101"/>
      <c r="BI18" s="317" t="str">
        <f t="shared" ref="BI18:BI20" si="86">IF(AND(BB18="",BC18="",BD18="",BE18=""),"",IF(AND(BG18="",BH18=""),BF18,IF(OR(BH18="",BG18="",BH18&lt;=$CT$2),MAX(BF18:BH18),$CT$2)))</f>
        <v/>
      </c>
      <c r="BJ18" s="101"/>
      <c r="BK18" s="101"/>
      <c r="BL18" s="101"/>
      <c r="BM18" s="91"/>
      <c r="BN18" s="308" t="str">
        <f t="shared" ref="BN18:BN20" si="87">IF(AND(BJ18="",BK18="",BL18="",BM18=""),"",AVERAGE(BJ18:BM18))</f>
        <v/>
      </c>
      <c r="BO18" s="101"/>
      <c r="BP18" s="101"/>
      <c r="BQ18" s="317" t="str">
        <f t="shared" ref="BQ18:BQ20" si="88">IF(AND(BJ18="",BK18="",BL18="",BM18=""),"",IF(AND(BO18="",BP18=""),BN18,IF(OR(BP18="",BO18="",BP18&lt;=$CT$2),MAX(BN18:BP18),$CT$2)))</f>
        <v/>
      </c>
      <c r="BR18" s="101"/>
      <c r="BS18" s="101"/>
      <c r="BT18" s="101"/>
      <c r="BU18" s="91"/>
      <c r="BV18" s="308" t="str">
        <f t="shared" ref="BV18:BV20" si="89">IF(AND(BR18="",BS18="",BT18="",BU18=""),"",AVERAGE(BR18:BU18))</f>
        <v/>
      </c>
      <c r="BW18" s="101"/>
      <c r="BX18" s="101"/>
      <c r="BY18" s="317" t="str">
        <f t="shared" ref="BY18:BY20" si="90">IF(AND(BR18="",BS18="",BT18="",BU18=""),"",IF(AND(BW18="",BX18=""),BV18,IF(OR(BX18="",BW18="",BX18&lt;=$CT$2),MAX(BV18:BX18),$CT$2)))</f>
        <v/>
      </c>
      <c r="BZ18" s="101"/>
      <c r="CA18" s="101"/>
      <c r="CB18" s="101"/>
      <c r="CC18" s="91"/>
      <c r="CD18" s="308" t="str">
        <f t="shared" ref="CD18:CD20" si="91">IF(AND(BZ18="",CA18="",CB18="",CC18=""),"",AVERAGE(BZ18:CC18))</f>
        <v/>
      </c>
      <c r="CE18" s="101"/>
      <c r="CF18" s="101"/>
      <c r="CG18" s="317" t="str">
        <f t="shared" ref="CG18:CG20" si="92">IF(AND(BZ18="",CA18="",CB18="",CC18=""),"",IF(AND(CE18="",CF18=""),CD18,IF(OR(CF18="",CE18="",CF18&lt;=$CT$2),MAX(CD18:CF18),$CT$2)))</f>
        <v/>
      </c>
      <c r="CH18" s="319">
        <f t="shared" si="0"/>
        <v>86.25</v>
      </c>
      <c r="CI18" s="105">
        <f t="shared" si="1"/>
        <v>87.5</v>
      </c>
      <c r="CJ18" s="105">
        <f t="shared" si="2"/>
        <v>85</v>
      </c>
      <c r="CK18" s="408">
        <v>66</v>
      </c>
      <c r="CL18" s="101">
        <v>70</v>
      </c>
      <c r="CM18" s="320">
        <f t="shared" si="23"/>
        <v>258.75</v>
      </c>
      <c r="CN18" s="320">
        <f t="shared" si="24"/>
        <v>99</v>
      </c>
      <c r="CO18" s="320">
        <f t="shared" si="25"/>
        <v>35</v>
      </c>
      <c r="CP18" s="227">
        <f t="shared" si="26"/>
        <v>78.55</v>
      </c>
      <c r="CQ18" s="321">
        <f t="shared" si="27"/>
        <v>79</v>
      </c>
      <c r="CR18" s="106" t="str">
        <f t="shared" si="28"/>
        <v>B</v>
      </c>
      <c r="CS18" s="106" t="str">
        <f t="shared" si="29"/>
        <v>baik</v>
      </c>
      <c r="CT18" s="106" t="str">
        <f t="shared" si="30"/>
        <v>TUNTAS</v>
      </c>
      <c r="CU18" s="106" t="str">
        <f t="shared" si="31"/>
        <v>TUNTAS</v>
      </c>
      <c r="CV18" s="116" t="str">
        <f t="shared" si="32"/>
        <v>Penguasaan materi sudah baik dalam Mengidentifikasi informasi (pesan, rima, dan pilihan kata) dari puisi rakyat (pantun, syair, dan bentuk puisi rakyat setempat) yang dibaca dan didengar</v>
      </c>
      <c r="CW18" s="109" t="str">
        <f>IF(CI18="","",VLOOKUP(CI18,DATAPENG!$AB$3:$AC$12,2,FALSE))</f>
        <v>Mengidentifikasi informasi (pesan, rima, dan pilihan kata) dari puisi rakyat (pantun, syair, dan bentuk puisi rakyat setempat) yang dibaca dan didengar</v>
      </c>
      <c r="CX18" s="109" t="str">
        <f>IF(CJ18="","",VLOOKUP(CJ18,DATAPENG!$AB$3:$AC$12,2,FALSE))</f>
        <v>Menelaah struktur  dan kebahasaan puisi rakyat (pantun, syair, dan bentuk puisi rakyat setempat) yang dibaca dan didengar</v>
      </c>
    </row>
    <row r="19" spans="1:102" ht="16.5">
      <c r="A19" s="105">
        <f>'DATA SISWA'!A19</f>
        <v>15</v>
      </c>
      <c r="B19" s="105" t="str">
        <f>'DATA SISWA'!B19</f>
        <v>7655</v>
      </c>
      <c r="C19" s="105" t="str">
        <f>'DATA SISWA'!C19</f>
        <v>JAKFAR SODIK ROMADHONI</v>
      </c>
      <c r="D19" s="105" t="str">
        <f>'DATA SISWA'!D19</f>
        <v>L</v>
      </c>
      <c r="E19" s="105" t="str">
        <f>'DATA SISWA'!E19</f>
        <v>VII-J</v>
      </c>
      <c r="F19" s="407">
        <v>80</v>
      </c>
      <c r="G19" s="101"/>
      <c r="H19" s="407">
        <v>80</v>
      </c>
      <c r="I19" s="407"/>
      <c r="J19" s="308">
        <f t="shared" si="73"/>
        <v>80</v>
      </c>
      <c r="K19" s="101"/>
      <c r="L19" s="101"/>
      <c r="M19" s="317">
        <f t="shared" si="74"/>
        <v>80</v>
      </c>
      <c r="N19" s="407">
        <v>85</v>
      </c>
      <c r="O19" s="101"/>
      <c r="P19" s="407">
        <v>80</v>
      </c>
      <c r="Q19" s="407"/>
      <c r="R19" s="308">
        <f t="shared" si="75"/>
        <v>82.5</v>
      </c>
      <c r="S19" s="101"/>
      <c r="T19" s="101"/>
      <c r="U19" s="317">
        <f t="shared" si="76"/>
        <v>82.5</v>
      </c>
      <c r="V19" s="101"/>
      <c r="W19" s="101"/>
      <c r="X19" s="101"/>
      <c r="Y19" s="91"/>
      <c r="Z19" s="308" t="str">
        <f t="shared" si="77"/>
        <v/>
      </c>
      <c r="AA19" s="101"/>
      <c r="AB19" s="101"/>
      <c r="AC19" s="317" t="str">
        <f t="shared" si="78"/>
        <v/>
      </c>
      <c r="AD19" s="101"/>
      <c r="AE19" s="101"/>
      <c r="AF19" s="101"/>
      <c r="AG19" s="91"/>
      <c r="AH19" s="308" t="str">
        <f t="shared" si="79"/>
        <v/>
      </c>
      <c r="AI19" s="101"/>
      <c r="AJ19" s="101"/>
      <c r="AK19" s="317" t="str">
        <f t="shared" si="80"/>
        <v/>
      </c>
      <c r="AL19" s="101"/>
      <c r="AM19" s="101"/>
      <c r="AN19" s="101"/>
      <c r="AO19" s="91"/>
      <c r="AP19" s="308" t="str">
        <f t="shared" si="81"/>
        <v/>
      </c>
      <c r="AQ19" s="101"/>
      <c r="AR19" s="101"/>
      <c r="AS19" s="317" t="str">
        <f t="shared" si="82"/>
        <v/>
      </c>
      <c r="AT19" s="101"/>
      <c r="AU19" s="101"/>
      <c r="AV19" s="101"/>
      <c r="AW19" s="91"/>
      <c r="AX19" s="308" t="str">
        <f t="shared" si="83"/>
        <v/>
      </c>
      <c r="AY19" s="101"/>
      <c r="AZ19" s="101"/>
      <c r="BA19" s="317" t="str">
        <f t="shared" si="84"/>
        <v/>
      </c>
      <c r="BB19" s="101"/>
      <c r="BC19" s="101"/>
      <c r="BD19" s="101"/>
      <c r="BE19" s="91"/>
      <c r="BF19" s="308" t="str">
        <f t="shared" si="85"/>
        <v/>
      </c>
      <c r="BG19" s="101"/>
      <c r="BH19" s="101"/>
      <c r="BI19" s="317" t="str">
        <f t="shared" si="86"/>
        <v/>
      </c>
      <c r="BJ19" s="101"/>
      <c r="BK19" s="101"/>
      <c r="BL19" s="101"/>
      <c r="BM19" s="91"/>
      <c r="BN19" s="308" t="str">
        <f t="shared" si="87"/>
        <v/>
      </c>
      <c r="BO19" s="101"/>
      <c r="BP19" s="101"/>
      <c r="BQ19" s="317" t="str">
        <f t="shared" si="88"/>
        <v/>
      </c>
      <c r="BR19" s="101"/>
      <c r="BS19" s="101"/>
      <c r="BT19" s="101"/>
      <c r="BU19" s="91"/>
      <c r="BV19" s="308" t="str">
        <f t="shared" si="89"/>
        <v/>
      </c>
      <c r="BW19" s="101"/>
      <c r="BX19" s="101"/>
      <c r="BY19" s="317" t="str">
        <f t="shared" si="90"/>
        <v/>
      </c>
      <c r="BZ19" s="101"/>
      <c r="CA19" s="101"/>
      <c r="CB19" s="101"/>
      <c r="CC19" s="91"/>
      <c r="CD19" s="308" t="str">
        <f t="shared" si="91"/>
        <v/>
      </c>
      <c r="CE19" s="101"/>
      <c r="CF19" s="101"/>
      <c r="CG19" s="317" t="str">
        <f t="shared" si="92"/>
        <v/>
      </c>
      <c r="CH19" s="319">
        <f t="shared" si="0"/>
        <v>81.25</v>
      </c>
      <c r="CI19" s="105">
        <f t="shared" si="1"/>
        <v>82.5</v>
      </c>
      <c r="CJ19" s="105">
        <f t="shared" si="2"/>
        <v>80</v>
      </c>
      <c r="CK19" s="408">
        <v>70</v>
      </c>
      <c r="CL19" s="101">
        <v>70</v>
      </c>
      <c r="CM19" s="320">
        <f t="shared" si="23"/>
        <v>243.75</v>
      </c>
      <c r="CN19" s="320">
        <f t="shared" si="24"/>
        <v>105</v>
      </c>
      <c r="CO19" s="320">
        <f t="shared" si="25"/>
        <v>35</v>
      </c>
      <c r="CP19" s="227">
        <f t="shared" si="26"/>
        <v>76.75</v>
      </c>
      <c r="CQ19" s="321">
        <f t="shared" si="27"/>
        <v>77</v>
      </c>
      <c r="CR19" s="106" t="str">
        <f t="shared" si="28"/>
        <v>B</v>
      </c>
      <c r="CS19" s="106" t="str">
        <f t="shared" si="29"/>
        <v>baik</v>
      </c>
      <c r="CT19" s="106" t="str">
        <f t="shared" si="30"/>
        <v>TUNTAS</v>
      </c>
      <c r="CU19" s="106" t="str">
        <f t="shared" si="31"/>
        <v>TUNTAS</v>
      </c>
      <c r="CV19" s="116" t="str">
        <f t="shared" si="32"/>
        <v>Penguasaan materi sudah baik dalam Menelaah struktur  dan kebahasaan puisi rakyat (pantun, syair, dan bentuk puisi rakyat setempat) yang dibaca dan didengar</v>
      </c>
      <c r="CW19" s="109" t="str">
        <f>IF(CI19="","",VLOOKUP(CI19,DATAPENG!$AD$3:$AE$12,2,FALSE))</f>
        <v>Menelaah struktur  dan kebahasaan puisi rakyat (pantun, syair, dan bentuk puisi rakyat setempat) yang dibaca dan didengar</v>
      </c>
      <c r="CX19" s="109" t="str">
        <f>IF(CJ19="","",VLOOKUP(CJ19,DATAPENG!$AD$3:$AE$12,2,FALSE))</f>
        <v>Mengidentifikasi informasi (pesan, rima, dan pilihan kata) dari puisi rakyat (pantun, syair, dan bentuk puisi rakyat setempat) yang dibaca dan didengar</v>
      </c>
    </row>
    <row r="20" spans="1:102" ht="16.5">
      <c r="A20" s="105">
        <f>'DATA SISWA'!A20</f>
        <v>16</v>
      </c>
      <c r="B20" s="105" t="str">
        <f>'DATA SISWA'!B20</f>
        <v>7656</v>
      </c>
      <c r="C20" s="105" t="str">
        <f>'DATA SISWA'!C20</f>
        <v>KHOIRIL NISA'</v>
      </c>
      <c r="D20" s="105" t="str">
        <f>'DATA SISWA'!D20</f>
        <v>P</v>
      </c>
      <c r="E20" s="105" t="str">
        <f>'DATA SISWA'!E20</f>
        <v>VII-J</v>
      </c>
      <c r="F20" s="407">
        <v>85</v>
      </c>
      <c r="G20" s="101"/>
      <c r="H20" s="407">
        <v>85</v>
      </c>
      <c r="I20" s="407"/>
      <c r="J20" s="308">
        <f t="shared" si="73"/>
        <v>85</v>
      </c>
      <c r="K20" s="101"/>
      <c r="L20" s="101"/>
      <c r="M20" s="317">
        <f t="shared" si="74"/>
        <v>85</v>
      </c>
      <c r="N20" s="407">
        <v>85</v>
      </c>
      <c r="O20" s="101"/>
      <c r="P20" s="407">
        <v>85</v>
      </c>
      <c r="Q20" s="407"/>
      <c r="R20" s="308">
        <f t="shared" si="75"/>
        <v>85</v>
      </c>
      <c r="S20" s="101"/>
      <c r="T20" s="101"/>
      <c r="U20" s="317">
        <f t="shared" si="76"/>
        <v>85</v>
      </c>
      <c r="V20" s="101"/>
      <c r="W20" s="101"/>
      <c r="X20" s="101"/>
      <c r="Y20" s="91"/>
      <c r="Z20" s="308" t="str">
        <f t="shared" si="77"/>
        <v/>
      </c>
      <c r="AA20" s="101"/>
      <c r="AB20" s="101"/>
      <c r="AC20" s="317" t="str">
        <f t="shared" si="78"/>
        <v/>
      </c>
      <c r="AD20" s="101"/>
      <c r="AE20" s="101"/>
      <c r="AF20" s="101"/>
      <c r="AG20" s="91"/>
      <c r="AH20" s="308" t="str">
        <f t="shared" si="79"/>
        <v/>
      </c>
      <c r="AI20" s="101"/>
      <c r="AJ20" s="101"/>
      <c r="AK20" s="317" t="str">
        <f t="shared" si="80"/>
        <v/>
      </c>
      <c r="AL20" s="101"/>
      <c r="AM20" s="101"/>
      <c r="AN20" s="101"/>
      <c r="AO20" s="91"/>
      <c r="AP20" s="308" t="str">
        <f t="shared" si="81"/>
        <v/>
      </c>
      <c r="AQ20" s="101"/>
      <c r="AR20" s="101"/>
      <c r="AS20" s="317" t="str">
        <f t="shared" si="82"/>
        <v/>
      </c>
      <c r="AT20" s="101"/>
      <c r="AU20" s="101"/>
      <c r="AV20" s="101"/>
      <c r="AW20" s="91"/>
      <c r="AX20" s="308" t="str">
        <f t="shared" si="83"/>
        <v/>
      </c>
      <c r="AY20" s="101"/>
      <c r="AZ20" s="101"/>
      <c r="BA20" s="317" t="str">
        <f t="shared" si="84"/>
        <v/>
      </c>
      <c r="BB20" s="101"/>
      <c r="BC20" s="101"/>
      <c r="BD20" s="101"/>
      <c r="BE20" s="91"/>
      <c r="BF20" s="308" t="str">
        <f t="shared" si="85"/>
        <v/>
      </c>
      <c r="BG20" s="101"/>
      <c r="BH20" s="101"/>
      <c r="BI20" s="317" t="str">
        <f t="shared" si="86"/>
        <v/>
      </c>
      <c r="BJ20" s="101"/>
      <c r="BK20" s="101"/>
      <c r="BL20" s="101"/>
      <c r="BM20" s="91"/>
      <c r="BN20" s="308" t="str">
        <f t="shared" si="87"/>
        <v/>
      </c>
      <c r="BO20" s="101"/>
      <c r="BP20" s="101"/>
      <c r="BQ20" s="317" t="str">
        <f t="shared" si="88"/>
        <v/>
      </c>
      <c r="BR20" s="101"/>
      <c r="BS20" s="101"/>
      <c r="BT20" s="101"/>
      <c r="BU20" s="91"/>
      <c r="BV20" s="308" t="str">
        <f t="shared" si="89"/>
        <v/>
      </c>
      <c r="BW20" s="101"/>
      <c r="BX20" s="101"/>
      <c r="BY20" s="317" t="str">
        <f t="shared" si="90"/>
        <v/>
      </c>
      <c r="BZ20" s="101"/>
      <c r="CA20" s="101"/>
      <c r="CB20" s="101"/>
      <c r="CC20" s="91"/>
      <c r="CD20" s="308" t="str">
        <f t="shared" si="91"/>
        <v/>
      </c>
      <c r="CE20" s="101"/>
      <c r="CF20" s="101"/>
      <c r="CG20" s="317" t="str">
        <f t="shared" si="92"/>
        <v/>
      </c>
      <c r="CH20" s="319">
        <f t="shared" si="0"/>
        <v>85</v>
      </c>
      <c r="CI20" s="105">
        <f t="shared" si="1"/>
        <v>85</v>
      </c>
      <c r="CJ20" s="105">
        <f t="shared" si="2"/>
        <v>85</v>
      </c>
      <c r="CK20" s="408">
        <v>60</v>
      </c>
      <c r="CL20" s="101">
        <v>73</v>
      </c>
      <c r="CM20" s="320">
        <f t="shared" si="23"/>
        <v>255</v>
      </c>
      <c r="CN20" s="320">
        <f t="shared" si="24"/>
        <v>90</v>
      </c>
      <c r="CO20" s="320">
        <f t="shared" si="25"/>
        <v>36.5</v>
      </c>
      <c r="CP20" s="227">
        <f t="shared" si="26"/>
        <v>76.3</v>
      </c>
      <c r="CQ20" s="321">
        <f t="shared" si="27"/>
        <v>77</v>
      </c>
      <c r="CR20" s="106" t="str">
        <f t="shared" si="28"/>
        <v>B</v>
      </c>
      <c r="CS20" s="106" t="str">
        <f t="shared" si="29"/>
        <v>baik</v>
      </c>
      <c r="CT20" s="106" t="str">
        <f t="shared" si="30"/>
        <v>TUNTAS</v>
      </c>
      <c r="CU20" s="106" t="str">
        <f t="shared" si="31"/>
        <v>TUNTAS</v>
      </c>
      <c r="CV20" s="116" t="str">
        <f t="shared" si="32"/>
        <v>Penguasaan materi sudah baik dalam Mengidentifikasi informasi (pesan, rima, dan pilihan kata) dari puisi rakyat (pantun, syair, dan bentuk puisi rakyat setempat) yang dibaca dan didengar</v>
      </c>
      <c r="CW20" s="109" t="str">
        <f>IF(CI20="","",VLOOKUP(CI20,DATAPENG!$AF$3:$AG$12,2,FALSE))</f>
        <v>Mengidentifikasi informasi (pesan, rima, dan pilihan kata) dari puisi rakyat (pantun, syair, dan bentuk puisi rakyat setempat) yang dibaca dan didengar</v>
      </c>
      <c r="CX20" s="109" t="str">
        <f>IF(CJ20="","",VLOOKUP(CJ20,DATAPENG!$AF$3:$AG$12,2,FALSE))</f>
        <v>Mengidentifikasi informasi (pesan, rima, dan pilihan kata) dari puisi rakyat (pantun, syair, dan bentuk puisi rakyat setempat) yang dibaca dan didengar</v>
      </c>
    </row>
    <row r="21" spans="1:102" ht="16.5">
      <c r="A21" s="105">
        <f>'DATA SISWA'!A21</f>
        <v>17</v>
      </c>
      <c r="B21" s="105" t="str">
        <f>'DATA SISWA'!B21</f>
        <v>7657</v>
      </c>
      <c r="C21" s="105" t="str">
        <f>'DATA SISWA'!C21</f>
        <v>LATIFA MAHARANI</v>
      </c>
      <c r="D21" s="105" t="str">
        <f>'DATA SISWA'!D21</f>
        <v>P</v>
      </c>
      <c r="E21" s="105" t="str">
        <f>'DATA SISWA'!E21</f>
        <v>VII-J</v>
      </c>
      <c r="F21" s="407">
        <v>85</v>
      </c>
      <c r="G21" s="101"/>
      <c r="H21" s="407">
        <v>85</v>
      </c>
      <c r="I21" s="407"/>
      <c r="J21" s="308">
        <f>IF(AND(F21="",G21="",H21="",I21=""),"",AVERAGE(F21:I21))</f>
        <v>85</v>
      </c>
      <c r="K21" s="101"/>
      <c r="L21" s="101"/>
      <c r="M21" s="317">
        <f>IF(AND(F21="",G21="",H21="",I21=""),"",IF(AND(K21="",L21=""),J21,IF(OR(L21="",K21="",L21&lt;=$CT$2),MAX(J21:L21),$CT$2)))</f>
        <v>85</v>
      </c>
      <c r="N21" s="407">
        <v>80</v>
      </c>
      <c r="O21" s="101"/>
      <c r="P21" s="407">
        <v>85</v>
      </c>
      <c r="Q21" s="407"/>
      <c r="R21" s="308">
        <f>IF(AND(N21="",O21="",P21="",Q21=""),"",AVERAGE(N21:Q21))</f>
        <v>82.5</v>
      </c>
      <c r="S21" s="101"/>
      <c r="T21" s="101"/>
      <c r="U21" s="317">
        <f>IF(AND(N21="",O21="",P21="",Q21=""),"",IF(AND(S21="",T21=""),R21,IF(OR(T21="",S21="",T21&lt;=$CT$2),MAX(R21:T21),$CT$2)))</f>
        <v>82.5</v>
      </c>
      <c r="V21" s="101"/>
      <c r="W21" s="101"/>
      <c r="X21" s="101"/>
      <c r="Y21" s="91"/>
      <c r="Z21" s="308" t="str">
        <f>IF(AND(V21="",W21="",X21="",Y21=""),"",AVERAGE(V21:Y21))</f>
        <v/>
      </c>
      <c r="AA21" s="101"/>
      <c r="AB21" s="101"/>
      <c r="AC21" s="317" t="str">
        <f>IF(AND(V21="",W21="",X21="",Y21=""),"",IF(AND(AA21="",AB21=""),Z21,IF(OR(AB21="",AA21="",AB21&lt;=$CT$2),MAX(Z21:AB21),$CT$2)))</f>
        <v/>
      </c>
      <c r="AD21" s="101"/>
      <c r="AE21" s="101"/>
      <c r="AF21" s="101"/>
      <c r="AG21" s="91"/>
      <c r="AH21" s="308" t="str">
        <f>IF(AND(AD21="",AE21="",AF21="",AG21=""),"",AVERAGE(AD21:AG21))</f>
        <v/>
      </c>
      <c r="AI21" s="101"/>
      <c r="AJ21" s="101"/>
      <c r="AK21" s="317" t="str">
        <f>IF(AND(AD21="",AE21="",AF21="",AG21=""),"",IF(AND(AI21="",AJ21=""),AH21,IF(OR(AJ21="",AI21="",AJ21&lt;=$CT$2),MAX(AH21:AJ21),$CT$2)))</f>
        <v/>
      </c>
      <c r="AL21" s="101"/>
      <c r="AM21" s="101"/>
      <c r="AN21" s="101"/>
      <c r="AO21" s="91"/>
      <c r="AP21" s="308" t="str">
        <f>IF(AND(AL21="",AM21="",AN21="",AO21=""),"",AVERAGE(AL21:AO21))</f>
        <v/>
      </c>
      <c r="AQ21" s="101"/>
      <c r="AR21" s="101"/>
      <c r="AS21" s="317" t="str">
        <f>IF(AND(AL21="",AM21="",AN21="",AO21=""),"",IF(AND(AQ21="",AR21=""),AP21,IF(OR(AR21="",AQ21="",AR21&lt;=$CT$2),MAX(AP21:AR21),$CT$2)))</f>
        <v/>
      </c>
      <c r="AT21" s="101"/>
      <c r="AU21" s="101"/>
      <c r="AV21" s="101"/>
      <c r="AW21" s="91"/>
      <c r="AX21" s="308" t="str">
        <f>IF(AND(AT21="",AU21="",AV21="",AW21=""),"",AVERAGE(AT21:AW21))</f>
        <v/>
      </c>
      <c r="AY21" s="101"/>
      <c r="AZ21" s="101"/>
      <c r="BA21" s="317" t="str">
        <f>IF(AND(AT21="",AU21="",AV21="",AW21=""),"",IF(AND(AY21="",AZ21=""),AX21,IF(OR(AZ21="",AY21="",AZ21&lt;=$CT$2),MAX(AX21:AZ21),$CT$2)))</f>
        <v/>
      </c>
      <c r="BB21" s="101"/>
      <c r="BC21" s="101"/>
      <c r="BD21" s="101"/>
      <c r="BE21" s="91"/>
      <c r="BF21" s="308" t="str">
        <f>IF(AND(BB21="",BC21="",BD21="",BE21=""),"",AVERAGE(BB21:BE21))</f>
        <v/>
      </c>
      <c r="BG21" s="101"/>
      <c r="BH21" s="101"/>
      <c r="BI21" s="317" t="str">
        <f>IF(AND(BB21="",BC21="",BD21="",BE21=""),"",IF(AND(BG21="",BH21=""),BF21,IF(OR(BH21="",BG21="",BH21&lt;=$CT$2),MAX(BF21:BH21),$CT$2)))</f>
        <v/>
      </c>
      <c r="BJ21" s="101"/>
      <c r="BK21" s="101"/>
      <c r="BL21" s="101"/>
      <c r="BM21" s="91"/>
      <c r="BN21" s="308" t="str">
        <f>IF(AND(BJ21="",BK21="",BL21="",BM21=""),"",AVERAGE(BJ21:BM21))</f>
        <v/>
      </c>
      <c r="BO21" s="101"/>
      <c r="BP21" s="101"/>
      <c r="BQ21" s="317" t="str">
        <f>IF(AND(BJ21="",BK21="",BL21="",BM21=""),"",IF(AND(BO21="",BP21=""),BN21,IF(OR(BP21="",BO21="",BP21&lt;=$CT$2),MAX(BN21:BP21),$CT$2)))</f>
        <v/>
      </c>
      <c r="BR21" s="101"/>
      <c r="BS21" s="101"/>
      <c r="BT21" s="101"/>
      <c r="BU21" s="91"/>
      <c r="BV21" s="308" t="str">
        <f>IF(AND(BR21="",BS21="",BT21="",BU21=""),"",AVERAGE(BR21:BU21))</f>
        <v/>
      </c>
      <c r="BW21" s="101"/>
      <c r="BX21" s="101"/>
      <c r="BY21" s="317" t="str">
        <f>IF(AND(BR21="",BS21="",BT21="",BU21=""),"",IF(AND(BW21="",BX21=""),BV21,IF(OR(BX21="",BW21="",BX21&lt;=$CT$2),MAX(BV21:BX21),$CT$2)))</f>
        <v/>
      </c>
      <c r="BZ21" s="101"/>
      <c r="CA21" s="101"/>
      <c r="CB21" s="101"/>
      <c r="CC21" s="91"/>
      <c r="CD21" s="308" t="str">
        <f>IF(AND(BZ21="",CA21="",CB21="",CC21=""),"",AVERAGE(BZ21:CC21))</f>
        <v/>
      </c>
      <c r="CE21" s="101"/>
      <c r="CF21" s="101"/>
      <c r="CG21" s="317" t="str">
        <f>IF(AND(BZ21="",CA21="",CB21="",CC21=""),"",IF(AND(CE21="",CF21=""),CD21,IF(OR(CF21="",CE21="",CF21&lt;=$CT$2),MAX(CD21:CF21),$CT$2)))</f>
        <v/>
      </c>
      <c r="CH21" s="319">
        <f t="shared" si="0"/>
        <v>83.75</v>
      </c>
      <c r="CI21" s="105">
        <f t="shared" si="1"/>
        <v>85</v>
      </c>
      <c r="CJ21" s="105">
        <f t="shared" si="2"/>
        <v>82.5</v>
      </c>
      <c r="CK21" s="408">
        <v>55</v>
      </c>
      <c r="CL21" s="101">
        <v>75</v>
      </c>
      <c r="CM21" s="320">
        <f t="shared" si="23"/>
        <v>251.25</v>
      </c>
      <c r="CN21" s="320">
        <f t="shared" si="24"/>
        <v>82.5</v>
      </c>
      <c r="CO21" s="320">
        <f t="shared" si="25"/>
        <v>37.5</v>
      </c>
      <c r="CP21" s="227">
        <f t="shared" si="26"/>
        <v>74.25</v>
      </c>
      <c r="CQ21" s="321">
        <f t="shared" si="27"/>
        <v>75</v>
      </c>
      <c r="CR21" s="106" t="str">
        <f t="shared" si="28"/>
        <v>B</v>
      </c>
      <c r="CS21" s="106" t="str">
        <f t="shared" si="29"/>
        <v>baik</v>
      </c>
      <c r="CT21" s="106" t="str">
        <f t="shared" si="30"/>
        <v>TUNTAS</v>
      </c>
      <c r="CU21" s="106" t="str">
        <f t="shared" si="31"/>
        <v>TUNTAS</v>
      </c>
      <c r="CV21" s="116" t="str">
        <f t="shared" si="32"/>
        <v>Penguasaan materi sudah baik dalam Mengidentifikasi informasi (pesan, rima, dan pilihan kata) dari puisi rakyat (pantun, syair, dan bentuk puisi rakyat setempat) yang dibaca dan didengar</v>
      </c>
      <c r="CW21" s="109" t="str">
        <f>IF(CI21="","",VLOOKUP(CI21,DATAPENG!$AH$3:$AI$12,2,FALSE))</f>
        <v>Mengidentifikasi informasi (pesan, rima, dan pilihan kata) dari puisi rakyat (pantun, syair, dan bentuk puisi rakyat setempat) yang dibaca dan didengar</v>
      </c>
      <c r="CX21" s="109" t="str">
        <f>IF(CJ21="","",VLOOKUP(CJ21,DATAPENG!$AH$3:$AI$12,2,FALSE))</f>
        <v>Menelaah struktur  dan kebahasaan puisi rakyat (pantun, syair, dan bentuk puisi rakyat setempat) yang dibaca dan didengar</v>
      </c>
    </row>
    <row r="22" spans="1:102" ht="16.5">
      <c r="A22" s="105">
        <f>'DATA SISWA'!A22</f>
        <v>18</v>
      </c>
      <c r="B22" s="105" t="str">
        <f>'DATA SISWA'!B22</f>
        <v>7658</v>
      </c>
      <c r="C22" s="105" t="str">
        <f>'DATA SISWA'!C22</f>
        <v>LUQMANUL FIKRI SYAIFULLAH</v>
      </c>
      <c r="D22" s="105" t="str">
        <f>'DATA SISWA'!D22</f>
        <v>L</v>
      </c>
      <c r="E22" s="105" t="str">
        <f>'DATA SISWA'!E22</f>
        <v>VII-J</v>
      </c>
      <c r="F22" s="407">
        <v>80</v>
      </c>
      <c r="G22" s="101"/>
      <c r="H22" s="407">
        <v>85</v>
      </c>
      <c r="I22" s="407"/>
      <c r="J22" s="308">
        <f t="shared" ref="J22:J24" si="93">IF(AND(F22="",G22="",H22="",I22=""),"",AVERAGE(F22:I22))</f>
        <v>82.5</v>
      </c>
      <c r="K22" s="101"/>
      <c r="L22" s="101"/>
      <c r="M22" s="317">
        <f t="shared" ref="M22:M24" si="94">IF(AND(F22="",G22="",H22="",I22=""),"",IF(AND(K22="",L22=""),J22,IF(OR(L22="",K22="",L22&lt;=$CT$2),MAX(J22:L22),$CT$2)))</f>
        <v>82.5</v>
      </c>
      <c r="N22" s="407">
        <v>85</v>
      </c>
      <c r="O22" s="101"/>
      <c r="P22" s="407">
        <v>85</v>
      </c>
      <c r="Q22" s="407"/>
      <c r="R22" s="308">
        <f t="shared" ref="R22:R24" si="95">IF(AND(N22="",O22="",P22="",Q22=""),"",AVERAGE(N22:Q22))</f>
        <v>85</v>
      </c>
      <c r="S22" s="101"/>
      <c r="T22" s="101"/>
      <c r="U22" s="317">
        <f t="shared" ref="U22:U24" si="96">IF(AND(N22="",O22="",P22="",Q22=""),"",IF(AND(S22="",T22=""),R22,IF(OR(T22="",S22="",T22&lt;=$CT$2),MAX(R22:T22),$CT$2)))</f>
        <v>85</v>
      </c>
      <c r="V22" s="101"/>
      <c r="W22" s="101"/>
      <c r="X22" s="101"/>
      <c r="Y22" s="91"/>
      <c r="Z22" s="308" t="str">
        <f t="shared" ref="Z22:Z24" si="97">IF(AND(V22="",W22="",X22="",Y22=""),"",AVERAGE(V22:Y22))</f>
        <v/>
      </c>
      <c r="AA22" s="101"/>
      <c r="AB22" s="101"/>
      <c r="AC22" s="317" t="str">
        <f t="shared" ref="AC22:AC24" si="98">IF(AND(V22="",W22="",X22="",Y22=""),"",IF(AND(AA22="",AB22=""),Z22,IF(OR(AB22="",AA22="",AB22&lt;=$CT$2),MAX(Z22:AB22),$CT$2)))</f>
        <v/>
      </c>
      <c r="AD22" s="101"/>
      <c r="AE22" s="101"/>
      <c r="AF22" s="101"/>
      <c r="AG22" s="91"/>
      <c r="AH22" s="308" t="str">
        <f t="shared" ref="AH22:AH24" si="99">IF(AND(AD22="",AE22="",AF22="",AG22=""),"",AVERAGE(AD22:AG22))</f>
        <v/>
      </c>
      <c r="AI22" s="101"/>
      <c r="AJ22" s="101"/>
      <c r="AK22" s="317" t="str">
        <f t="shared" ref="AK22:AK24" si="100">IF(AND(AD22="",AE22="",AF22="",AG22=""),"",IF(AND(AI22="",AJ22=""),AH22,IF(OR(AJ22="",AI22="",AJ22&lt;=$CT$2),MAX(AH22:AJ22),$CT$2)))</f>
        <v/>
      </c>
      <c r="AL22" s="101"/>
      <c r="AM22" s="101"/>
      <c r="AN22" s="101"/>
      <c r="AO22" s="91"/>
      <c r="AP22" s="308" t="str">
        <f t="shared" ref="AP22:AP24" si="101">IF(AND(AL22="",AM22="",AN22="",AO22=""),"",AVERAGE(AL22:AO22))</f>
        <v/>
      </c>
      <c r="AQ22" s="101"/>
      <c r="AR22" s="101"/>
      <c r="AS22" s="317" t="str">
        <f t="shared" ref="AS22:AS24" si="102">IF(AND(AL22="",AM22="",AN22="",AO22=""),"",IF(AND(AQ22="",AR22=""),AP22,IF(OR(AR22="",AQ22="",AR22&lt;=$CT$2),MAX(AP22:AR22),$CT$2)))</f>
        <v/>
      </c>
      <c r="AT22" s="101"/>
      <c r="AU22" s="101"/>
      <c r="AV22" s="101"/>
      <c r="AW22" s="91"/>
      <c r="AX22" s="308" t="str">
        <f t="shared" ref="AX22:AX24" si="103">IF(AND(AT22="",AU22="",AV22="",AW22=""),"",AVERAGE(AT22:AW22))</f>
        <v/>
      </c>
      <c r="AY22" s="101"/>
      <c r="AZ22" s="101"/>
      <c r="BA22" s="317" t="str">
        <f t="shared" ref="BA22:BA24" si="104">IF(AND(AT22="",AU22="",AV22="",AW22=""),"",IF(AND(AY22="",AZ22=""),AX22,IF(OR(AZ22="",AY22="",AZ22&lt;=$CT$2),MAX(AX22:AZ22),$CT$2)))</f>
        <v/>
      </c>
      <c r="BB22" s="101"/>
      <c r="BC22" s="101"/>
      <c r="BD22" s="101"/>
      <c r="BE22" s="91"/>
      <c r="BF22" s="308" t="str">
        <f t="shared" ref="BF22:BF24" si="105">IF(AND(BB22="",BC22="",BD22="",BE22=""),"",AVERAGE(BB22:BE22))</f>
        <v/>
      </c>
      <c r="BG22" s="101"/>
      <c r="BH22" s="101"/>
      <c r="BI22" s="317" t="str">
        <f t="shared" ref="BI22:BI24" si="106">IF(AND(BB22="",BC22="",BD22="",BE22=""),"",IF(AND(BG22="",BH22=""),BF22,IF(OR(BH22="",BG22="",BH22&lt;=$CT$2),MAX(BF22:BH22),$CT$2)))</f>
        <v/>
      </c>
      <c r="BJ22" s="101"/>
      <c r="BK22" s="101"/>
      <c r="BL22" s="101"/>
      <c r="BM22" s="91"/>
      <c r="BN22" s="308" t="str">
        <f t="shared" ref="BN22:BN24" si="107">IF(AND(BJ22="",BK22="",BL22="",BM22=""),"",AVERAGE(BJ22:BM22))</f>
        <v/>
      </c>
      <c r="BO22" s="101"/>
      <c r="BP22" s="101"/>
      <c r="BQ22" s="317" t="str">
        <f t="shared" ref="BQ22:BQ24" si="108">IF(AND(BJ22="",BK22="",BL22="",BM22=""),"",IF(AND(BO22="",BP22=""),BN22,IF(OR(BP22="",BO22="",BP22&lt;=$CT$2),MAX(BN22:BP22),$CT$2)))</f>
        <v/>
      </c>
      <c r="BR22" s="101"/>
      <c r="BS22" s="101"/>
      <c r="BT22" s="101"/>
      <c r="BU22" s="91"/>
      <c r="BV22" s="308" t="str">
        <f t="shared" ref="BV22:BV24" si="109">IF(AND(BR22="",BS22="",BT22="",BU22=""),"",AVERAGE(BR22:BU22))</f>
        <v/>
      </c>
      <c r="BW22" s="101"/>
      <c r="BX22" s="101"/>
      <c r="BY22" s="317" t="str">
        <f t="shared" ref="BY22:BY24" si="110">IF(AND(BR22="",BS22="",BT22="",BU22=""),"",IF(AND(BW22="",BX22=""),BV22,IF(OR(BX22="",BW22="",BX22&lt;=$CT$2),MAX(BV22:BX22),$CT$2)))</f>
        <v/>
      </c>
      <c r="BZ22" s="101"/>
      <c r="CA22" s="101"/>
      <c r="CB22" s="101"/>
      <c r="CC22" s="91"/>
      <c r="CD22" s="308" t="str">
        <f t="shared" ref="CD22:CD24" si="111">IF(AND(BZ22="",CA22="",CB22="",CC22=""),"",AVERAGE(BZ22:CC22))</f>
        <v/>
      </c>
      <c r="CE22" s="101"/>
      <c r="CF22" s="101"/>
      <c r="CG22" s="317" t="str">
        <f t="shared" ref="CG22:CG24" si="112">IF(AND(BZ22="",CA22="",CB22="",CC22=""),"",IF(AND(CE22="",CF22=""),CD22,IF(OR(CF22="",CE22="",CF22&lt;=$CT$2),MAX(CD22:CF22),$CT$2)))</f>
        <v/>
      </c>
      <c r="CH22" s="319">
        <f t="shared" si="0"/>
        <v>83.75</v>
      </c>
      <c r="CI22" s="105">
        <f t="shared" si="1"/>
        <v>85</v>
      </c>
      <c r="CJ22" s="105">
        <f t="shared" si="2"/>
        <v>82.5</v>
      </c>
      <c r="CK22" s="408">
        <v>70</v>
      </c>
      <c r="CL22" s="101">
        <v>72</v>
      </c>
      <c r="CM22" s="320">
        <f t="shared" si="23"/>
        <v>251.25</v>
      </c>
      <c r="CN22" s="320">
        <f t="shared" si="24"/>
        <v>105</v>
      </c>
      <c r="CO22" s="320">
        <f t="shared" si="25"/>
        <v>36</v>
      </c>
      <c r="CP22" s="227">
        <f t="shared" si="26"/>
        <v>78.45</v>
      </c>
      <c r="CQ22" s="321">
        <f t="shared" si="27"/>
        <v>79</v>
      </c>
      <c r="CR22" s="106" t="str">
        <f t="shared" si="28"/>
        <v>B</v>
      </c>
      <c r="CS22" s="106" t="str">
        <f t="shared" si="29"/>
        <v>baik</v>
      </c>
      <c r="CT22" s="106" t="str">
        <f t="shared" si="30"/>
        <v>TUNTAS</v>
      </c>
      <c r="CU22" s="106" t="str">
        <f t="shared" si="31"/>
        <v>TUNTAS</v>
      </c>
      <c r="CV22" s="116" t="str">
        <f t="shared" si="32"/>
        <v>Penguasaan materi sudah baik dalam Menelaah struktur  dan kebahasaan puisi rakyat (pantun, syair, dan bentuk puisi rakyat setempat) yang dibaca dan didengar</v>
      </c>
      <c r="CW22" s="109" t="str">
        <f>IF(CI22="","",VLOOKUP(CI22,DATAPENG!$AJ$3:$AK$12,2,FALSE))</f>
        <v>Menelaah struktur  dan kebahasaan puisi rakyat (pantun, syair, dan bentuk puisi rakyat setempat) yang dibaca dan didengar</v>
      </c>
      <c r="CX22" s="109" t="str">
        <f>IF(CJ22="","",VLOOKUP(CJ22,DATAPENG!$AJ$3:$AK$12,2,FALSE))</f>
        <v>Mengidentifikasi informasi (pesan, rima, dan pilihan kata) dari puisi rakyat (pantun, syair, dan bentuk puisi rakyat setempat) yang dibaca dan didengar</v>
      </c>
    </row>
    <row r="23" spans="1:102" ht="16.5">
      <c r="A23" s="105">
        <f>'DATA SISWA'!A23</f>
        <v>19</v>
      </c>
      <c r="B23" s="105" t="str">
        <f>'DATA SISWA'!B23</f>
        <v>7659</v>
      </c>
      <c r="C23" s="105" t="str">
        <f>'DATA SISWA'!C23</f>
        <v>MAR'ATUS SOLEHAH</v>
      </c>
      <c r="D23" s="105" t="str">
        <f>'DATA SISWA'!D23</f>
        <v>P</v>
      </c>
      <c r="E23" s="105" t="str">
        <f>'DATA SISWA'!E23</f>
        <v>VII-J</v>
      </c>
      <c r="F23" s="407">
        <v>80</v>
      </c>
      <c r="G23" s="101"/>
      <c r="H23" s="407">
        <v>85</v>
      </c>
      <c r="I23" s="407"/>
      <c r="J23" s="308">
        <f t="shared" si="93"/>
        <v>82.5</v>
      </c>
      <c r="K23" s="101"/>
      <c r="L23" s="101"/>
      <c r="M23" s="317">
        <f t="shared" si="94"/>
        <v>82.5</v>
      </c>
      <c r="N23" s="407">
        <v>90</v>
      </c>
      <c r="O23" s="101"/>
      <c r="P23" s="407">
        <v>90</v>
      </c>
      <c r="Q23" s="407"/>
      <c r="R23" s="308">
        <f t="shared" si="95"/>
        <v>90</v>
      </c>
      <c r="S23" s="101"/>
      <c r="T23" s="101"/>
      <c r="U23" s="317">
        <f t="shared" si="96"/>
        <v>90</v>
      </c>
      <c r="V23" s="101"/>
      <c r="W23" s="101"/>
      <c r="X23" s="101"/>
      <c r="Y23" s="91"/>
      <c r="Z23" s="308" t="str">
        <f t="shared" si="97"/>
        <v/>
      </c>
      <c r="AA23" s="101"/>
      <c r="AB23" s="101"/>
      <c r="AC23" s="317" t="str">
        <f t="shared" si="98"/>
        <v/>
      </c>
      <c r="AD23" s="101"/>
      <c r="AE23" s="101"/>
      <c r="AF23" s="101"/>
      <c r="AG23" s="91"/>
      <c r="AH23" s="308" t="str">
        <f t="shared" si="99"/>
        <v/>
      </c>
      <c r="AI23" s="101"/>
      <c r="AJ23" s="101"/>
      <c r="AK23" s="317" t="str">
        <f t="shared" si="100"/>
        <v/>
      </c>
      <c r="AL23" s="101"/>
      <c r="AM23" s="101"/>
      <c r="AN23" s="101"/>
      <c r="AO23" s="91"/>
      <c r="AP23" s="308" t="str">
        <f t="shared" si="101"/>
        <v/>
      </c>
      <c r="AQ23" s="101"/>
      <c r="AR23" s="101"/>
      <c r="AS23" s="317" t="str">
        <f t="shared" si="102"/>
        <v/>
      </c>
      <c r="AT23" s="101"/>
      <c r="AU23" s="101"/>
      <c r="AV23" s="101"/>
      <c r="AW23" s="91"/>
      <c r="AX23" s="308" t="str">
        <f t="shared" si="103"/>
        <v/>
      </c>
      <c r="AY23" s="101"/>
      <c r="AZ23" s="101"/>
      <c r="BA23" s="317" t="str">
        <f t="shared" si="104"/>
        <v/>
      </c>
      <c r="BB23" s="101"/>
      <c r="BC23" s="101"/>
      <c r="BD23" s="101"/>
      <c r="BE23" s="91"/>
      <c r="BF23" s="308" t="str">
        <f t="shared" si="105"/>
        <v/>
      </c>
      <c r="BG23" s="101"/>
      <c r="BH23" s="101"/>
      <c r="BI23" s="317" t="str">
        <f t="shared" si="106"/>
        <v/>
      </c>
      <c r="BJ23" s="101"/>
      <c r="BK23" s="101"/>
      <c r="BL23" s="101"/>
      <c r="BM23" s="91"/>
      <c r="BN23" s="308" t="str">
        <f t="shared" si="107"/>
        <v/>
      </c>
      <c r="BO23" s="101"/>
      <c r="BP23" s="101"/>
      <c r="BQ23" s="317" t="str">
        <f t="shared" si="108"/>
        <v/>
      </c>
      <c r="BR23" s="101"/>
      <c r="BS23" s="101"/>
      <c r="BT23" s="101"/>
      <c r="BU23" s="91"/>
      <c r="BV23" s="308" t="str">
        <f t="shared" si="109"/>
        <v/>
      </c>
      <c r="BW23" s="101"/>
      <c r="BX23" s="101"/>
      <c r="BY23" s="317" t="str">
        <f t="shared" si="110"/>
        <v/>
      </c>
      <c r="BZ23" s="101"/>
      <c r="CA23" s="101"/>
      <c r="CB23" s="101"/>
      <c r="CC23" s="91"/>
      <c r="CD23" s="308" t="str">
        <f t="shared" si="111"/>
        <v/>
      </c>
      <c r="CE23" s="101"/>
      <c r="CF23" s="101"/>
      <c r="CG23" s="317" t="str">
        <f t="shared" si="112"/>
        <v/>
      </c>
      <c r="CH23" s="319">
        <f t="shared" si="0"/>
        <v>86.25</v>
      </c>
      <c r="CI23" s="105">
        <f t="shared" si="1"/>
        <v>90</v>
      </c>
      <c r="CJ23" s="105">
        <f t="shared" si="2"/>
        <v>82.5</v>
      </c>
      <c r="CK23" s="408">
        <v>66</v>
      </c>
      <c r="CL23" s="101">
        <v>72</v>
      </c>
      <c r="CM23" s="320">
        <f t="shared" si="23"/>
        <v>258.75</v>
      </c>
      <c r="CN23" s="320">
        <f t="shared" si="24"/>
        <v>99</v>
      </c>
      <c r="CO23" s="320">
        <f t="shared" si="25"/>
        <v>36</v>
      </c>
      <c r="CP23" s="227">
        <f t="shared" si="26"/>
        <v>78.75</v>
      </c>
      <c r="CQ23" s="321">
        <f t="shared" si="27"/>
        <v>79</v>
      </c>
      <c r="CR23" s="106" t="str">
        <f t="shared" si="28"/>
        <v>B</v>
      </c>
      <c r="CS23" s="106" t="str">
        <f t="shared" si="29"/>
        <v>baik</v>
      </c>
      <c r="CT23" s="106" t="str">
        <f t="shared" si="30"/>
        <v>TUNTAS</v>
      </c>
      <c r="CU23" s="106" t="str">
        <f t="shared" si="31"/>
        <v>TUNTAS</v>
      </c>
      <c r="CV23" s="116" t="str">
        <f t="shared" si="32"/>
        <v>Penguasaan materi sudah baik dalam Menelaah struktur  dan kebahasaan puisi rakyat (pantun, syair, dan bentuk puisi rakyat setempat) yang dibaca dan didengar</v>
      </c>
      <c r="CW23" s="109" t="str">
        <f>IF(CI23="","",VLOOKUP(CI23,DATAPENG!$AL$3:$AM$12,2,FALSE))</f>
        <v>Menelaah struktur  dan kebahasaan puisi rakyat (pantun, syair, dan bentuk puisi rakyat setempat) yang dibaca dan didengar</v>
      </c>
      <c r="CX23" s="109" t="str">
        <f>IF(CJ23="","",VLOOKUP(CJ23,DATAPENG!$AL$3:$AM$12,2,FALSE))</f>
        <v>Mengidentifikasi informasi (pesan, rima, dan pilihan kata) dari puisi rakyat (pantun, syair, dan bentuk puisi rakyat setempat) yang dibaca dan didengar</v>
      </c>
    </row>
    <row r="24" spans="1:102" ht="16.5">
      <c r="A24" s="105">
        <f>'DATA SISWA'!A24</f>
        <v>20</v>
      </c>
      <c r="B24" s="105" t="str">
        <f>'DATA SISWA'!B24</f>
        <v>7660</v>
      </c>
      <c r="C24" s="105" t="str">
        <f>'DATA SISWA'!C24</f>
        <v>MOCH.  SHOLEH W. H</v>
      </c>
      <c r="D24" s="105" t="str">
        <f>'DATA SISWA'!D24</f>
        <v>L</v>
      </c>
      <c r="E24" s="105" t="str">
        <f>'DATA SISWA'!E24</f>
        <v>VII-J</v>
      </c>
      <c r="F24" s="407">
        <v>85</v>
      </c>
      <c r="G24" s="101"/>
      <c r="H24" s="407">
        <v>90</v>
      </c>
      <c r="I24" s="407"/>
      <c r="J24" s="308">
        <f t="shared" si="93"/>
        <v>87.5</v>
      </c>
      <c r="K24" s="101"/>
      <c r="L24" s="101"/>
      <c r="M24" s="317">
        <f t="shared" si="94"/>
        <v>87.5</v>
      </c>
      <c r="N24" s="407">
        <v>85</v>
      </c>
      <c r="O24" s="101"/>
      <c r="P24" s="407">
        <v>85</v>
      </c>
      <c r="Q24" s="407"/>
      <c r="R24" s="308">
        <f t="shared" si="95"/>
        <v>85</v>
      </c>
      <c r="S24" s="101"/>
      <c r="T24" s="101"/>
      <c r="U24" s="317">
        <f t="shared" si="96"/>
        <v>85</v>
      </c>
      <c r="V24" s="101"/>
      <c r="W24" s="101"/>
      <c r="X24" s="101"/>
      <c r="Y24" s="91"/>
      <c r="Z24" s="308" t="str">
        <f t="shared" si="97"/>
        <v/>
      </c>
      <c r="AA24" s="101"/>
      <c r="AB24" s="101"/>
      <c r="AC24" s="317" t="str">
        <f t="shared" si="98"/>
        <v/>
      </c>
      <c r="AD24" s="101"/>
      <c r="AE24" s="101"/>
      <c r="AF24" s="101"/>
      <c r="AG24" s="91"/>
      <c r="AH24" s="308" t="str">
        <f t="shared" si="99"/>
        <v/>
      </c>
      <c r="AI24" s="101"/>
      <c r="AJ24" s="101"/>
      <c r="AK24" s="317" t="str">
        <f t="shared" si="100"/>
        <v/>
      </c>
      <c r="AL24" s="101"/>
      <c r="AM24" s="101"/>
      <c r="AN24" s="101"/>
      <c r="AO24" s="91"/>
      <c r="AP24" s="308" t="str">
        <f t="shared" si="101"/>
        <v/>
      </c>
      <c r="AQ24" s="101"/>
      <c r="AR24" s="101"/>
      <c r="AS24" s="317" t="str">
        <f t="shared" si="102"/>
        <v/>
      </c>
      <c r="AT24" s="101"/>
      <c r="AU24" s="101"/>
      <c r="AV24" s="101"/>
      <c r="AW24" s="91"/>
      <c r="AX24" s="308" t="str">
        <f t="shared" si="103"/>
        <v/>
      </c>
      <c r="AY24" s="101"/>
      <c r="AZ24" s="101"/>
      <c r="BA24" s="317" t="str">
        <f t="shared" si="104"/>
        <v/>
      </c>
      <c r="BB24" s="101"/>
      <c r="BC24" s="101"/>
      <c r="BD24" s="101"/>
      <c r="BE24" s="91"/>
      <c r="BF24" s="308" t="str">
        <f t="shared" si="105"/>
        <v/>
      </c>
      <c r="BG24" s="101"/>
      <c r="BH24" s="101"/>
      <c r="BI24" s="317" t="str">
        <f t="shared" si="106"/>
        <v/>
      </c>
      <c r="BJ24" s="101"/>
      <c r="BK24" s="101"/>
      <c r="BL24" s="101"/>
      <c r="BM24" s="91"/>
      <c r="BN24" s="308" t="str">
        <f t="shared" si="107"/>
        <v/>
      </c>
      <c r="BO24" s="101"/>
      <c r="BP24" s="101"/>
      <c r="BQ24" s="317" t="str">
        <f t="shared" si="108"/>
        <v/>
      </c>
      <c r="BR24" s="101"/>
      <c r="BS24" s="101"/>
      <c r="BT24" s="101"/>
      <c r="BU24" s="91"/>
      <c r="BV24" s="308" t="str">
        <f t="shared" si="109"/>
        <v/>
      </c>
      <c r="BW24" s="101"/>
      <c r="BX24" s="101"/>
      <c r="BY24" s="317" t="str">
        <f t="shared" si="110"/>
        <v/>
      </c>
      <c r="BZ24" s="101"/>
      <c r="CA24" s="101"/>
      <c r="CB24" s="101"/>
      <c r="CC24" s="91"/>
      <c r="CD24" s="308" t="str">
        <f t="shared" si="111"/>
        <v/>
      </c>
      <c r="CE24" s="101"/>
      <c r="CF24" s="101"/>
      <c r="CG24" s="317" t="str">
        <f t="shared" si="112"/>
        <v/>
      </c>
      <c r="CH24" s="319">
        <f t="shared" si="0"/>
        <v>86.25</v>
      </c>
      <c r="CI24" s="105">
        <f t="shared" si="1"/>
        <v>87.5</v>
      </c>
      <c r="CJ24" s="105">
        <f t="shared" si="2"/>
        <v>85</v>
      </c>
      <c r="CK24" s="408">
        <v>66</v>
      </c>
      <c r="CL24" s="101">
        <v>70</v>
      </c>
      <c r="CM24" s="320">
        <f t="shared" si="23"/>
        <v>258.75</v>
      </c>
      <c r="CN24" s="320">
        <f t="shared" si="24"/>
        <v>99</v>
      </c>
      <c r="CO24" s="320">
        <f t="shared" si="25"/>
        <v>35</v>
      </c>
      <c r="CP24" s="227">
        <f t="shared" si="26"/>
        <v>78.55</v>
      </c>
      <c r="CQ24" s="321">
        <f t="shared" si="27"/>
        <v>79</v>
      </c>
      <c r="CR24" s="106" t="str">
        <f t="shared" si="28"/>
        <v>B</v>
      </c>
      <c r="CS24" s="106" t="str">
        <f t="shared" si="29"/>
        <v>baik</v>
      </c>
      <c r="CT24" s="106" t="str">
        <f t="shared" si="30"/>
        <v>TUNTAS</v>
      </c>
      <c r="CU24" s="106" t="str">
        <f t="shared" si="31"/>
        <v>TUNTAS</v>
      </c>
      <c r="CV24" s="116" t="str">
        <f t="shared" si="32"/>
        <v>Penguasaan materi sudah baik dalam Mengidentifikasi informasi (pesan, rima, dan pilihan kata) dari puisi rakyat (pantun, syair, dan bentuk puisi rakyat setempat) yang dibaca dan didengar</v>
      </c>
      <c r="CW24" s="109" t="str">
        <f>IF(CI24="","",VLOOKUP(CI24,DATAPENG!$AN$3:$AO$12,2,FALSE))</f>
        <v>Mengidentifikasi informasi (pesan, rima, dan pilihan kata) dari puisi rakyat (pantun, syair, dan bentuk puisi rakyat setempat) yang dibaca dan didengar</v>
      </c>
      <c r="CX24" s="109" t="str">
        <f>IF(CJ24="","",VLOOKUP(CJ24,DATAPENG!$AN$3:$AO$12,2,FALSE))</f>
        <v>Menelaah struktur  dan kebahasaan puisi rakyat (pantun, syair, dan bentuk puisi rakyat setempat) yang dibaca dan didengar</v>
      </c>
    </row>
    <row r="25" spans="1:102" ht="16.5">
      <c r="A25" s="105">
        <f>'DATA SISWA'!A25</f>
        <v>21</v>
      </c>
      <c r="B25" s="105" t="str">
        <f>'DATA SISWA'!B25</f>
        <v>7661</v>
      </c>
      <c r="C25" s="105" t="str">
        <f>'DATA SISWA'!C25</f>
        <v>MOCH. FAWES</v>
      </c>
      <c r="D25" s="105" t="str">
        <f>'DATA SISWA'!D25</f>
        <v>L</v>
      </c>
      <c r="E25" s="105" t="str">
        <f>'DATA SISWA'!E25</f>
        <v>VII-J</v>
      </c>
      <c r="F25" s="407">
        <v>85</v>
      </c>
      <c r="G25" s="101"/>
      <c r="H25" s="407">
        <v>85</v>
      </c>
      <c r="I25" s="407"/>
      <c r="J25" s="308">
        <f>IF(AND(F25="",G25="",H25="",I25=""),"",AVERAGE(F25:I25))</f>
        <v>85</v>
      </c>
      <c r="K25" s="101"/>
      <c r="L25" s="101"/>
      <c r="M25" s="317">
        <f>IF(AND(F25="",G25="",H25="",I25=""),"",IF(AND(K25="",L25=""),J25,IF(OR(L25="",K25="",L25&lt;=$CT$2),MAX(J25:L25),$CT$2)))</f>
        <v>85</v>
      </c>
      <c r="N25" s="407">
        <v>85</v>
      </c>
      <c r="O25" s="101"/>
      <c r="P25" s="407">
        <v>85</v>
      </c>
      <c r="Q25" s="407"/>
      <c r="R25" s="308">
        <f>IF(AND(N25="",O25="",P25="",Q25=""),"",AVERAGE(N25:Q25))</f>
        <v>85</v>
      </c>
      <c r="S25" s="101"/>
      <c r="T25" s="101"/>
      <c r="U25" s="317">
        <f>IF(AND(N25="",O25="",P25="",Q25=""),"",IF(AND(S25="",T25=""),R25,IF(OR(T25="",S25="",T25&lt;=$CT$2),MAX(R25:T25),$CT$2)))</f>
        <v>85</v>
      </c>
      <c r="V25" s="101"/>
      <c r="W25" s="101"/>
      <c r="X25" s="101"/>
      <c r="Y25" s="91"/>
      <c r="Z25" s="308" t="str">
        <f>IF(AND(V25="",W25="",X25="",Y25=""),"",AVERAGE(V25:Y25))</f>
        <v/>
      </c>
      <c r="AA25" s="101"/>
      <c r="AB25" s="101"/>
      <c r="AC25" s="317" t="str">
        <f>IF(AND(V25="",W25="",X25="",Y25=""),"",IF(AND(AA25="",AB25=""),Z25,IF(OR(AB25="",AA25="",AB25&lt;=$CT$2),MAX(Z25:AB25),$CT$2)))</f>
        <v/>
      </c>
      <c r="AD25" s="101"/>
      <c r="AE25" s="101"/>
      <c r="AF25" s="101"/>
      <c r="AG25" s="91"/>
      <c r="AH25" s="308" t="str">
        <f>IF(AND(AD25="",AE25="",AF25="",AG25=""),"",AVERAGE(AD25:AG25))</f>
        <v/>
      </c>
      <c r="AI25" s="101"/>
      <c r="AJ25" s="101"/>
      <c r="AK25" s="317" t="str">
        <f>IF(AND(AD25="",AE25="",AF25="",AG25=""),"",IF(AND(AI25="",AJ25=""),AH25,IF(OR(AJ25="",AI25="",AJ25&lt;=$CT$2),MAX(AH25:AJ25),$CT$2)))</f>
        <v/>
      </c>
      <c r="AL25" s="101"/>
      <c r="AM25" s="101"/>
      <c r="AN25" s="101"/>
      <c r="AO25" s="91"/>
      <c r="AP25" s="308" t="str">
        <f>IF(AND(AL25="",AM25="",AN25="",AO25=""),"",AVERAGE(AL25:AO25))</f>
        <v/>
      </c>
      <c r="AQ25" s="101"/>
      <c r="AR25" s="101"/>
      <c r="AS25" s="317" t="str">
        <f>IF(AND(AL25="",AM25="",AN25="",AO25=""),"",IF(AND(AQ25="",AR25=""),AP25,IF(OR(AR25="",AQ25="",AR25&lt;=$CT$2),MAX(AP25:AR25),$CT$2)))</f>
        <v/>
      </c>
      <c r="AT25" s="101"/>
      <c r="AU25" s="101"/>
      <c r="AV25" s="101"/>
      <c r="AW25" s="91"/>
      <c r="AX25" s="308" t="str">
        <f>IF(AND(AT25="",AU25="",AV25="",AW25=""),"",AVERAGE(AT25:AW25))</f>
        <v/>
      </c>
      <c r="AY25" s="101"/>
      <c r="AZ25" s="101"/>
      <c r="BA25" s="317" t="str">
        <f>IF(AND(AT25="",AU25="",AV25="",AW25=""),"",IF(AND(AY25="",AZ25=""),AX25,IF(OR(AZ25="",AY25="",AZ25&lt;=$CT$2),MAX(AX25:AZ25),$CT$2)))</f>
        <v/>
      </c>
      <c r="BB25" s="101"/>
      <c r="BC25" s="101"/>
      <c r="BD25" s="101"/>
      <c r="BE25" s="91"/>
      <c r="BF25" s="308" t="str">
        <f>IF(AND(BB25="",BC25="",BD25="",BE25=""),"",AVERAGE(BB25:BE25))</f>
        <v/>
      </c>
      <c r="BG25" s="101"/>
      <c r="BH25" s="101"/>
      <c r="BI25" s="317" t="str">
        <f>IF(AND(BB25="",BC25="",BD25="",BE25=""),"",IF(AND(BG25="",BH25=""),BF25,IF(OR(BH25="",BG25="",BH25&lt;=$CT$2),MAX(BF25:BH25),$CT$2)))</f>
        <v/>
      </c>
      <c r="BJ25" s="101"/>
      <c r="BK25" s="101"/>
      <c r="BL25" s="101"/>
      <c r="BM25" s="91"/>
      <c r="BN25" s="308" t="str">
        <f>IF(AND(BJ25="",BK25="",BL25="",BM25=""),"",AVERAGE(BJ25:BM25))</f>
        <v/>
      </c>
      <c r="BO25" s="101"/>
      <c r="BP25" s="101"/>
      <c r="BQ25" s="317" t="str">
        <f>IF(AND(BJ25="",BK25="",BL25="",BM25=""),"",IF(AND(BO25="",BP25=""),BN25,IF(OR(BP25="",BO25="",BP25&lt;=$CT$2),MAX(BN25:BP25),$CT$2)))</f>
        <v/>
      </c>
      <c r="BR25" s="101"/>
      <c r="BS25" s="101"/>
      <c r="BT25" s="101"/>
      <c r="BU25" s="91"/>
      <c r="BV25" s="308" t="str">
        <f>IF(AND(BR25="",BS25="",BT25="",BU25=""),"",AVERAGE(BR25:BU25))</f>
        <v/>
      </c>
      <c r="BW25" s="101"/>
      <c r="BX25" s="101"/>
      <c r="BY25" s="317" t="str">
        <f>IF(AND(BR25="",BS25="",BT25="",BU25=""),"",IF(AND(BW25="",BX25=""),BV25,IF(OR(BX25="",BW25="",BX25&lt;=$CT$2),MAX(BV25:BX25),$CT$2)))</f>
        <v/>
      </c>
      <c r="BZ25" s="101"/>
      <c r="CA25" s="101"/>
      <c r="CB25" s="101"/>
      <c r="CC25" s="91"/>
      <c r="CD25" s="308" t="str">
        <f>IF(AND(BZ25="",CA25="",CB25="",CC25=""),"",AVERAGE(BZ25:CC25))</f>
        <v/>
      </c>
      <c r="CE25" s="101"/>
      <c r="CF25" s="101"/>
      <c r="CG25" s="317" t="str">
        <f>IF(AND(BZ25="",CA25="",CB25="",CC25=""),"",IF(AND(CE25="",CF25=""),CD25,IF(OR(CF25="",CE25="",CF25&lt;=$CT$2),MAX(CD25:CF25),$CT$2)))</f>
        <v/>
      </c>
      <c r="CH25" s="319">
        <f t="shared" si="0"/>
        <v>85</v>
      </c>
      <c r="CI25" s="105">
        <f t="shared" si="1"/>
        <v>85</v>
      </c>
      <c r="CJ25" s="105">
        <f t="shared" si="2"/>
        <v>85</v>
      </c>
      <c r="CK25" s="408">
        <v>70</v>
      </c>
      <c r="CL25" s="101">
        <v>70</v>
      </c>
      <c r="CM25" s="320">
        <f t="shared" si="23"/>
        <v>255</v>
      </c>
      <c r="CN25" s="320">
        <f t="shared" si="24"/>
        <v>105</v>
      </c>
      <c r="CO25" s="320">
        <f t="shared" si="25"/>
        <v>35</v>
      </c>
      <c r="CP25" s="227">
        <f t="shared" si="26"/>
        <v>79</v>
      </c>
      <c r="CQ25" s="321">
        <f t="shared" si="27"/>
        <v>79</v>
      </c>
      <c r="CR25" s="106" t="str">
        <f t="shared" si="28"/>
        <v>B</v>
      </c>
      <c r="CS25" s="106" t="str">
        <f t="shared" si="29"/>
        <v>baik</v>
      </c>
      <c r="CT25" s="106" t="str">
        <f t="shared" si="30"/>
        <v>TUNTAS</v>
      </c>
      <c r="CU25" s="106" t="str">
        <f t="shared" si="31"/>
        <v>TUNTAS</v>
      </c>
      <c r="CV25" s="116" t="str">
        <f t="shared" si="32"/>
        <v>Penguasaan materi sudah baik dalam Mengidentifikasi informasi (pesan, rima, dan pilihan kata) dari puisi rakyat (pantun, syair, dan bentuk puisi rakyat setempat) yang dibaca dan didengar</v>
      </c>
      <c r="CW25" s="109" t="str">
        <f>IF(CI25="","",VLOOKUP(CI25,DATAPENG!$AP$3:$AQ$12,2,FALSE))</f>
        <v>Mengidentifikasi informasi (pesan, rima, dan pilihan kata) dari puisi rakyat (pantun, syair, dan bentuk puisi rakyat setempat) yang dibaca dan didengar</v>
      </c>
      <c r="CX25" s="109" t="str">
        <f>IF(CJ25="","",VLOOKUP(CJ25,DATAPENG!$AP$3:$AQ$12,2,FALSE))</f>
        <v>Mengidentifikasi informasi (pesan, rima, dan pilihan kata) dari puisi rakyat (pantun, syair, dan bentuk puisi rakyat setempat) yang dibaca dan didengar</v>
      </c>
    </row>
    <row r="26" spans="1:102" ht="16.5">
      <c r="A26" s="105">
        <f>'DATA SISWA'!A26</f>
        <v>22</v>
      </c>
      <c r="B26" s="105" t="str">
        <f>'DATA SISWA'!B26</f>
        <v>7662</v>
      </c>
      <c r="C26" s="105" t="str">
        <f>'DATA SISWA'!C26</f>
        <v>MOH SAHRUL RAMADON</v>
      </c>
      <c r="D26" s="105" t="str">
        <f>'DATA SISWA'!D26</f>
        <v>L</v>
      </c>
      <c r="E26" s="105" t="str">
        <f>'DATA SISWA'!E26</f>
        <v>VII-J</v>
      </c>
      <c r="F26" s="407">
        <v>85</v>
      </c>
      <c r="G26" s="101"/>
      <c r="H26" s="407">
        <v>85</v>
      </c>
      <c r="I26" s="407"/>
      <c r="J26" s="308">
        <f t="shared" ref="J26:J28" si="113">IF(AND(F26="",G26="",H26="",I26=""),"",AVERAGE(F26:I26))</f>
        <v>85</v>
      </c>
      <c r="K26" s="101"/>
      <c r="L26" s="101"/>
      <c r="M26" s="317">
        <f t="shared" ref="M26:M28" si="114">IF(AND(F26="",G26="",H26="",I26=""),"",IF(AND(K26="",L26=""),J26,IF(OR(L26="",K26="",L26&lt;=$CT$2),MAX(J26:L26),$CT$2)))</f>
        <v>85</v>
      </c>
      <c r="N26" s="407">
        <v>85</v>
      </c>
      <c r="O26" s="101"/>
      <c r="P26" s="407">
        <v>85</v>
      </c>
      <c r="Q26" s="407"/>
      <c r="R26" s="308">
        <f t="shared" ref="R26:R28" si="115">IF(AND(N26="",O26="",P26="",Q26=""),"",AVERAGE(N26:Q26))</f>
        <v>85</v>
      </c>
      <c r="S26" s="101"/>
      <c r="T26" s="101"/>
      <c r="U26" s="317">
        <f t="shared" ref="U26:U28" si="116">IF(AND(N26="",O26="",P26="",Q26=""),"",IF(AND(S26="",T26=""),R26,IF(OR(T26="",S26="",T26&lt;=$CT$2),MAX(R26:T26),$CT$2)))</f>
        <v>85</v>
      </c>
      <c r="V26" s="101"/>
      <c r="W26" s="101"/>
      <c r="X26" s="101"/>
      <c r="Y26" s="91"/>
      <c r="Z26" s="308" t="str">
        <f t="shared" ref="Z26:Z28" si="117">IF(AND(V26="",W26="",X26="",Y26=""),"",AVERAGE(V26:Y26))</f>
        <v/>
      </c>
      <c r="AA26" s="101"/>
      <c r="AB26" s="101"/>
      <c r="AC26" s="317" t="str">
        <f t="shared" ref="AC26:AC28" si="118">IF(AND(V26="",W26="",X26="",Y26=""),"",IF(AND(AA26="",AB26=""),Z26,IF(OR(AB26="",AA26="",AB26&lt;=$CT$2),MAX(Z26:AB26),$CT$2)))</f>
        <v/>
      </c>
      <c r="AD26" s="101"/>
      <c r="AE26" s="101"/>
      <c r="AF26" s="101"/>
      <c r="AG26" s="91"/>
      <c r="AH26" s="308" t="str">
        <f t="shared" ref="AH26:AH28" si="119">IF(AND(AD26="",AE26="",AF26="",AG26=""),"",AVERAGE(AD26:AG26))</f>
        <v/>
      </c>
      <c r="AI26" s="101"/>
      <c r="AJ26" s="101"/>
      <c r="AK26" s="317" t="str">
        <f t="shared" ref="AK26:AK28" si="120">IF(AND(AD26="",AE26="",AF26="",AG26=""),"",IF(AND(AI26="",AJ26=""),AH26,IF(OR(AJ26="",AI26="",AJ26&lt;=$CT$2),MAX(AH26:AJ26),$CT$2)))</f>
        <v/>
      </c>
      <c r="AL26" s="101"/>
      <c r="AM26" s="101"/>
      <c r="AN26" s="101"/>
      <c r="AO26" s="91"/>
      <c r="AP26" s="308" t="str">
        <f t="shared" ref="AP26:AP28" si="121">IF(AND(AL26="",AM26="",AN26="",AO26=""),"",AVERAGE(AL26:AO26))</f>
        <v/>
      </c>
      <c r="AQ26" s="101"/>
      <c r="AR26" s="101"/>
      <c r="AS26" s="317" t="str">
        <f t="shared" ref="AS26:AS28" si="122">IF(AND(AL26="",AM26="",AN26="",AO26=""),"",IF(AND(AQ26="",AR26=""),AP26,IF(OR(AR26="",AQ26="",AR26&lt;=$CT$2),MAX(AP26:AR26),$CT$2)))</f>
        <v/>
      </c>
      <c r="AT26" s="101"/>
      <c r="AU26" s="101"/>
      <c r="AV26" s="101"/>
      <c r="AW26" s="91"/>
      <c r="AX26" s="308" t="str">
        <f t="shared" ref="AX26:AX28" si="123">IF(AND(AT26="",AU26="",AV26="",AW26=""),"",AVERAGE(AT26:AW26))</f>
        <v/>
      </c>
      <c r="AY26" s="101"/>
      <c r="AZ26" s="101"/>
      <c r="BA26" s="317" t="str">
        <f t="shared" ref="BA26:BA28" si="124">IF(AND(AT26="",AU26="",AV26="",AW26=""),"",IF(AND(AY26="",AZ26=""),AX26,IF(OR(AZ26="",AY26="",AZ26&lt;=$CT$2),MAX(AX26:AZ26),$CT$2)))</f>
        <v/>
      </c>
      <c r="BB26" s="101"/>
      <c r="BC26" s="101"/>
      <c r="BD26" s="101"/>
      <c r="BE26" s="91"/>
      <c r="BF26" s="308" t="str">
        <f t="shared" ref="BF26:BF28" si="125">IF(AND(BB26="",BC26="",BD26="",BE26=""),"",AVERAGE(BB26:BE26))</f>
        <v/>
      </c>
      <c r="BG26" s="101"/>
      <c r="BH26" s="101"/>
      <c r="BI26" s="317" t="str">
        <f t="shared" ref="BI26:BI28" si="126">IF(AND(BB26="",BC26="",BD26="",BE26=""),"",IF(AND(BG26="",BH26=""),BF26,IF(OR(BH26="",BG26="",BH26&lt;=$CT$2),MAX(BF26:BH26),$CT$2)))</f>
        <v/>
      </c>
      <c r="BJ26" s="101"/>
      <c r="BK26" s="101"/>
      <c r="BL26" s="101"/>
      <c r="BM26" s="91"/>
      <c r="BN26" s="308" t="str">
        <f t="shared" ref="BN26:BN28" si="127">IF(AND(BJ26="",BK26="",BL26="",BM26=""),"",AVERAGE(BJ26:BM26))</f>
        <v/>
      </c>
      <c r="BO26" s="101"/>
      <c r="BP26" s="101"/>
      <c r="BQ26" s="317" t="str">
        <f t="shared" ref="BQ26:BQ28" si="128">IF(AND(BJ26="",BK26="",BL26="",BM26=""),"",IF(AND(BO26="",BP26=""),BN26,IF(OR(BP26="",BO26="",BP26&lt;=$CT$2),MAX(BN26:BP26),$CT$2)))</f>
        <v/>
      </c>
      <c r="BR26" s="101"/>
      <c r="BS26" s="101"/>
      <c r="BT26" s="101"/>
      <c r="BU26" s="91"/>
      <c r="BV26" s="308" t="str">
        <f t="shared" ref="BV26:BV28" si="129">IF(AND(BR26="",BS26="",BT26="",BU26=""),"",AVERAGE(BR26:BU26))</f>
        <v/>
      </c>
      <c r="BW26" s="101"/>
      <c r="BX26" s="101"/>
      <c r="BY26" s="317" t="str">
        <f t="shared" ref="BY26:BY28" si="130">IF(AND(BR26="",BS26="",BT26="",BU26=""),"",IF(AND(BW26="",BX26=""),BV26,IF(OR(BX26="",BW26="",BX26&lt;=$CT$2),MAX(BV26:BX26),$CT$2)))</f>
        <v/>
      </c>
      <c r="BZ26" s="101"/>
      <c r="CA26" s="101"/>
      <c r="CB26" s="101"/>
      <c r="CC26" s="91"/>
      <c r="CD26" s="308" t="str">
        <f t="shared" ref="CD26:CD28" si="131">IF(AND(BZ26="",CA26="",CB26="",CC26=""),"",AVERAGE(BZ26:CC26))</f>
        <v/>
      </c>
      <c r="CE26" s="101"/>
      <c r="CF26" s="101"/>
      <c r="CG26" s="317" t="str">
        <f t="shared" ref="CG26:CG28" si="132">IF(AND(BZ26="",CA26="",CB26="",CC26=""),"",IF(AND(CE26="",CF26=""),CD26,IF(OR(CF26="",CE26="",CF26&lt;=$CT$2),MAX(CD26:CF26),$CT$2)))</f>
        <v/>
      </c>
      <c r="CH26" s="319">
        <f t="shared" si="0"/>
        <v>85</v>
      </c>
      <c r="CI26" s="105">
        <f t="shared" si="1"/>
        <v>85</v>
      </c>
      <c r="CJ26" s="105">
        <f t="shared" si="2"/>
        <v>85</v>
      </c>
      <c r="CK26" s="408">
        <v>60</v>
      </c>
      <c r="CL26" s="101">
        <v>72</v>
      </c>
      <c r="CM26" s="320">
        <f t="shared" si="23"/>
        <v>255</v>
      </c>
      <c r="CN26" s="320">
        <f t="shared" si="24"/>
        <v>90</v>
      </c>
      <c r="CO26" s="320">
        <f t="shared" si="25"/>
        <v>36</v>
      </c>
      <c r="CP26" s="227">
        <f t="shared" si="26"/>
        <v>76.2</v>
      </c>
      <c r="CQ26" s="321">
        <f t="shared" si="27"/>
        <v>77</v>
      </c>
      <c r="CR26" s="106" t="str">
        <f t="shared" si="28"/>
        <v>B</v>
      </c>
      <c r="CS26" s="106" t="str">
        <f t="shared" si="29"/>
        <v>baik</v>
      </c>
      <c r="CT26" s="106" t="str">
        <f t="shared" si="30"/>
        <v>TUNTAS</v>
      </c>
      <c r="CU26" s="106" t="str">
        <f t="shared" si="31"/>
        <v>TUNTAS</v>
      </c>
      <c r="CV26" s="116" t="str">
        <f t="shared" si="32"/>
        <v>Penguasaan materi sudah baik dalam Mengidentifikasi informasi (pesan, rima, dan pilihan kata) dari puisi rakyat (pantun, syair, dan bentuk puisi rakyat setempat) yang dibaca dan didengar</v>
      </c>
      <c r="CW26" s="109" t="str">
        <f>IF(CI26="","",VLOOKUP(CI26,DATAPENG!$AR$3:$AS$12,2,FALSE))</f>
        <v>Mengidentifikasi informasi (pesan, rima, dan pilihan kata) dari puisi rakyat (pantun, syair, dan bentuk puisi rakyat setempat) yang dibaca dan didengar</v>
      </c>
      <c r="CX26" s="109" t="str">
        <f>IF(CJ26="","",VLOOKUP(CJ26,DATAPENG!$AR$3:$AS$12,2,FALSE))</f>
        <v>Mengidentifikasi informasi (pesan, rima, dan pilihan kata) dari puisi rakyat (pantun, syair, dan bentuk puisi rakyat setempat) yang dibaca dan didengar</v>
      </c>
    </row>
    <row r="27" spans="1:102" ht="16.5">
      <c r="A27" s="105">
        <f>'DATA SISWA'!A27</f>
        <v>23</v>
      </c>
      <c r="B27" s="105" t="str">
        <f>'DATA SISWA'!B27</f>
        <v>7664</v>
      </c>
      <c r="C27" s="105" t="str">
        <f>'DATA SISWA'!C27</f>
        <v>MOHAMMAD RAMADAN PURNOMO</v>
      </c>
      <c r="D27" s="105" t="str">
        <f>'DATA SISWA'!D27</f>
        <v>L</v>
      </c>
      <c r="E27" s="105" t="str">
        <f>'DATA SISWA'!E27</f>
        <v>VII-J</v>
      </c>
      <c r="F27" s="407">
        <v>80</v>
      </c>
      <c r="G27" s="101"/>
      <c r="H27" s="407">
        <v>75</v>
      </c>
      <c r="I27" s="407"/>
      <c r="J27" s="308">
        <f t="shared" si="113"/>
        <v>77.5</v>
      </c>
      <c r="K27" s="101"/>
      <c r="L27" s="101"/>
      <c r="M27" s="317">
        <f t="shared" si="114"/>
        <v>77.5</v>
      </c>
      <c r="N27" s="407">
        <v>80</v>
      </c>
      <c r="O27" s="101"/>
      <c r="P27" s="407">
        <v>80</v>
      </c>
      <c r="Q27" s="407"/>
      <c r="R27" s="308">
        <f t="shared" si="115"/>
        <v>80</v>
      </c>
      <c r="S27" s="101"/>
      <c r="T27" s="101"/>
      <c r="U27" s="317">
        <f t="shared" si="116"/>
        <v>80</v>
      </c>
      <c r="V27" s="101"/>
      <c r="W27" s="101"/>
      <c r="X27" s="101"/>
      <c r="Y27" s="91"/>
      <c r="Z27" s="308" t="str">
        <f t="shared" si="117"/>
        <v/>
      </c>
      <c r="AA27" s="101"/>
      <c r="AB27" s="101"/>
      <c r="AC27" s="317" t="str">
        <f t="shared" si="118"/>
        <v/>
      </c>
      <c r="AD27" s="101"/>
      <c r="AE27" s="101"/>
      <c r="AF27" s="101"/>
      <c r="AG27" s="91"/>
      <c r="AH27" s="308" t="str">
        <f t="shared" si="119"/>
        <v/>
      </c>
      <c r="AI27" s="101"/>
      <c r="AJ27" s="101"/>
      <c r="AK27" s="317" t="str">
        <f t="shared" si="120"/>
        <v/>
      </c>
      <c r="AL27" s="101"/>
      <c r="AM27" s="101"/>
      <c r="AN27" s="101"/>
      <c r="AO27" s="91"/>
      <c r="AP27" s="308" t="str">
        <f t="shared" si="121"/>
        <v/>
      </c>
      <c r="AQ27" s="101"/>
      <c r="AR27" s="101"/>
      <c r="AS27" s="317" t="str">
        <f t="shared" si="122"/>
        <v/>
      </c>
      <c r="AT27" s="101"/>
      <c r="AU27" s="101"/>
      <c r="AV27" s="101"/>
      <c r="AW27" s="91"/>
      <c r="AX27" s="308" t="str">
        <f t="shared" si="123"/>
        <v/>
      </c>
      <c r="AY27" s="101"/>
      <c r="AZ27" s="101"/>
      <c r="BA27" s="317" t="str">
        <f t="shared" si="124"/>
        <v/>
      </c>
      <c r="BB27" s="101"/>
      <c r="BC27" s="101"/>
      <c r="BD27" s="101"/>
      <c r="BE27" s="91"/>
      <c r="BF27" s="308" t="str">
        <f t="shared" si="125"/>
        <v/>
      </c>
      <c r="BG27" s="101"/>
      <c r="BH27" s="101"/>
      <c r="BI27" s="317" t="str">
        <f t="shared" si="126"/>
        <v/>
      </c>
      <c r="BJ27" s="101"/>
      <c r="BK27" s="101"/>
      <c r="BL27" s="101"/>
      <c r="BM27" s="91"/>
      <c r="BN27" s="308" t="str">
        <f t="shared" si="127"/>
        <v/>
      </c>
      <c r="BO27" s="101"/>
      <c r="BP27" s="101"/>
      <c r="BQ27" s="317" t="str">
        <f t="shared" si="128"/>
        <v/>
      </c>
      <c r="BR27" s="101"/>
      <c r="BS27" s="101"/>
      <c r="BT27" s="101"/>
      <c r="BU27" s="91"/>
      <c r="BV27" s="308" t="str">
        <f t="shared" si="129"/>
        <v/>
      </c>
      <c r="BW27" s="101"/>
      <c r="BX27" s="101"/>
      <c r="BY27" s="317" t="str">
        <f t="shared" si="130"/>
        <v/>
      </c>
      <c r="BZ27" s="101"/>
      <c r="CA27" s="101"/>
      <c r="CB27" s="101"/>
      <c r="CC27" s="91"/>
      <c r="CD27" s="308" t="str">
        <f t="shared" si="131"/>
        <v/>
      </c>
      <c r="CE27" s="101"/>
      <c r="CF27" s="101"/>
      <c r="CG27" s="317" t="str">
        <f t="shared" si="132"/>
        <v/>
      </c>
      <c r="CH27" s="319">
        <f t="shared" si="0"/>
        <v>78.75</v>
      </c>
      <c r="CI27" s="105">
        <f t="shared" si="1"/>
        <v>80</v>
      </c>
      <c r="CJ27" s="105">
        <f t="shared" si="2"/>
        <v>77.5</v>
      </c>
      <c r="CK27" s="408">
        <v>55</v>
      </c>
      <c r="CL27" s="101">
        <v>70</v>
      </c>
      <c r="CM27" s="320">
        <f t="shared" si="23"/>
        <v>236.25</v>
      </c>
      <c r="CN27" s="320">
        <f t="shared" si="24"/>
        <v>82.5</v>
      </c>
      <c r="CO27" s="320">
        <f t="shared" si="25"/>
        <v>35</v>
      </c>
      <c r="CP27" s="227">
        <f t="shared" si="26"/>
        <v>70.75</v>
      </c>
      <c r="CQ27" s="321">
        <f t="shared" si="27"/>
        <v>71</v>
      </c>
      <c r="CR27" s="106" t="str">
        <f t="shared" si="28"/>
        <v>B</v>
      </c>
      <c r="CS27" s="106" t="str">
        <f t="shared" si="29"/>
        <v>baik</v>
      </c>
      <c r="CT27" s="106" t="str">
        <f t="shared" si="30"/>
        <v>TUNTAS</v>
      </c>
      <c r="CU27" s="106" t="str">
        <f t="shared" si="31"/>
        <v>TUNTAS</v>
      </c>
      <c r="CV27" s="116" t="str">
        <f t="shared" si="32"/>
        <v>Penguasaan materi sudah baik dalam Menelaah struktur  dan kebahasaan puisi rakyat (pantun, syair, dan bentuk puisi rakyat setempat) yang dibaca dan didengar</v>
      </c>
      <c r="CW27" s="109" t="str">
        <f>IF(CI27="","",VLOOKUP(CI27,DATAPENG!$AT$3:$AU$12,2,FALSE))</f>
        <v>Menelaah struktur  dan kebahasaan puisi rakyat (pantun, syair, dan bentuk puisi rakyat setempat) yang dibaca dan didengar</v>
      </c>
      <c r="CX27" s="109" t="str">
        <f>IF(CJ27="","",VLOOKUP(CJ27,DATAPENG!$AT$3:$AU$12,2,FALSE))</f>
        <v>Mengidentifikasi informasi (pesan, rima, dan pilihan kata) dari puisi rakyat (pantun, syair, dan bentuk puisi rakyat setempat) yang dibaca dan didengar</v>
      </c>
    </row>
    <row r="28" spans="1:102" ht="16.5">
      <c r="A28" s="105">
        <f>'DATA SISWA'!A28</f>
        <v>24</v>
      </c>
      <c r="B28" s="105" t="str">
        <f>'DATA SISWA'!B28</f>
        <v>7665</v>
      </c>
      <c r="C28" s="105" t="str">
        <f>'DATA SISWA'!C28</f>
        <v>MOHAMMAD ROFI'I</v>
      </c>
      <c r="D28" s="105" t="str">
        <f>'DATA SISWA'!D28</f>
        <v>L</v>
      </c>
      <c r="E28" s="105" t="str">
        <f>'DATA SISWA'!E28</f>
        <v>VII-J</v>
      </c>
      <c r="F28" s="407">
        <v>85</v>
      </c>
      <c r="G28" s="101"/>
      <c r="H28" s="407">
        <v>85</v>
      </c>
      <c r="I28" s="407"/>
      <c r="J28" s="308">
        <f t="shared" si="113"/>
        <v>85</v>
      </c>
      <c r="K28" s="101"/>
      <c r="L28" s="101"/>
      <c r="M28" s="317">
        <f t="shared" si="114"/>
        <v>85</v>
      </c>
      <c r="N28" s="407">
        <v>85</v>
      </c>
      <c r="O28" s="101"/>
      <c r="P28" s="407">
        <v>85</v>
      </c>
      <c r="Q28" s="407"/>
      <c r="R28" s="308">
        <f t="shared" si="115"/>
        <v>85</v>
      </c>
      <c r="S28" s="101"/>
      <c r="T28" s="101"/>
      <c r="U28" s="317">
        <f t="shared" si="116"/>
        <v>85</v>
      </c>
      <c r="V28" s="101"/>
      <c r="W28" s="101"/>
      <c r="X28" s="101"/>
      <c r="Y28" s="91"/>
      <c r="Z28" s="308" t="str">
        <f t="shared" si="117"/>
        <v/>
      </c>
      <c r="AA28" s="101"/>
      <c r="AB28" s="101"/>
      <c r="AC28" s="317" t="str">
        <f t="shared" si="118"/>
        <v/>
      </c>
      <c r="AD28" s="101"/>
      <c r="AE28" s="101"/>
      <c r="AF28" s="101"/>
      <c r="AG28" s="91"/>
      <c r="AH28" s="308" t="str">
        <f t="shared" si="119"/>
        <v/>
      </c>
      <c r="AI28" s="101"/>
      <c r="AJ28" s="101"/>
      <c r="AK28" s="317" t="str">
        <f t="shared" si="120"/>
        <v/>
      </c>
      <c r="AL28" s="101"/>
      <c r="AM28" s="101"/>
      <c r="AN28" s="101"/>
      <c r="AO28" s="91"/>
      <c r="AP28" s="308" t="str">
        <f t="shared" si="121"/>
        <v/>
      </c>
      <c r="AQ28" s="101"/>
      <c r="AR28" s="101"/>
      <c r="AS28" s="317" t="str">
        <f t="shared" si="122"/>
        <v/>
      </c>
      <c r="AT28" s="101"/>
      <c r="AU28" s="101"/>
      <c r="AV28" s="101"/>
      <c r="AW28" s="91"/>
      <c r="AX28" s="308" t="str">
        <f t="shared" si="123"/>
        <v/>
      </c>
      <c r="AY28" s="101"/>
      <c r="AZ28" s="101"/>
      <c r="BA28" s="317" t="str">
        <f t="shared" si="124"/>
        <v/>
      </c>
      <c r="BB28" s="101"/>
      <c r="BC28" s="101"/>
      <c r="BD28" s="101"/>
      <c r="BE28" s="91"/>
      <c r="BF28" s="308" t="str">
        <f t="shared" si="125"/>
        <v/>
      </c>
      <c r="BG28" s="101"/>
      <c r="BH28" s="101"/>
      <c r="BI28" s="317" t="str">
        <f t="shared" si="126"/>
        <v/>
      </c>
      <c r="BJ28" s="101"/>
      <c r="BK28" s="101"/>
      <c r="BL28" s="101"/>
      <c r="BM28" s="91"/>
      <c r="BN28" s="308" t="str">
        <f t="shared" si="127"/>
        <v/>
      </c>
      <c r="BO28" s="101"/>
      <c r="BP28" s="101"/>
      <c r="BQ28" s="317" t="str">
        <f t="shared" si="128"/>
        <v/>
      </c>
      <c r="BR28" s="101"/>
      <c r="BS28" s="101"/>
      <c r="BT28" s="101"/>
      <c r="BU28" s="91"/>
      <c r="BV28" s="308" t="str">
        <f t="shared" si="129"/>
        <v/>
      </c>
      <c r="BW28" s="101"/>
      <c r="BX28" s="101"/>
      <c r="BY28" s="317" t="str">
        <f t="shared" si="130"/>
        <v/>
      </c>
      <c r="BZ28" s="101"/>
      <c r="CA28" s="101"/>
      <c r="CB28" s="101"/>
      <c r="CC28" s="91"/>
      <c r="CD28" s="308" t="str">
        <f t="shared" si="131"/>
        <v/>
      </c>
      <c r="CE28" s="101"/>
      <c r="CF28" s="101"/>
      <c r="CG28" s="317" t="str">
        <f t="shared" si="132"/>
        <v/>
      </c>
      <c r="CH28" s="319">
        <f t="shared" si="0"/>
        <v>85</v>
      </c>
      <c r="CI28" s="105">
        <f t="shared" si="1"/>
        <v>85</v>
      </c>
      <c r="CJ28" s="105">
        <f t="shared" si="2"/>
        <v>85</v>
      </c>
      <c r="CK28" s="408">
        <v>70</v>
      </c>
      <c r="CL28" s="101">
        <v>70</v>
      </c>
      <c r="CM28" s="320">
        <f t="shared" si="23"/>
        <v>255</v>
      </c>
      <c r="CN28" s="320">
        <f t="shared" si="24"/>
        <v>105</v>
      </c>
      <c r="CO28" s="320">
        <f t="shared" si="25"/>
        <v>35</v>
      </c>
      <c r="CP28" s="227">
        <f t="shared" si="26"/>
        <v>79</v>
      </c>
      <c r="CQ28" s="321">
        <f t="shared" si="27"/>
        <v>79</v>
      </c>
      <c r="CR28" s="106" t="str">
        <f t="shared" si="28"/>
        <v>B</v>
      </c>
      <c r="CS28" s="106" t="str">
        <f t="shared" si="29"/>
        <v>baik</v>
      </c>
      <c r="CT28" s="106" t="str">
        <f t="shared" si="30"/>
        <v>TUNTAS</v>
      </c>
      <c r="CU28" s="106" t="str">
        <f t="shared" si="31"/>
        <v>TUNTAS</v>
      </c>
      <c r="CV28" s="116" t="str">
        <f t="shared" si="32"/>
        <v>Penguasaan materi sudah baik dalam Mengidentifikasi informasi (pesan, rima, dan pilihan kata) dari puisi rakyat (pantun, syair, dan bentuk puisi rakyat setempat) yang dibaca dan didengar</v>
      </c>
      <c r="CW28" s="109" t="str">
        <f>IF(CI28="","",VLOOKUP(CI28,DATAPENG!$AV$3:$AW$12,2,FALSE))</f>
        <v>Mengidentifikasi informasi (pesan, rima, dan pilihan kata) dari puisi rakyat (pantun, syair, dan bentuk puisi rakyat setempat) yang dibaca dan didengar</v>
      </c>
      <c r="CX28" s="109" t="str">
        <f>IF(CJ28="","",VLOOKUP(CJ28,DATAPENG!$AV$3:$AW$12,2,FALSE))</f>
        <v>Mengidentifikasi informasi (pesan, rima, dan pilihan kata) dari puisi rakyat (pantun, syair, dan bentuk puisi rakyat setempat) yang dibaca dan didengar</v>
      </c>
    </row>
    <row r="29" spans="1:102" ht="16.5">
      <c r="A29" s="105">
        <f>'DATA SISWA'!A29</f>
        <v>25</v>
      </c>
      <c r="B29" s="105" t="str">
        <f>'DATA SISWA'!B29</f>
        <v>7666</v>
      </c>
      <c r="C29" s="105" t="str">
        <f>'DATA SISWA'!C29</f>
        <v>NI'MATUS SHOLIHA</v>
      </c>
      <c r="D29" s="105" t="str">
        <f>'DATA SISWA'!D29</f>
        <v>P</v>
      </c>
      <c r="E29" s="105" t="str">
        <f>'DATA SISWA'!E29</f>
        <v>VII-J</v>
      </c>
      <c r="F29" s="407">
        <v>85</v>
      </c>
      <c r="G29" s="101"/>
      <c r="H29" s="407">
        <v>85</v>
      </c>
      <c r="I29" s="407"/>
      <c r="J29" s="308">
        <f>IF(AND(F29="",G29="",H29="",I29=""),"",AVERAGE(F29:I29))</f>
        <v>85</v>
      </c>
      <c r="K29" s="101"/>
      <c r="L29" s="101"/>
      <c r="M29" s="317">
        <f>IF(AND(F29="",G29="",H29="",I29=""),"",IF(AND(K29="",L29=""),J29,IF(OR(L29="",K29="",L29&lt;=$CT$2),MAX(J29:L29),$CT$2)))</f>
        <v>85</v>
      </c>
      <c r="N29" s="407">
        <v>85</v>
      </c>
      <c r="O29" s="101"/>
      <c r="P29" s="407">
        <v>85</v>
      </c>
      <c r="Q29" s="407"/>
      <c r="R29" s="308">
        <f>IF(AND(N29="",O29="",P29="",Q29=""),"",AVERAGE(N29:Q29))</f>
        <v>85</v>
      </c>
      <c r="S29" s="101"/>
      <c r="T29" s="101"/>
      <c r="U29" s="317">
        <f>IF(AND(N29="",O29="",P29="",Q29=""),"",IF(AND(S29="",T29=""),R29,IF(OR(T29="",S29="",T29&lt;=$CT$2),MAX(R29:T29),$CT$2)))</f>
        <v>85</v>
      </c>
      <c r="V29" s="101"/>
      <c r="W29" s="101"/>
      <c r="X29" s="101"/>
      <c r="Y29" s="91"/>
      <c r="Z29" s="308" t="str">
        <f>IF(AND(V29="",W29="",X29="",Y29=""),"",AVERAGE(V29:Y29))</f>
        <v/>
      </c>
      <c r="AA29" s="101"/>
      <c r="AB29" s="101"/>
      <c r="AC29" s="317" t="str">
        <f>IF(AND(V29="",W29="",X29="",Y29=""),"",IF(AND(AA29="",AB29=""),Z29,IF(OR(AB29="",AA29="",AB29&lt;=$CT$2),MAX(Z29:AB29),$CT$2)))</f>
        <v/>
      </c>
      <c r="AD29" s="101"/>
      <c r="AE29" s="101"/>
      <c r="AF29" s="101"/>
      <c r="AG29" s="91"/>
      <c r="AH29" s="308" t="str">
        <f>IF(AND(AD29="",AE29="",AF29="",AG29=""),"",AVERAGE(AD29:AG29))</f>
        <v/>
      </c>
      <c r="AI29" s="101"/>
      <c r="AJ29" s="101"/>
      <c r="AK29" s="317" t="str">
        <f>IF(AND(AD29="",AE29="",AF29="",AG29=""),"",IF(AND(AI29="",AJ29=""),AH29,IF(OR(AJ29="",AI29="",AJ29&lt;=$CT$2),MAX(AH29:AJ29),$CT$2)))</f>
        <v/>
      </c>
      <c r="AL29" s="101"/>
      <c r="AM29" s="101"/>
      <c r="AN29" s="101"/>
      <c r="AO29" s="91"/>
      <c r="AP29" s="308" t="str">
        <f>IF(AND(AL29="",AM29="",AN29="",AO29=""),"",AVERAGE(AL29:AO29))</f>
        <v/>
      </c>
      <c r="AQ29" s="101"/>
      <c r="AR29" s="101"/>
      <c r="AS29" s="317" t="str">
        <f>IF(AND(AL29="",AM29="",AN29="",AO29=""),"",IF(AND(AQ29="",AR29=""),AP29,IF(OR(AR29="",AQ29="",AR29&lt;=$CT$2),MAX(AP29:AR29),$CT$2)))</f>
        <v/>
      </c>
      <c r="AT29" s="101"/>
      <c r="AU29" s="101"/>
      <c r="AV29" s="101"/>
      <c r="AW29" s="91"/>
      <c r="AX29" s="308" t="str">
        <f>IF(AND(AT29="",AU29="",AV29="",AW29=""),"",AVERAGE(AT29:AW29))</f>
        <v/>
      </c>
      <c r="AY29" s="101"/>
      <c r="AZ29" s="101"/>
      <c r="BA29" s="317" t="str">
        <f>IF(AND(AT29="",AU29="",AV29="",AW29=""),"",IF(AND(AY29="",AZ29=""),AX29,IF(OR(AZ29="",AY29="",AZ29&lt;=$CT$2),MAX(AX29:AZ29),$CT$2)))</f>
        <v/>
      </c>
      <c r="BB29" s="101"/>
      <c r="BC29" s="101"/>
      <c r="BD29" s="101"/>
      <c r="BE29" s="91"/>
      <c r="BF29" s="308" t="str">
        <f>IF(AND(BB29="",BC29="",BD29="",BE29=""),"",AVERAGE(BB29:BE29))</f>
        <v/>
      </c>
      <c r="BG29" s="101"/>
      <c r="BH29" s="101"/>
      <c r="BI29" s="317" t="str">
        <f>IF(AND(BB29="",BC29="",BD29="",BE29=""),"",IF(AND(BG29="",BH29=""),BF29,IF(OR(BH29="",BG29="",BH29&lt;=$CT$2),MAX(BF29:BH29),$CT$2)))</f>
        <v/>
      </c>
      <c r="BJ29" s="101"/>
      <c r="BK29" s="101"/>
      <c r="BL29" s="101"/>
      <c r="BM29" s="91"/>
      <c r="BN29" s="308" t="str">
        <f>IF(AND(BJ29="",BK29="",BL29="",BM29=""),"",AVERAGE(BJ29:BM29))</f>
        <v/>
      </c>
      <c r="BO29" s="101"/>
      <c r="BP29" s="101"/>
      <c r="BQ29" s="317" t="str">
        <f>IF(AND(BJ29="",BK29="",BL29="",BM29=""),"",IF(AND(BO29="",BP29=""),BN29,IF(OR(BP29="",BO29="",BP29&lt;=$CT$2),MAX(BN29:BP29),$CT$2)))</f>
        <v/>
      </c>
      <c r="BR29" s="101"/>
      <c r="BS29" s="101"/>
      <c r="BT29" s="101"/>
      <c r="BU29" s="91"/>
      <c r="BV29" s="308" t="str">
        <f>IF(AND(BR29="",BS29="",BT29="",BU29=""),"",AVERAGE(BR29:BU29))</f>
        <v/>
      </c>
      <c r="BW29" s="101"/>
      <c r="BX29" s="101"/>
      <c r="BY29" s="317" t="str">
        <f>IF(AND(BR29="",BS29="",BT29="",BU29=""),"",IF(AND(BW29="",BX29=""),BV29,IF(OR(BX29="",BW29="",BX29&lt;=$CT$2),MAX(BV29:BX29),$CT$2)))</f>
        <v/>
      </c>
      <c r="BZ29" s="101"/>
      <c r="CA29" s="101"/>
      <c r="CB29" s="101"/>
      <c r="CC29" s="91"/>
      <c r="CD29" s="308" t="str">
        <f>IF(AND(BZ29="",CA29="",CB29="",CC29=""),"",AVERAGE(BZ29:CC29))</f>
        <v/>
      </c>
      <c r="CE29" s="101"/>
      <c r="CF29" s="101"/>
      <c r="CG29" s="317" t="str">
        <f>IF(AND(BZ29="",CA29="",CB29="",CC29=""),"",IF(AND(CE29="",CF29=""),CD29,IF(OR(CF29="",CE29="",CF29&lt;=$CT$2),MAX(CD29:CF29),$CT$2)))</f>
        <v/>
      </c>
      <c r="CH29" s="319">
        <f t="shared" si="0"/>
        <v>85</v>
      </c>
      <c r="CI29" s="105">
        <f t="shared" si="1"/>
        <v>85</v>
      </c>
      <c r="CJ29" s="105">
        <f t="shared" si="2"/>
        <v>85</v>
      </c>
      <c r="CK29" s="408">
        <v>66</v>
      </c>
      <c r="CL29" s="101">
        <v>72</v>
      </c>
      <c r="CM29" s="320">
        <f t="shared" si="23"/>
        <v>255</v>
      </c>
      <c r="CN29" s="320">
        <f t="shared" si="24"/>
        <v>99</v>
      </c>
      <c r="CO29" s="320">
        <f t="shared" si="25"/>
        <v>36</v>
      </c>
      <c r="CP29" s="227">
        <f t="shared" si="26"/>
        <v>78</v>
      </c>
      <c r="CQ29" s="321">
        <f t="shared" si="27"/>
        <v>78</v>
      </c>
      <c r="CR29" s="106" t="str">
        <f t="shared" si="28"/>
        <v>B</v>
      </c>
      <c r="CS29" s="106" t="str">
        <f t="shared" si="29"/>
        <v>baik</v>
      </c>
      <c r="CT29" s="106" t="str">
        <f t="shared" si="30"/>
        <v>TUNTAS</v>
      </c>
      <c r="CU29" s="106" t="str">
        <f t="shared" si="31"/>
        <v>TUNTAS</v>
      </c>
      <c r="CV29" s="116" t="str">
        <f t="shared" si="32"/>
        <v>Penguasaan materi sudah baik dalam Mengidentifikasi informasi (pesan, rima, dan pilihan kata) dari puisi rakyat (pantun, syair, dan bentuk puisi rakyat setempat) yang dibaca dan didengar</v>
      </c>
      <c r="CW29" s="109" t="str">
        <f>IF(CI29="","",VLOOKUP(CI29,DATAPENG!$AX$3:$AY$12,2,FALSE))</f>
        <v>Mengidentifikasi informasi (pesan, rima, dan pilihan kata) dari puisi rakyat (pantun, syair, dan bentuk puisi rakyat setempat) yang dibaca dan didengar</v>
      </c>
      <c r="CX29" s="109" t="str">
        <f>IF(CJ29="","",VLOOKUP(CJ29,DATAPENG!$AX$3:$AY$12,2,FALSE))</f>
        <v>Mengidentifikasi informasi (pesan, rima, dan pilihan kata) dari puisi rakyat (pantun, syair, dan bentuk puisi rakyat setempat) yang dibaca dan didengar</v>
      </c>
    </row>
    <row r="30" spans="1:102" ht="16.5">
      <c r="A30" s="105">
        <f>'DATA SISWA'!A30</f>
        <v>26</v>
      </c>
      <c r="B30" s="105" t="str">
        <f>'DATA SISWA'!B30</f>
        <v>7676</v>
      </c>
      <c r="C30" s="105" t="str">
        <f>'DATA SISWA'!C30</f>
        <v>PANJI FIKRI ISLAMI</v>
      </c>
      <c r="D30" s="105" t="str">
        <f>'DATA SISWA'!D30</f>
        <v>L</v>
      </c>
      <c r="E30" s="105" t="str">
        <f>'DATA SISWA'!E30</f>
        <v>VII-J</v>
      </c>
      <c r="F30" s="407">
        <v>90</v>
      </c>
      <c r="G30" s="101"/>
      <c r="H30" s="407">
        <v>85</v>
      </c>
      <c r="I30" s="407"/>
      <c r="J30" s="308">
        <f t="shared" ref="J30:J32" si="133">IF(AND(F30="",G30="",H30="",I30=""),"",AVERAGE(F30:I30))</f>
        <v>87.5</v>
      </c>
      <c r="K30" s="101"/>
      <c r="L30" s="101"/>
      <c r="M30" s="317">
        <f t="shared" ref="M30:M32" si="134">IF(AND(F30="",G30="",H30="",I30=""),"",IF(AND(K30="",L30=""),J30,IF(OR(L30="",K30="",L30&lt;=$CT$2),MAX(J30:L30),$CT$2)))</f>
        <v>87.5</v>
      </c>
      <c r="N30" s="407">
        <v>85</v>
      </c>
      <c r="O30" s="101"/>
      <c r="P30" s="407">
        <v>85</v>
      </c>
      <c r="Q30" s="407"/>
      <c r="R30" s="308">
        <f t="shared" ref="R30:R32" si="135">IF(AND(N30="",O30="",P30="",Q30=""),"",AVERAGE(N30:Q30))</f>
        <v>85</v>
      </c>
      <c r="S30" s="101"/>
      <c r="T30" s="101"/>
      <c r="U30" s="317">
        <f t="shared" ref="U30:U32" si="136">IF(AND(N30="",O30="",P30="",Q30=""),"",IF(AND(S30="",T30=""),R30,IF(OR(T30="",S30="",T30&lt;=$CT$2),MAX(R30:T30),$CT$2)))</f>
        <v>85</v>
      </c>
      <c r="V30" s="101"/>
      <c r="W30" s="101"/>
      <c r="X30" s="101"/>
      <c r="Y30" s="91"/>
      <c r="Z30" s="308" t="str">
        <f t="shared" ref="Z30:Z32" si="137">IF(AND(V30="",W30="",X30="",Y30=""),"",AVERAGE(V30:Y30))</f>
        <v/>
      </c>
      <c r="AA30" s="101"/>
      <c r="AB30" s="101"/>
      <c r="AC30" s="317" t="str">
        <f t="shared" ref="AC30:AC32" si="138">IF(AND(V30="",W30="",X30="",Y30=""),"",IF(AND(AA30="",AB30=""),Z30,IF(OR(AB30="",AA30="",AB30&lt;=$CT$2),MAX(Z30:AB30),$CT$2)))</f>
        <v/>
      </c>
      <c r="AD30" s="101"/>
      <c r="AE30" s="101"/>
      <c r="AF30" s="101"/>
      <c r="AG30" s="91"/>
      <c r="AH30" s="308" t="str">
        <f t="shared" ref="AH30:AH32" si="139">IF(AND(AD30="",AE30="",AF30="",AG30=""),"",AVERAGE(AD30:AG30))</f>
        <v/>
      </c>
      <c r="AI30" s="101"/>
      <c r="AJ30" s="101"/>
      <c r="AK30" s="317" t="str">
        <f t="shared" ref="AK30:AK32" si="140">IF(AND(AD30="",AE30="",AF30="",AG30=""),"",IF(AND(AI30="",AJ30=""),AH30,IF(OR(AJ30="",AI30="",AJ30&lt;=$CT$2),MAX(AH30:AJ30),$CT$2)))</f>
        <v/>
      </c>
      <c r="AL30" s="101"/>
      <c r="AM30" s="101"/>
      <c r="AN30" s="101"/>
      <c r="AO30" s="91"/>
      <c r="AP30" s="308" t="str">
        <f t="shared" ref="AP30:AP32" si="141">IF(AND(AL30="",AM30="",AN30="",AO30=""),"",AVERAGE(AL30:AO30))</f>
        <v/>
      </c>
      <c r="AQ30" s="101"/>
      <c r="AR30" s="101"/>
      <c r="AS30" s="317" t="str">
        <f t="shared" ref="AS30:AS32" si="142">IF(AND(AL30="",AM30="",AN30="",AO30=""),"",IF(AND(AQ30="",AR30=""),AP30,IF(OR(AR30="",AQ30="",AR30&lt;=$CT$2),MAX(AP30:AR30),$CT$2)))</f>
        <v/>
      </c>
      <c r="AT30" s="101"/>
      <c r="AU30" s="101"/>
      <c r="AV30" s="101"/>
      <c r="AW30" s="91"/>
      <c r="AX30" s="308" t="str">
        <f t="shared" ref="AX30:AX32" si="143">IF(AND(AT30="",AU30="",AV30="",AW30=""),"",AVERAGE(AT30:AW30))</f>
        <v/>
      </c>
      <c r="AY30" s="101"/>
      <c r="AZ30" s="101"/>
      <c r="BA30" s="317" t="str">
        <f t="shared" ref="BA30:BA32" si="144">IF(AND(AT30="",AU30="",AV30="",AW30=""),"",IF(AND(AY30="",AZ30=""),AX30,IF(OR(AZ30="",AY30="",AZ30&lt;=$CT$2),MAX(AX30:AZ30),$CT$2)))</f>
        <v/>
      </c>
      <c r="BB30" s="101"/>
      <c r="BC30" s="101"/>
      <c r="BD30" s="101"/>
      <c r="BE30" s="91"/>
      <c r="BF30" s="308" t="str">
        <f t="shared" ref="BF30:BF32" si="145">IF(AND(BB30="",BC30="",BD30="",BE30=""),"",AVERAGE(BB30:BE30))</f>
        <v/>
      </c>
      <c r="BG30" s="101"/>
      <c r="BH30" s="101"/>
      <c r="BI30" s="317" t="str">
        <f t="shared" ref="BI30:BI32" si="146">IF(AND(BB30="",BC30="",BD30="",BE30=""),"",IF(AND(BG30="",BH30=""),BF30,IF(OR(BH30="",BG30="",BH30&lt;=$CT$2),MAX(BF30:BH30),$CT$2)))</f>
        <v/>
      </c>
      <c r="BJ30" s="101"/>
      <c r="BK30" s="101"/>
      <c r="BL30" s="101"/>
      <c r="BM30" s="91"/>
      <c r="BN30" s="308" t="str">
        <f t="shared" ref="BN30:BN32" si="147">IF(AND(BJ30="",BK30="",BL30="",BM30=""),"",AVERAGE(BJ30:BM30))</f>
        <v/>
      </c>
      <c r="BO30" s="101"/>
      <c r="BP30" s="101"/>
      <c r="BQ30" s="317" t="str">
        <f t="shared" ref="BQ30:BQ32" si="148">IF(AND(BJ30="",BK30="",BL30="",BM30=""),"",IF(AND(BO30="",BP30=""),BN30,IF(OR(BP30="",BO30="",BP30&lt;=$CT$2),MAX(BN30:BP30),$CT$2)))</f>
        <v/>
      </c>
      <c r="BR30" s="101"/>
      <c r="BS30" s="101"/>
      <c r="BT30" s="101"/>
      <c r="BU30" s="91"/>
      <c r="BV30" s="308" t="str">
        <f t="shared" ref="BV30:BV32" si="149">IF(AND(BR30="",BS30="",BT30="",BU30=""),"",AVERAGE(BR30:BU30))</f>
        <v/>
      </c>
      <c r="BW30" s="101"/>
      <c r="BX30" s="101"/>
      <c r="BY30" s="317" t="str">
        <f t="shared" ref="BY30:BY32" si="150">IF(AND(BR30="",BS30="",BT30="",BU30=""),"",IF(AND(BW30="",BX30=""),BV30,IF(OR(BX30="",BW30="",BX30&lt;=$CT$2),MAX(BV30:BX30),$CT$2)))</f>
        <v/>
      </c>
      <c r="BZ30" s="101"/>
      <c r="CA30" s="101"/>
      <c r="CB30" s="101"/>
      <c r="CC30" s="91"/>
      <c r="CD30" s="308" t="str">
        <f t="shared" ref="CD30:CD32" si="151">IF(AND(BZ30="",CA30="",CB30="",CC30=""),"",AVERAGE(BZ30:CC30))</f>
        <v/>
      </c>
      <c r="CE30" s="101"/>
      <c r="CF30" s="101"/>
      <c r="CG30" s="317" t="str">
        <f t="shared" ref="CG30:CG32" si="152">IF(AND(BZ30="",CA30="",CB30="",CC30=""),"",IF(AND(CE30="",CF30=""),CD30,IF(OR(CF30="",CE30="",CF30&lt;=$CT$2),MAX(CD30:CF30),$CT$2)))</f>
        <v/>
      </c>
      <c r="CH30" s="319">
        <f t="shared" si="0"/>
        <v>86.25</v>
      </c>
      <c r="CI30" s="105">
        <f t="shared" si="1"/>
        <v>87.5</v>
      </c>
      <c r="CJ30" s="105">
        <f t="shared" si="2"/>
        <v>85</v>
      </c>
      <c r="CK30" s="408">
        <v>66</v>
      </c>
      <c r="CL30" s="101">
        <v>70</v>
      </c>
      <c r="CM30" s="320">
        <f t="shared" si="23"/>
        <v>258.75</v>
      </c>
      <c r="CN30" s="320">
        <f t="shared" si="24"/>
        <v>99</v>
      </c>
      <c r="CO30" s="320">
        <f t="shared" si="25"/>
        <v>35</v>
      </c>
      <c r="CP30" s="227">
        <f t="shared" si="26"/>
        <v>78.55</v>
      </c>
      <c r="CQ30" s="321">
        <f t="shared" si="27"/>
        <v>79</v>
      </c>
      <c r="CR30" s="106" t="str">
        <f t="shared" si="28"/>
        <v>B</v>
      </c>
      <c r="CS30" s="106" t="str">
        <f t="shared" si="29"/>
        <v>baik</v>
      </c>
      <c r="CT30" s="106" t="str">
        <f t="shared" si="30"/>
        <v>TUNTAS</v>
      </c>
      <c r="CU30" s="106" t="str">
        <f t="shared" si="31"/>
        <v>TUNTAS</v>
      </c>
      <c r="CV30" s="116" t="str">
        <f t="shared" si="32"/>
        <v>Penguasaan materi sudah baik dalam Mengidentifikasi informasi (pesan, rima, dan pilihan kata) dari puisi rakyat (pantun, syair, dan bentuk puisi rakyat setempat) yang dibaca dan didengar</v>
      </c>
      <c r="CW30" s="109" t="str">
        <f>IF(CI30="","",VLOOKUP(CI30,DATAPENG!$AZ$3:$BA$12,2,FALSE))</f>
        <v>Mengidentifikasi informasi (pesan, rima, dan pilihan kata) dari puisi rakyat (pantun, syair, dan bentuk puisi rakyat setempat) yang dibaca dan didengar</v>
      </c>
      <c r="CX30" s="109" t="str">
        <f>IF(CJ30="","",VLOOKUP(CJ30,DATAPENG!$AZ$3:$BA$12,2,FALSE))</f>
        <v>Menelaah struktur  dan kebahasaan puisi rakyat (pantun, syair, dan bentuk puisi rakyat setempat) yang dibaca dan didengar</v>
      </c>
    </row>
    <row r="31" spans="1:102" ht="16.5">
      <c r="A31" s="105">
        <f>'DATA SISWA'!A31</f>
        <v>27</v>
      </c>
      <c r="B31" s="105" t="str">
        <f>'DATA SISWA'!B31</f>
        <v>7667</v>
      </c>
      <c r="C31" s="105" t="str">
        <f>'DATA SISWA'!C31</f>
        <v>RACMAT MAULIDI ABDANY</v>
      </c>
      <c r="D31" s="105" t="str">
        <f>'DATA SISWA'!D31</f>
        <v>L</v>
      </c>
      <c r="E31" s="105" t="str">
        <f>'DATA SISWA'!E31</f>
        <v>VII-J</v>
      </c>
      <c r="F31" s="407">
        <v>85</v>
      </c>
      <c r="G31" s="101"/>
      <c r="H31" s="407">
        <v>85</v>
      </c>
      <c r="I31" s="407"/>
      <c r="J31" s="308">
        <f t="shared" si="133"/>
        <v>85</v>
      </c>
      <c r="K31" s="101"/>
      <c r="L31" s="101"/>
      <c r="M31" s="317">
        <f t="shared" si="134"/>
        <v>85</v>
      </c>
      <c r="N31" s="407">
        <v>85</v>
      </c>
      <c r="O31" s="101"/>
      <c r="P31" s="407">
        <v>85</v>
      </c>
      <c r="Q31" s="407"/>
      <c r="R31" s="308">
        <f t="shared" si="135"/>
        <v>85</v>
      </c>
      <c r="S31" s="101"/>
      <c r="T31" s="101"/>
      <c r="U31" s="317">
        <f t="shared" si="136"/>
        <v>85</v>
      </c>
      <c r="V31" s="101"/>
      <c r="W31" s="101"/>
      <c r="X31" s="101"/>
      <c r="Y31" s="91"/>
      <c r="Z31" s="308" t="str">
        <f t="shared" si="137"/>
        <v/>
      </c>
      <c r="AA31" s="101"/>
      <c r="AB31" s="101"/>
      <c r="AC31" s="317" t="str">
        <f t="shared" si="138"/>
        <v/>
      </c>
      <c r="AD31" s="101"/>
      <c r="AE31" s="101"/>
      <c r="AF31" s="101"/>
      <c r="AG31" s="91"/>
      <c r="AH31" s="308" t="str">
        <f t="shared" si="139"/>
        <v/>
      </c>
      <c r="AI31" s="101"/>
      <c r="AJ31" s="101"/>
      <c r="AK31" s="317" t="str">
        <f t="shared" si="140"/>
        <v/>
      </c>
      <c r="AL31" s="101"/>
      <c r="AM31" s="101"/>
      <c r="AN31" s="101"/>
      <c r="AO31" s="91"/>
      <c r="AP31" s="308" t="str">
        <f t="shared" si="141"/>
        <v/>
      </c>
      <c r="AQ31" s="101"/>
      <c r="AR31" s="101"/>
      <c r="AS31" s="317" t="str">
        <f t="shared" si="142"/>
        <v/>
      </c>
      <c r="AT31" s="101"/>
      <c r="AU31" s="101"/>
      <c r="AV31" s="101"/>
      <c r="AW31" s="91"/>
      <c r="AX31" s="308" t="str">
        <f t="shared" si="143"/>
        <v/>
      </c>
      <c r="AY31" s="101"/>
      <c r="AZ31" s="101"/>
      <c r="BA31" s="317" t="str">
        <f t="shared" si="144"/>
        <v/>
      </c>
      <c r="BB31" s="101"/>
      <c r="BC31" s="101"/>
      <c r="BD31" s="101"/>
      <c r="BE31" s="91"/>
      <c r="BF31" s="308" t="str">
        <f t="shared" si="145"/>
        <v/>
      </c>
      <c r="BG31" s="101"/>
      <c r="BH31" s="101"/>
      <c r="BI31" s="317" t="str">
        <f t="shared" si="146"/>
        <v/>
      </c>
      <c r="BJ31" s="101"/>
      <c r="BK31" s="101"/>
      <c r="BL31" s="101"/>
      <c r="BM31" s="91"/>
      <c r="BN31" s="308" t="str">
        <f t="shared" si="147"/>
        <v/>
      </c>
      <c r="BO31" s="101"/>
      <c r="BP31" s="101"/>
      <c r="BQ31" s="317" t="str">
        <f t="shared" si="148"/>
        <v/>
      </c>
      <c r="BR31" s="101"/>
      <c r="BS31" s="101"/>
      <c r="BT31" s="101"/>
      <c r="BU31" s="91"/>
      <c r="BV31" s="308" t="str">
        <f t="shared" si="149"/>
        <v/>
      </c>
      <c r="BW31" s="101"/>
      <c r="BX31" s="101"/>
      <c r="BY31" s="317" t="str">
        <f t="shared" si="150"/>
        <v/>
      </c>
      <c r="BZ31" s="101"/>
      <c r="CA31" s="101"/>
      <c r="CB31" s="101"/>
      <c r="CC31" s="91"/>
      <c r="CD31" s="308" t="str">
        <f t="shared" si="151"/>
        <v/>
      </c>
      <c r="CE31" s="101"/>
      <c r="CF31" s="101"/>
      <c r="CG31" s="317" t="str">
        <f t="shared" si="152"/>
        <v/>
      </c>
      <c r="CH31" s="319">
        <f t="shared" si="0"/>
        <v>85</v>
      </c>
      <c r="CI31" s="105">
        <f t="shared" si="1"/>
        <v>85</v>
      </c>
      <c r="CJ31" s="105">
        <f t="shared" si="2"/>
        <v>85</v>
      </c>
      <c r="CK31" s="408">
        <v>70</v>
      </c>
      <c r="CL31" s="101">
        <v>70</v>
      </c>
      <c r="CM31" s="320">
        <f t="shared" si="23"/>
        <v>255</v>
      </c>
      <c r="CN31" s="320">
        <f t="shared" si="24"/>
        <v>105</v>
      </c>
      <c r="CO31" s="320">
        <f t="shared" si="25"/>
        <v>35</v>
      </c>
      <c r="CP31" s="227">
        <f t="shared" si="26"/>
        <v>79</v>
      </c>
      <c r="CQ31" s="321">
        <f t="shared" si="27"/>
        <v>79</v>
      </c>
      <c r="CR31" s="106" t="str">
        <f t="shared" si="28"/>
        <v>B</v>
      </c>
      <c r="CS31" s="106" t="str">
        <f t="shared" si="29"/>
        <v>baik</v>
      </c>
      <c r="CT31" s="106" t="str">
        <f t="shared" si="30"/>
        <v>TUNTAS</v>
      </c>
      <c r="CU31" s="106" t="str">
        <f t="shared" si="31"/>
        <v>TUNTAS</v>
      </c>
      <c r="CV31" s="116" t="str">
        <f t="shared" si="32"/>
        <v>Penguasaan materi sudah baik dalam Mengidentifikasi informasi (pesan, rima, dan pilihan kata) dari puisi rakyat (pantun, syair, dan bentuk puisi rakyat setempat) yang dibaca dan didengar</v>
      </c>
      <c r="CW31" s="109" t="str">
        <f>IF(CI31="","",VLOOKUP(CI31,DATAPENG!$BB$3:$BC$12,2,FALSE))</f>
        <v>Mengidentifikasi informasi (pesan, rima, dan pilihan kata) dari puisi rakyat (pantun, syair, dan bentuk puisi rakyat setempat) yang dibaca dan didengar</v>
      </c>
      <c r="CX31" s="109" t="str">
        <f>IF(CJ31="","",VLOOKUP(CJ31,DATAPENG!$BB$3:$BC$12,2,FALSE))</f>
        <v>Mengidentifikasi informasi (pesan, rima, dan pilihan kata) dari puisi rakyat (pantun, syair, dan bentuk puisi rakyat setempat) yang dibaca dan didengar</v>
      </c>
    </row>
    <row r="32" spans="1:102" ht="16.5">
      <c r="A32" s="105">
        <f>'DATA SISWA'!A32</f>
        <v>28</v>
      </c>
      <c r="B32" s="105" t="str">
        <f>'DATA SISWA'!B32</f>
        <v>7668</v>
      </c>
      <c r="C32" s="105" t="str">
        <f>'DATA SISWA'!C32</f>
        <v>RAIHAN</v>
      </c>
      <c r="D32" s="105" t="str">
        <f>'DATA SISWA'!D32</f>
        <v>L</v>
      </c>
      <c r="E32" s="105" t="str">
        <f>'DATA SISWA'!E32</f>
        <v>VII-J</v>
      </c>
      <c r="F32" s="407">
        <v>90</v>
      </c>
      <c r="G32" s="101"/>
      <c r="H32" s="407">
        <v>85</v>
      </c>
      <c r="I32" s="407"/>
      <c r="J32" s="308">
        <f t="shared" si="133"/>
        <v>87.5</v>
      </c>
      <c r="K32" s="101"/>
      <c r="L32" s="101"/>
      <c r="M32" s="317">
        <f t="shared" si="134"/>
        <v>87.5</v>
      </c>
      <c r="N32" s="407">
        <v>85</v>
      </c>
      <c r="O32" s="101"/>
      <c r="P32" s="407">
        <v>85</v>
      </c>
      <c r="Q32" s="407"/>
      <c r="R32" s="308">
        <f t="shared" si="135"/>
        <v>85</v>
      </c>
      <c r="S32" s="101"/>
      <c r="T32" s="101"/>
      <c r="U32" s="317">
        <f t="shared" si="136"/>
        <v>85</v>
      </c>
      <c r="V32" s="101"/>
      <c r="W32" s="101"/>
      <c r="X32" s="101"/>
      <c r="Y32" s="91"/>
      <c r="Z32" s="308" t="str">
        <f t="shared" si="137"/>
        <v/>
      </c>
      <c r="AA32" s="101"/>
      <c r="AB32" s="101"/>
      <c r="AC32" s="317" t="str">
        <f t="shared" si="138"/>
        <v/>
      </c>
      <c r="AD32" s="101"/>
      <c r="AE32" s="101"/>
      <c r="AF32" s="101"/>
      <c r="AG32" s="91"/>
      <c r="AH32" s="308" t="str">
        <f t="shared" si="139"/>
        <v/>
      </c>
      <c r="AI32" s="101"/>
      <c r="AJ32" s="101"/>
      <c r="AK32" s="317" t="str">
        <f t="shared" si="140"/>
        <v/>
      </c>
      <c r="AL32" s="101"/>
      <c r="AM32" s="101"/>
      <c r="AN32" s="101"/>
      <c r="AO32" s="91"/>
      <c r="AP32" s="308" t="str">
        <f t="shared" si="141"/>
        <v/>
      </c>
      <c r="AQ32" s="101"/>
      <c r="AR32" s="101"/>
      <c r="AS32" s="317" t="str">
        <f t="shared" si="142"/>
        <v/>
      </c>
      <c r="AT32" s="101"/>
      <c r="AU32" s="101"/>
      <c r="AV32" s="101"/>
      <c r="AW32" s="91"/>
      <c r="AX32" s="308" t="str">
        <f t="shared" si="143"/>
        <v/>
      </c>
      <c r="AY32" s="101"/>
      <c r="AZ32" s="101"/>
      <c r="BA32" s="317" t="str">
        <f t="shared" si="144"/>
        <v/>
      </c>
      <c r="BB32" s="101"/>
      <c r="BC32" s="101"/>
      <c r="BD32" s="101"/>
      <c r="BE32" s="91"/>
      <c r="BF32" s="308" t="str">
        <f t="shared" si="145"/>
        <v/>
      </c>
      <c r="BG32" s="101"/>
      <c r="BH32" s="101"/>
      <c r="BI32" s="317" t="str">
        <f t="shared" si="146"/>
        <v/>
      </c>
      <c r="BJ32" s="101"/>
      <c r="BK32" s="101"/>
      <c r="BL32" s="101"/>
      <c r="BM32" s="91"/>
      <c r="BN32" s="308" t="str">
        <f t="shared" si="147"/>
        <v/>
      </c>
      <c r="BO32" s="101"/>
      <c r="BP32" s="101"/>
      <c r="BQ32" s="317" t="str">
        <f t="shared" si="148"/>
        <v/>
      </c>
      <c r="BR32" s="101"/>
      <c r="BS32" s="101"/>
      <c r="BT32" s="101"/>
      <c r="BU32" s="91"/>
      <c r="BV32" s="308" t="str">
        <f t="shared" si="149"/>
        <v/>
      </c>
      <c r="BW32" s="101"/>
      <c r="BX32" s="101"/>
      <c r="BY32" s="317" t="str">
        <f t="shared" si="150"/>
        <v/>
      </c>
      <c r="BZ32" s="101"/>
      <c r="CA32" s="101"/>
      <c r="CB32" s="101"/>
      <c r="CC32" s="91"/>
      <c r="CD32" s="308" t="str">
        <f t="shared" si="151"/>
        <v/>
      </c>
      <c r="CE32" s="101"/>
      <c r="CF32" s="101"/>
      <c r="CG32" s="317" t="str">
        <f t="shared" si="152"/>
        <v/>
      </c>
      <c r="CH32" s="319">
        <f t="shared" si="0"/>
        <v>86.25</v>
      </c>
      <c r="CI32" s="105">
        <f t="shared" si="1"/>
        <v>87.5</v>
      </c>
      <c r="CJ32" s="105">
        <f t="shared" si="2"/>
        <v>85</v>
      </c>
      <c r="CK32" s="408">
        <v>60</v>
      </c>
      <c r="CL32" s="101">
        <v>75</v>
      </c>
      <c r="CM32" s="320">
        <f t="shared" si="23"/>
        <v>258.75</v>
      </c>
      <c r="CN32" s="320">
        <f t="shared" si="24"/>
        <v>90</v>
      </c>
      <c r="CO32" s="320">
        <f t="shared" si="25"/>
        <v>37.5</v>
      </c>
      <c r="CP32" s="227">
        <f t="shared" si="26"/>
        <v>77.25</v>
      </c>
      <c r="CQ32" s="321">
        <f t="shared" si="27"/>
        <v>78</v>
      </c>
      <c r="CR32" s="106" t="str">
        <f t="shared" si="28"/>
        <v>B</v>
      </c>
      <c r="CS32" s="106" t="str">
        <f t="shared" si="29"/>
        <v>baik</v>
      </c>
      <c r="CT32" s="106" t="str">
        <f t="shared" si="30"/>
        <v>TUNTAS</v>
      </c>
      <c r="CU32" s="106" t="str">
        <f t="shared" si="31"/>
        <v>TUNTAS</v>
      </c>
      <c r="CV32" s="116" t="str">
        <f t="shared" si="32"/>
        <v>Penguasaan materi sudah baik dalam Mengidentifikasi informasi (pesan, rima, dan pilihan kata) dari puisi rakyat (pantun, syair, dan bentuk puisi rakyat setempat) yang dibaca dan didengar</v>
      </c>
      <c r="CW32" s="109" t="str">
        <f>IF(CI32="","",VLOOKUP(CI32,DATAPENG!$BD$3:$BE$12,2,FALSE))</f>
        <v>Mengidentifikasi informasi (pesan, rima, dan pilihan kata) dari puisi rakyat (pantun, syair, dan bentuk puisi rakyat setempat) yang dibaca dan didengar</v>
      </c>
      <c r="CX32" s="109" t="str">
        <f>IF(CJ32="","",VLOOKUP(CJ32,DATAPENG!$BD$3:$BE$12,2,FALSE))</f>
        <v>Menelaah struktur  dan kebahasaan puisi rakyat (pantun, syair, dan bentuk puisi rakyat setempat) yang dibaca dan didengar</v>
      </c>
    </row>
    <row r="33" spans="1:102" ht="16.5">
      <c r="A33" s="105">
        <f>'DATA SISWA'!A33</f>
        <v>29</v>
      </c>
      <c r="B33" s="105" t="str">
        <f>'DATA SISWA'!B33</f>
        <v>7669</v>
      </c>
      <c r="C33" s="105" t="str">
        <f>'DATA SISWA'!C33</f>
        <v>REFITA ANNASTASYA</v>
      </c>
      <c r="D33" s="105" t="str">
        <f>'DATA SISWA'!D33</f>
        <v>P</v>
      </c>
      <c r="E33" s="105" t="str">
        <f>'DATA SISWA'!E33</f>
        <v>VII-J</v>
      </c>
      <c r="F33" s="407">
        <v>90</v>
      </c>
      <c r="G33" s="101"/>
      <c r="H33" s="407">
        <v>90</v>
      </c>
      <c r="I33" s="407"/>
      <c r="J33" s="308">
        <f>IF(AND(F33="",G33="",H33="",I33=""),"",AVERAGE(F33:I33))</f>
        <v>90</v>
      </c>
      <c r="K33" s="101"/>
      <c r="L33" s="101"/>
      <c r="M33" s="317">
        <f>IF(AND(F33="",G33="",H33="",I33=""),"",IF(AND(K33="",L33=""),J33,IF(OR(L33="",K33="",L33&lt;=$CT$2),MAX(J33:L33),$CT$2)))</f>
        <v>90</v>
      </c>
      <c r="N33" s="407">
        <v>85</v>
      </c>
      <c r="O33" s="101"/>
      <c r="P33" s="407">
        <v>90</v>
      </c>
      <c r="Q33" s="407"/>
      <c r="R33" s="308">
        <f>IF(AND(N33="",O33="",P33="",Q33=""),"",AVERAGE(N33:Q33))</f>
        <v>87.5</v>
      </c>
      <c r="S33" s="101"/>
      <c r="T33" s="101"/>
      <c r="U33" s="317">
        <f>IF(AND(N33="",O33="",P33="",Q33=""),"",IF(AND(S33="",T33=""),R33,IF(OR(T33="",S33="",T33&lt;=$CT$2),MAX(R33:T33),$CT$2)))</f>
        <v>87.5</v>
      </c>
      <c r="V33" s="101"/>
      <c r="W33" s="101"/>
      <c r="X33" s="101"/>
      <c r="Y33" s="91"/>
      <c r="Z33" s="308" t="str">
        <f>IF(AND(V33="",W33="",X33="",Y33=""),"",AVERAGE(V33:Y33))</f>
        <v/>
      </c>
      <c r="AA33" s="101"/>
      <c r="AB33" s="101"/>
      <c r="AC33" s="317" t="str">
        <f>IF(AND(V33="",W33="",X33="",Y33=""),"",IF(AND(AA33="",AB33=""),Z33,IF(OR(AB33="",AA33="",AB33&lt;=$CT$2),MAX(Z33:AB33),$CT$2)))</f>
        <v/>
      </c>
      <c r="AD33" s="101"/>
      <c r="AE33" s="101"/>
      <c r="AF33" s="101"/>
      <c r="AG33" s="91"/>
      <c r="AH33" s="308" t="str">
        <f>IF(AND(AD33="",AE33="",AF33="",AG33=""),"",AVERAGE(AD33:AG33))</f>
        <v/>
      </c>
      <c r="AI33" s="101"/>
      <c r="AJ33" s="101"/>
      <c r="AK33" s="317" t="str">
        <f>IF(AND(AD33="",AE33="",AF33="",AG33=""),"",IF(AND(AI33="",AJ33=""),AH33,IF(OR(AJ33="",AI33="",AJ33&lt;=$CT$2),MAX(AH33:AJ33),$CT$2)))</f>
        <v/>
      </c>
      <c r="AL33" s="101"/>
      <c r="AM33" s="101"/>
      <c r="AN33" s="101"/>
      <c r="AO33" s="91"/>
      <c r="AP33" s="308" t="str">
        <f>IF(AND(AL33="",AM33="",AN33="",AO33=""),"",AVERAGE(AL33:AO33))</f>
        <v/>
      </c>
      <c r="AQ33" s="101"/>
      <c r="AR33" s="101"/>
      <c r="AS33" s="317" t="str">
        <f>IF(AND(AL33="",AM33="",AN33="",AO33=""),"",IF(AND(AQ33="",AR33=""),AP33,IF(OR(AR33="",AQ33="",AR33&lt;=$CT$2),MAX(AP33:AR33),$CT$2)))</f>
        <v/>
      </c>
      <c r="AT33" s="101"/>
      <c r="AU33" s="101"/>
      <c r="AV33" s="101"/>
      <c r="AW33" s="91"/>
      <c r="AX33" s="308" t="str">
        <f>IF(AND(AT33="",AU33="",AV33="",AW33=""),"",AVERAGE(AT33:AW33))</f>
        <v/>
      </c>
      <c r="AY33" s="101"/>
      <c r="AZ33" s="101"/>
      <c r="BA33" s="317" t="str">
        <f>IF(AND(AT33="",AU33="",AV33="",AW33=""),"",IF(AND(AY33="",AZ33=""),AX33,IF(OR(AZ33="",AY33="",AZ33&lt;=$CT$2),MAX(AX33:AZ33),$CT$2)))</f>
        <v/>
      </c>
      <c r="BB33" s="101"/>
      <c r="BC33" s="101"/>
      <c r="BD33" s="101"/>
      <c r="BE33" s="91"/>
      <c r="BF33" s="308" t="str">
        <f>IF(AND(BB33="",BC33="",BD33="",BE33=""),"",AVERAGE(BB33:BE33))</f>
        <v/>
      </c>
      <c r="BG33" s="101"/>
      <c r="BH33" s="101"/>
      <c r="BI33" s="317" t="str">
        <f>IF(AND(BB33="",BC33="",BD33="",BE33=""),"",IF(AND(BG33="",BH33=""),BF33,IF(OR(BH33="",BG33="",BH33&lt;=$CT$2),MAX(BF33:BH33),$CT$2)))</f>
        <v/>
      </c>
      <c r="BJ33" s="101"/>
      <c r="BK33" s="101"/>
      <c r="BL33" s="101"/>
      <c r="BM33" s="91"/>
      <c r="BN33" s="308" t="str">
        <f>IF(AND(BJ33="",BK33="",BL33="",BM33=""),"",AVERAGE(BJ33:BM33))</f>
        <v/>
      </c>
      <c r="BO33" s="101"/>
      <c r="BP33" s="101"/>
      <c r="BQ33" s="317" t="str">
        <f>IF(AND(BJ33="",BK33="",BL33="",BM33=""),"",IF(AND(BO33="",BP33=""),BN33,IF(OR(BP33="",BO33="",BP33&lt;=$CT$2),MAX(BN33:BP33),$CT$2)))</f>
        <v/>
      </c>
      <c r="BR33" s="101"/>
      <c r="BS33" s="101"/>
      <c r="BT33" s="101"/>
      <c r="BU33" s="91"/>
      <c r="BV33" s="308" t="str">
        <f>IF(AND(BR33="",BS33="",BT33="",BU33=""),"",AVERAGE(BR33:BU33))</f>
        <v/>
      </c>
      <c r="BW33" s="101"/>
      <c r="BX33" s="101"/>
      <c r="BY33" s="317" t="str">
        <f>IF(AND(BR33="",BS33="",BT33="",BU33=""),"",IF(AND(BW33="",BX33=""),BV33,IF(OR(BX33="",BW33="",BX33&lt;=$CT$2),MAX(BV33:BX33),$CT$2)))</f>
        <v/>
      </c>
      <c r="BZ33" s="101"/>
      <c r="CA33" s="101"/>
      <c r="CB33" s="101"/>
      <c r="CC33" s="91"/>
      <c r="CD33" s="308" t="str">
        <f>IF(AND(BZ33="",CA33="",CB33="",CC33=""),"",AVERAGE(BZ33:CC33))</f>
        <v/>
      </c>
      <c r="CE33" s="101"/>
      <c r="CF33" s="101"/>
      <c r="CG33" s="317" t="str">
        <f>IF(AND(BZ33="",CA33="",CB33="",CC33=""),"",IF(AND(CE33="",CF33=""),CD33,IF(OR(CF33="",CE33="",CF33&lt;=$CT$2),MAX(CD33:CF33),$CT$2)))</f>
        <v/>
      </c>
      <c r="CH33" s="319">
        <f t="shared" si="0"/>
        <v>88.75</v>
      </c>
      <c r="CI33" s="105">
        <f t="shared" si="1"/>
        <v>90</v>
      </c>
      <c r="CJ33" s="105">
        <f t="shared" si="2"/>
        <v>87.5</v>
      </c>
      <c r="CK33" s="408">
        <v>55</v>
      </c>
      <c r="CL33" s="101">
        <v>72</v>
      </c>
      <c r="CM33" s="320">
        <f t="shared" si="23"/>
        <v>266.25</v>
      </c>
      <c r="CN33" s="320">
        <f t="shared" si="24"/>
        <v>82.5</v>
      </c>
      <c r="CO33" s="320">
        <f t="shared" si="25"/>
        <v>36</v>
      </c>
      <c r="CP33" s="227">
        <f t="shared" si="26"/>
        <v>76.95</v>
      </c>
      <c r="CQ33" s="321">
        <f t="shared" si="27"/>
        <v>77</v>
      </c>
      <c r="CR33" s="106" t="str">
        <f t="shared" si="28"/>
        <v>B</v>
      </c>
      <c r="CS33" s="106" t="str">
        <f t="shared" si="29"/>
        <v>baik</v>
      </c>
      <c r="CT33" s="106" t="str">
        <f t="shared" si="30"/>
        <v>TUNTAS</v>
      </c>
      <c r="CU33" s="106" t="str">
        <f t="shared" si="31"/>
        <v>TUNTAS</v>
      </c>
      <c r="CV33" s="116" t="str">
        <f t="shared" si="32"/>
        <v>Penguasaan materi sudah baik dalam Mengidentifikasi informasi (pesan, rima, dan pilihan kata) dari puisi rakyat (pantun, syair, dan bentuk puisi rakyat setempat) yang dibaca dan didengar</v>
      </c>
      <c r="CW33" s="109" t="str">
        <f>IF(CI33="","",VLOOKUP(CI33,DATAPENG!$BF$3:$BG$12,2,FALSE))</f>
        <v>Mengidentifikasi informasi (pesan, rima, dan pilihan kata) dari puisi rakyat (pantun, syair, dan bentuk puisi rakyat setempat) yang dibaca dan didengar</v>
      </c>
      <c r="CX33" s="109" t="str">
        <f>IF(CJ33="","",VLOOKUP(CJ33,DATAPENG!$BF$3:$BG$12,2,FALSE))</f>
        <v>Menelaah struktur  dan kebahasaan puisi rakyat (pantun, syair, dan bentuk puisi rakyat setempat) yang dibaca dan didengar</v>
      </c>
    </row>
    <row r="34" spans="1:102" ht="16.5">
      <c r="A34" s="105">
        <f>'DATA SISWA'!A34</f>
        <v>30</v>
      </c>
      <c r="B34" s="105" t="str">
        <f>'DATA SISWA'!B34</f>
        <v>7670</v>
      </c>
      <c r="C34" s="105" t="str">
        <f>'DATA SISWA'!C34</f>
        <v>RISKIYAH</v>
      </c>
      <c r="D34" s="105" t="str">
        <f>'DATA SISWA'!D34</f>
        <v>P</v>
      </c>
      <c r="E34" s="105" t="str">
        <f>'DATA SISWA'!E34</f>
        <v>VII-J</v>
      </c>
      <c r="F34" s="407">
        <v>85</v>
      </c>
      <c r="G34" s="101"/>
      <c r="H34" s="407">
        <v>85</v>
      </c>
      <c r="I34" s="407"/>
      <c r="J34" s="308">
        <f t="shared" ref="J34:J36" si="153">IF(AND(F34="",G34="",H34="",I34=""),"",AVERAGE(F34:I34))</f>
        <v>85</v>
      </c>
      <c r="K34" s="101"/>
      <c r="L34" s="101"/>
      <c r="M34" s="317">
        <f t="shared" ref="M34:M36" si="154">IF(AND(F34="",G34="",H34="",I34=""),"",IF(AND(K34="",L34=""),J34,IF(OR(L34="",K34="",L34&lt;=$CT$2),MAX(J34:L34),$CT$2)))</f>
        <v>85</v>
      </c>
      <c r="N34" s="407">
        <v>90</v>
      </c>
      <c r="O34" s="101"/>
      <c r="P34" s="407">
        <v>85</v>
      </c>
      <c r="Q34" s="407"/>
      <c r="R34" s="308">
        <f t="shared" ref="R34:R36" si="155">IF(AND(N34="",O34="",P34="",Q34=""),"",AVERAGE(N34:Q34))</f>
        <v>87.5</v>
      </c>
      <c r="S34" s="101"/>
      <c r="T34" s="101"/>
      <c r="U34" s="317">
        <f t="shared" ref="U34:U36" si="156">IF(AND(N34="",O34="",P34="",Q34=""),"",IF(AND(S34="",T34=""),R34,IF(OR(T34="",S34="",T34&lt;=$CT$2),MAX(R34:T34),$CT$2)))</f>
        <v>87.5</v>
      </c>
      <c r="V34" s="101"/>
      <c r="W34" s="101"/>
      <c r="X34" s="101"/>
      <c r="Y34" s="91"/>
      <c r="Z34" s="308" t="str">
        <f t="shared" ref="Z34:Z36" si="157">IF(AND(V34="",W34="",X34="",Y34=""),"",AVERAGE(V34:Y34))</f>
        <v/>
      </c>
      <c r="AA34" s="101"/>
      <c r="AB34" s="101"/>
      <c r="AC34" s="317" t="str">
        <f t="shared" ref="AC34:AC36" si="158">IF(AND(V34="",W34="",X34="",Y34=""),"",IF(AND(AA34="",AB34=""),Z34,IF(OR(AB34="",AA34="",AB34&lt;=$CT$2),MAX(Z34:AB34),$CT$2)))</f>
        <v/>
      </c>
      <c r="AD34" s="101"/>
      <c r="AE34" s="101"/>
      <c r="AF34" s="101"/>
      <c r="AG34" s="91"/>
      <c r="AH34" s="308" t="str">
        <f t="shared" ref="AH34:AH36" si="159">IF(AND(AD34="",AE34="",AF34="",AG34=""),"",AVERAGE(AD34:AG34))</f>
        <v/>
      </c>
      <c r="AI34" s="101"/>
      <c r="AJ34" s="101"/>
      <c r="AK34" s="317" t="str">
        <f t="shared" ref="AK34:AK36" si="160">IF(AND(AD34="",AE34="",AF34="",AG34=""),"",IF(AND(AI34="",AJ34=""),AH34,IF(OR(AJ34="",AI34="",AJ34&lt;=$CT$2),MAX(AH34:AJ34),$CT$2)))</f>
        <v/>
      </c>
      <c r="AL34" s="101"/>
      <c r="AM34" s="101"/>
      <c r="AN34" s="101"/>
      <c r="AO34" s="91"/>
      <c r="AP34" s="308" t="str">
        <f t="shared" ref="AP34:AP36" si="161">IF(AND(AL34="",AM34="",AN34="",AO34=""),"",AVERAGE(AL34:AO34))</f>
        <v/>
      </c>
      <c r="AQ34" s="101"/>
      <c r="AR34" s="101"/>
      <c r="AS34" s="317" t="str">
        <f t="shared" ref="AS34:AS36" si="162">IF(AND(AL34="",AM34="",AN34="",AO34=""),"",IF(AND(AQ34="",AR34=""),AP34,IF(OR(AR34="",AQ34="",AR34&lt;=$CT$2),MAX(AP34:AR34),$CT$2)))</f>
        <v/>
      </c>
      <c r="AT34" s="101"/>
      <c r="AU34" s="101"/>
      <c r="AV34" s="101"/>
      <c r="AW34" s="91"/>
      <c r="AX34" s="308" t="str">
        <f t="shared" ref="AX34:AX36" si="163">IF(AND(AT34="",AU34="",AV34="",AW34=""),"",AVERAGE(AT34:AW34))</f>
        <v/>
      </c>
      <c r="AY34" s="101"/>
      <c r="AZ34" s="101"/>
      <c r="BA34" s="317" t="str">
        <f t="shared" ref="BA34:BA36" si="164">IF(AND(AT34="",AU34="",AV34="",AW34=""),"",IF(AND(AY34="",AZ34=""),AX34,IF(OR(AZ34="",AY34="",AZ34&lt;=$CT$2),MAX(AX34:AZ34),$CT$2)))</f>
        <v/>
      </c>
      <c r="BB34" s="101"/>
      <c r="BC34" s="101"/>
      <c r="BD34" s="101"/>
      <c r="BE34" s="91"/>
      <c r="BF34" s="308" t="str">
        <f t="shared" ref="BF34:BF36" si="165">IF(AND(BB34="",BC34="",BD34="",BE34=""),"",AVERAGE(BB34:BE34))</f>
        <v/>
      </c>
      <c r="BG34" s="101"/>
      <c r="BH34" s="101"/>
      <c r="BI34" s="317" t="str">
        <f t="shared" ref="BI34:BI36" si="166">IF(AND(BB34="",BC34="",BD34="",BE34=""),"",IF(AND(BG34="",BH34=""),BF34,IF(OR(BH34="",BG34="",BH34&lt;=$CT$2),MAX(BF34:BH34),$CT$2)))</f>
        <v/>
      </c>
      <c r="BJ34" s="101"/>
      <c r="BK34" s="101"/>
      <c r="BL34" s="101"/>
      <c r="BM34" s="91"/>
      <c r="BN34" s="308" t="str">
        <f t="shared" ref="BN34:BN36" si="167">IF(AND(BJ34="",BK34="",BL34="",BM34=""),"",AVERAGE(BJ34:BM34))</f>
        <v/>
      </c>
      <c r="BO34" s="101"/>
      <c r="BP34" s="101"/>
      <c r="BQ34" s="317" t="str">
        <f t="shared" ref="BQ34:BQ36" si="168">IF(AND(BJ34="",BK34="",BL34="",BM34=""),"",IF(AND(BO34="",BP34=""),BN34,IF(OR(BP34="",BO34="",BP34&lt;=$CT$2),MAX(BN34:BP34),$CT$2)))</f>
        <v/>
      </c>
      <c r="BR34" s="101"/>
      <c r="BS34" s="101"/>
      <c r="BT34" s="101"/>
      <c r="BU34" s="91"/>
      <c r="BV34" s="308" t="str">
        <f t="shared" ref="BV34:BV36" si="169">IF(AND(BR34="",BS34="",BT34="",BU34=""),"",AVERAGE(BR34:BU34))</f>
        <v/>
      </c>
      <c r="BW34" s="101"/>
      <c r="BX34" s="101"/>
      <c r="BY34" s="317" t="str">
        <f t="shared" ref="BY34:BY36" si="170">IF(AND(BR34="",BS34="",BT34="",BU34=""),"",IF(AND(BW34="",BX34=""),BV34,IF(OR(BX34="",BW34="",BX34&lt;=$CT$2),MAX(BV34:BX34),$CT$2)))</f>
        <v/>
      </c>
      <c r="BZ34" s="101"/>
      <c r="CA34" s="101"/>
      <c r="CB34" s="101"/>
      <c r="CC34" s="91"/>
      <c r="CD34" s="308" t="str">
        <f t="shared" ref="CD34:CD36" si="171">IF(AND(BZ34="",CA34="",CB34="",CC34=""),"",AVERAGE(BZ34:CC34))</f>
        <v/>
      </c>
      <c r="CE34" s="101"/>
      <c r="CF34" s="101"/>
      <c r="CG34" s="317" t="str">
        <f t="shared" ref="CG34:CG36" si="172">IF(AND(BZ34="",CA34="",CB34="",CC34=""),"",IF(AND(CE34="",CF34=""),CD34,IF(OR(CF34="",CE34="",CF34&lt;=$CT$2),MAX(CD34:CF34),$CT$2)))</f>
        <v/>
      </c>
      <c r="CH34" s="319">
        <f t="shared" si="0"/>
        <v>86.25</v>
      </c>
      <c r="CI34" s="105">
        <f t="shared" si="1"/>
        <v>87.5</v>
      </c>
      <c r="CJ34" s="105">
        <f t="shared" si="2"/>
        <v>85</v>
      </c>
      <c r="CK34" s="408">
        <v>66</v>
      </c>
      <c r="CL34" s="101">
        <v>75</v>
      </c>
      <c r="CM34" s="320">
        <f t="shared" si="23"/>
        <v>258.75</v>
      </c>
      <c r="CN34" s="320">
        <f t="shared" si="24"/>
        <v>99</v>
      </c>
      <c r="CO34" s="320">
        <f t="shared" si="25"/>
        <v>37.5</v>
      </c>
      <c r="CP34" s="227">
        <f t="shared" si="26"/>
        <v>79.05</v>
      </c>
      <c r="CQ34" s="321">
        <f t="shared" si="27"/>
        <v>80</v>
      </c>
      <c r="CR34" s="106" t="str">
        <f t="shared" si="28"/>
        <v>B</v>
      </c>
      <c r="CS34" s="106" t="str">
        <f t="shared" si="29"/>
        <v>baik</v>
      </c>
      <c r="CT34" s="106" t="str">
        <f t="shared" si="30"/>
        <v>TUNTAS</v>
      </c>
      <c r="CU34" s="106" t="str">
        <f t="shared" si="31"/>
        <v>TUNTAS</v>
      </c>
      <c r="CV34" s="116" t="str">
        <f t="shared" si="32"/>
        <v>Penguasaan materi sudah baik dalam Menelaah struktur  dan kebahasaan puisi rakyat (pantun, syair, dan bentuk puisi rakyat setempat) yang dibaca dan didengar</v>
      </c>
      <c r="CW34" s="109" t="str">
        <f>IF(CI34="","",VLOOKUP(CI34,DATAPENG!$BH$3:$BI$12,2,FALSE))</f>
        <v>Menelaah struktur  dan kebahasaan puisi rakyat (pantun, syair, dan bentuk puisi rakyat setempat) yang dibaca dan didengar</v>
      </c>
      <c r="CX34" s="109" t="str">
        <f>IF(CJ34="","",VLOOKUP(CJ34,DATAPENG!$BH$3:$BI$12,2,FALSE))</f>
        <v>Mengidentifikasi informasi (pesan, rima, dan pilihan kata) dari puisi rakyat (pantun, syair, dan bentuk puisi rakyat setempat) yang dibaca dan didengar</v>
      </c>
    </row>
    <row r="35" spans="1:102" ht="16.5">
      <c r="A35" s="105">
        <f>'DATA SISWA'!A35</f>
        <v>31</v>
      </c>
      <c r="B35" s="105" t="str">
        <f>'DATA SISWA'!B35</f>
        <v>7671</v>
      </c>
      <c r="C35" s="105" t="str">
        <f>'DATA SISWA'!C35</f>
        <v>SALILATUL HUSNA</v>
      </c>
      <c r="D35" s="105" t="str">
        <f>'DATA SISWA'!D35</f>
        <v>P</v>
      </c>
      <c r="E35" s="105" t="str">
        <f>'DATA SISWA'!E35</f>
        <v>VII-J</v>
      </c>
      <c r="F35" s="407">
        <v>85</v>
      </c>
      <c r="G35" s="101"/>
      <c r="H35" s="407">
        <v>85</v>
      </c>
      <c r="I35" s="407"/>
      <c r="J35" s="308">
        <f t="shared" si="153"/>
        <v>85</v>
      </c>
      <c r="K35" s="101"/>
      <c r="L35" s="101"/>
      <c r="M35" s="317">
        <f t="shared" si="154"/>
        <v>85</v>
      </c>
      <c r="N35" s="407">
        <v>85</v>
      </c>
      <c r="O35" s="101"/>
      <c r="P35" s="407">
        <v>85</v>
      </c>
      <c r="Q35" s="407"/>
      <c r="R35" s="308">
        <f t="shared" si="155"/>
        <v>85</v>
      </c>
      <c r="S35" s="101"/>
      <c r="T35" s="101"/>
      <c r="U35" s="317">
        <f t="shared" si="156"/>
        <v>85</v>
      </c>
      <c r="V35" s="101"/>
      <c r="W35" s="101"/>
      <c r="X35" s="101"/>
      <c r="Y35" s="91"/>
      <c r="Z35" s="308" t="str">
        <f t="shared" si="157"/>
        <v/>
      </c>
      <c r="AA35" s="101"/>
      <c r="AB35" s="101"/>
      <c r="AC35" s="317" t="str">
        <f t="shared" si="158"/>
        <v/>
      </c>
      <c r="AD35" s="101"/>
      <c r="AE35" s="101"/>
      <c r="AF35" s="101"/>
      <c r="AG35" s="91"/>
      <c r="AH35" s="308" t="str">
        <f t="shared" si="159"/>
        <v/>
      </c>
      <c r="AI35" s="101"/>
      <c r="AJ35" s="101"/>
      <c r="AK35" s="317" t="str">
        <f t="shared" si="160"/>
        <v/>
      </c>
      <c r="AL35" s="101"/>
      <c r="AM35" s="101"/>
      <c r="AN35" s="101"/>
      <c r="AO35" s="91"/>
      <c r="AP35" s="308" t="str">
        <f t="shared" si="161"/>
        <v/>
      </c>
      <c r="AQ35" s="101"/>
      <c r="AR35" s="101"/>
      <c r="AS35" s="317" t="str">
        <f t="shared" si="162"/>
        <v/>
      </c>
      <c r="AT35" s="101"/>
      <c r="AU35" s="101"/>
      <c r="AV35" s="101"/>
      <c r="AW35" s="91"/>
      <c r="AX35" s="308" t="str">
        <f t="shared" si="163"/>
        <v/>
      </c>
      <c r="AY35" s="101"/>
      <c r="AZ35" s="101"/>
      <c r="BA35" s="317" t="str">
        <f t="shared" si="164"/>
        <v/>
      </c>
      <c r="BB35" s="101"/>
      <c r="BC35" s="101"/>
      <c r="BD35" s="101"/>
      <c r="BE35" s="91"/>
      <c r="BF35" s="308" t="str">
        <f t="shared" si="165"/>
        <v/>
      </c>
      <c r="BG35" s="101"/>
      <c r="BH35" s="101"/>
      <c r="BI35" s="317" t="str">
        <f t="shared" si="166"/>
        <v/>
      </c>
      <c r="BJ35" s="101"/>
      <c r="BK35" s="101"/>
      <c r="BL35" s="101"/>
      <c r="BM35" s="91"/>
      <c r="BN35" s="308" t="str">
        <f t="shared" si="167"/>
        <v/>
      </c>
      <c r="BO35" s="101"/>
      <c r="BP35" s="101"/>
      <c r="BQ35" s="317" t="str">
        <f t="shared" si="168"/>
        <v/>
      </c>
      <c r="BR35" s="101"/>
      <c r="BS35" s="101"/>
      <c r="BT35" s="101"/>
      <c r="BU35" s="91"/>
      <c r="BV35" s="308" t="str">
        <f t="shared" si="169"/>
        <v/>
      </c>
      <c r="BW35" s="101"/>
      <c r="BX35" s="101"/>
      <c r="BY35" s="317" t="str">
        <f t="shared" si="170"/>
        <v/>
      </c>
      <c r="BZ35" s="101"/>
      <c r="CA35" s="101"/>
      <c r="CB35" s="101"/>
      <c r="CC35" s="91"/>
      <c r="CD35" s="308" t="str">
        <f t="shared" si="171"/>
        <v/>
      </c>
      <c r="CE35" s="101"/>
      <c r="CF35" s="101"/>
      <c r="CG35" s="317" t="str">
        <f t="shared" si="172"/>
        <v/>
      </c>
      <c r="CH35" s="319">
        <f t="shared" si="0"/>
        <v>85</v>
      </c>
      <c r="CI35" s="105">
        <f t="shared" si="1"/>
        <v>85</v>
      </c>
      <c r="CJ35" s="105">
        <f t="shared" si="2"/>
        <v>85</v>
      </c>
      <c r="CK35" s="408">
        <v>66</v>
      </c>
      <c r="CL35" s="101">
        <v>78</v>
      </c>
      <c r="CM35" s="320">
        <f t="shared" si="23"/>
        <v>255</v>
      </c>
      <c r="CN35" s="320">
        <f t="shared" si="24"/>
        <v>99</v>
      </c>
      <c r="CO35" s="320">
        <f t="shared" si="25"/>
        <v>39</v>
      </c>
      <c r="CP35" s="227">
        <f t="shared" si="26"/>
        <v>78.599999999999994</v>
      </c>
      <c r="CQ35" s="321">
        <f t="shared" si="27"/>
        <v>79</v>
      </c>
      <c r="CR35" s="106" t="str">
        <f t="shared" si="28"/>
        <v>B</v>
      </c>
      <c r="CS35" s="106" t="str">
        <f t="shared" si="29"/>
        <v>baik</v>
      </c>
      <c r="CT35" s="106" t="str">
        <f t="shared" si="30"/>
        <v>TUNTAS</v>
      </c>
      <c r="CU35" s="106" t="str">
        <f t="shared" si="31"/>
        <v>TUNTAS</v>
      </c>
      <c r="CV35" s="116" t="str">
        <f t="shared" si="32"/>
        <v>Penguasaan materi sudah baik dalam Mengidentifikasi informasi (pesan, rima, dan pilihan kata) dari puisi rakyat (pantun, syair, dan bentuk puisi rakyat setempat) yang dibaca dan didengar</v>
      </c>
      <c r="CW35" s="109" t="str">
        <f>IF(CI35="","",VLOOKUP(CI35,DATAPENG!$BJ$3:$BK$12,2,FALSE))</f>
        <v>Mengidentifikasi informasi (pesan, rima, dan pilihan kata) dari puisi rakyat (pantun, syair, dan bentuk puisi rakyat setempat) yang dibaca dan didengar</v>
      </c>
      <c r="CX35" s="109" t="str">
        <f>IF(CJ35="","",VLOOKUP(CJ35,DATAPENG!$BJ$3:$BK$12,2,FALSE))</f>
        <v>Mengidentifikasi informasi (pesan, rima, dan pilihan kata) dari puisi rakyat (pantun, syair, dan bentuk puisi rakyat setempat) yang dibaca dan didengar</v>
      </c>
    </row>
    <row r="36" spans="1:102" ht="16.5">
      <c r="A36" s="105">
        <f>'DATA SISWA'!A36</f>
        <v>32</v>
      </c>
      <c r="B36" s="105" t="str">
        <f>'DATA SISWA'!B36</f>
        <v>7672</v>
      </c>
      <c r="C36" s="105" t="str">
        <f>'DATA SISWA'!C36</f>
        <v>SALMA NABILA</v>
      </c>
      <c r="D36" s="105" t="str">
        <f>'DATA SISWA'!D36</f>
        <v>P</v>
      </c>
      <c r="E36" s="105" t="str">
        <f>'DATA SISWA'!E36</f>
        <v>VII-J</v>
      </c>
      <c r="F36" s="407">
        <v>90</v>
      </c>
      <c r="G36" s="101"/>
      <c r="H36" s="407">
        <v>90</v>
      </c>
      <c r="I36" s="407"/>
      <c r="J36" s="308">
        <f t="shared" si="153"/>
        <v>90</v>
      </c>
      <c r="K36" s="101"/>
      <c r="L36" s="101"/>
      <c r="M36" s="317">
        <f t="shared" si="154"/>
        <v>90</v>
      </c>
      <c r="N36" s="407">
        <v>90</v>
      </c>
      <c r="O36" s="101"/>
      <c r="P36" s="407">
        <v>85</v>
      </c>
      <c r="Q36" s="407"/>
      <c r="R36" s="308">
        <f t="shared" si="155"/>
        <v>87.5</v>
      </c>
      <c r="S36" s="101"/>
      <c r="T36" s="101"/>
      <c r="U36" s="317">
        <f t="shared" si="156"/>
        <v>87.5</v>
      </c>
      <c r="V36" s="101"/>
      <c r="W36" s="101"/>
      <c r="X36" s="101"/>
      <c r="Y36" s="91"/>
      <c r="Z36" s="308" t="str">
        <f t="shared" si="157"/>
        <v/>
      </c>
      <c r="AA36" s="101"/>
      <c r="AB36" s="101"/>
      <c r="AC36" s="317" t="str">
        <f t="shared" si="158"/>
        <v/>
      </c>
      <c r="AD36" s="101"/>
      <c r="AE36" s="101"/>
      <c r="AF36" s="101"/>
      <c r="AG36" s="91"/>
      <c r="AH36" s="308" t="str">
        <f t="shared" si="159"/>
        <v/>
      </c>
      <c r="AI36" s="101"/>
      <c r="AJ36" s="101"/>
      <c r="AK36" s="317" t="str">
        <f t="shared" si="160"/>
        <v/>
      </c>
      <c r="AL36" s="101"/>
      <c r="AM36" s="101"/>
      <c r="AN36" s="101"/>
      <c r="AO36" s="91"/>
      <c r="AP36" s="308" t="str">
        <f t="shared" si="161"/>
        <v/>
      </c>
      <c r="AQ36" s="101"/>
      <c r="AR36" s="101"/>
      <c r="AS36" s="317" t="str">
        <f t="shared" si="162"/>
        <v/>
      </c>
      <c r="AT36" s="101"/>
      <c r="AU36" s="101"/>
      <c r="AV36" s="101"/>
      <c r="AW36" s="91"/>
      <c r="AX36" s="308" t="str">
        <f t="shared" si="163"/>
        <v/>
      </c>
      <c r="AY36" s="101"/>
      <c r="AZ36" s="101"/>
      <c r="BA36" s="317" t="str">
        <f t="shared" si="164"/>
        <v/>
      </c>
      <c r="BB36" s="101"/>
      <c r="BC36" s="101"/>
      <c r="BD36" s="101"/>
      <c r="BE36" s="91"/>
      <c r="BF36" s="308" t="str">
        <f t="shared" si="165"/>
        <v/>
      </c>
      <c r="BG36" s="101"/>
      <c r="BH36" s="101"/>
      <c r="BI36" s="317" t="str">
        <f t="shared" si="166"/>
        <v/>
      </c>
      <c r="BJ36" s="101"/>
      <c r="BK36" s="101"/>
      <c r="BL36" s="101"/>
      <c r="BM36" s="91"/>
      <c r="BN36" s="308" t="str">
        <f t="shared" si="167"/>
        <v/>
      </c>
      <c r="BO36" s="101"/>
      <c r="BP36" s="101"/>
      <c r="BQ36" s="317" t="str">
        <f t="shared" si="168"/>
        <v/>
      </c>
      <c r="BR36" s="101"/>
      <c r="BS36" s="101"/>
      <c r="BT36" s="101"/>
      <c r="BU36" s="91"/>
      <c r="BV36" s="308" t="str">
        <f t="shared" si="169"/>
        <v/>
      </c>
      <c r="BW36" s="101"/>
      <c r="BX36" s="101"/>
      <c r="BY36" s="317" t="str">
        <f t="shared" si="170"/>
        <v/>
      </c>
      <c r="BZ36" s="101"/>
      <c r="CA36" s="101"/>
      <c r="CB36" s="101"/>
      <c r="CC36" s="91"/>
      <c r="CD36" s="308" t="str">
        <f t="shared" si="171"/>
        <v/>
      </c>
      <c r="CE36" s="101"/>
      <c r="CF36" s="101"/>
      <c r="CG36" s="317" t="str">
        <f t="shared" si="172"/>
        <v/>
      </c>
      <c r="CH36" s="319">
        <f t="shared" si="0"/>
        <v>88.75</v>
      </c>
      <c r="CI36" s="105">
        <f t="shared" si="1"/>
        <v>90</v>
      </c>
      <c r="CJ36" s="105">
        <f t="shared" si="2"/>
        <v>87.5</v>
      </c>
      <c r="CK36" s="408">
        <v>60</v>
      </c>
      <c r="CL36" s="101">
        <v>72</v>
      </c>
      <c r="CM36" s="320">
        <f t="shared" si="23"/>
        <v>266.25</v>
      </c>
      <c r="CN36" s="320">
        <f t="shared" si="24"/>
        <v>90</v>
      </c>
      <c r="CO36" s="320">
        <f t="shared" si="25"/>
        <v>36</v>
      </c>
      <c r="CP36" s="227">
        <f t="shared" si="26"/>
        <v>78.45</v>
      </c>
      <c r="CQ36" s="321">
        <f t="shared" si="27"/>
        <v>79</v>
      </c>
      <c r="CR36" s="106" t="str">
        <f t="shared" si="28"/>
        <v>B</v>
      </c>
      <c r="CS36" s="106" t="str">
        <f t="shared" si="29"/>
        <v>baik</v>
      </c>
      <c r="CT36" s="106" t="str">
        <f t="shared" si="30"/>
        <v>TUNTAS</v>
      </c>
      <c r="CU36" s="106" t="str">
        <f t="shared" si="31"/>
        <v>TUNTAS</v>
      </c>
      <c r="CV36" s="116" t="str">
        <f t="shared" si="32"/>
        <v>Penguasaan materi sudah baik dalam Mengidentifikasi informasi (pesan, rima, dan pilihan kata) dari puisi rakyat (pantun, syair, dan bentuk puisi rakyat setempat) yang dibaca dan didengar</v>
      </c>
      <c r="CW36" s="109" t="str">
        <f>IF(CI36="","",VLOOKUP(CI36,DATAPENG!$BL$3:$BM$12,2,FALSE))</f>
        <v>Mengidentifikasi informasi (pesan, rima, dan pilihan kata) dari puisi rakyat (pantun, syair, dan bentuk puisi rakyat setempat) yang dibaca dan didengar</v>
      </c>
      <c r="CX36" s="109" t="str">
        <f>IF(CJ36="","",VLOOKUP(CJ36,DATAPENG!$BL$3:$BM$12,2,FALSE))</f>
        <v>Menelaah struktur  dan kebahasaan puisi rakyat (pantun, syair, dan bentuk puisi rakyat setempat) yang dibaca dan didengar</v>
      </c>
    </row>
    <row r="37" spans="1:102" ht="16.5">
      <c r="A37" s="105">
        <f>'DATA SISWA'!A37</f>
        <v>33</v>
      </c>
      <c r="B37" s="105" t="str">
        <f>'DATA SISWA'!B37</f>
        <v>7673</v>
      </c>
      <c r="C37" s="105" t="str">
        <f>'DATA SISWA'!C37</f>
        <v>SITI AINUR ROHIMAH</v>
      </c>
      <c r="D37" s="105" t="str">
        <f>'DATA SISWA'!D37</f>
        <v>P</v>
      </c>
      <c r="E37" s="105" t="str">
        <f>'DATA SISWA'!E37</f>
        <v>VII-J</v>
      </c>
      <c r="F37" s="407">
        <v>90</v>
      </c>
      <c r="G37" s="101"/>
      <c r="H37" s="407">
        <v>90</v>
      </c>
      <c r="I37" s="407"/>
      <c r="J37" s="308">
        <f>IF(AND(F37="",G37="",H37="",I37=""),"",AVERAGE(F37:I37))</f>
        <v>90</v>
      </c>
      <c r="K37" s="101"/>
      <c r="L37" s="101"/>
      <c r="M37" s="317">
        <f>IF(AND(F37="",G37="",H37="",I37=""),"",IF(AND(K37="",L37=""),J37,IF(OR(L37="",K37="",L37&lt;=$CT$2),MAX(J37:L37),$CT$2)))</f>
        <v>90</v>
      </c>
      <c r="N37" s="407">
        <v>85</v>
      </c>
      <c r="O37" s="101"/>
      <c r="P37" s="407">
        <v>90</v>
      </c>
      <c r="Q37" s="407"/>
      <c r="R37" s="308">
        <f>IF(AND(N37="",O37="",P37="",Q37=""),"",AVERAGE(N37:Q37))</f>
        <v>87.5</v>
      </c>
      <c r="S37" s="101"/>
      <c r="T37" s="101"/>
      <c r="U37" s="317">
        <f>IF(AND(N37="",O37="",P37="",Q37=""),"",IF(AND(S37="",T37=""),R37,IF(OR(T37="",S37="",T37&lt;=$CT$2),MAX(R37:T37),$CT$2)))</f>
        <v>87.5</v>
      </c>
      <c r="V37" s="101"/>
      <c r="W37" s="101"/>
      <c r="X37" s="101"/>
      <c r="Y37" s="91"/>
      <c r="Z37" s="308" t="str">
        <f>IF(AND(V37="",W37="",X37="",Y37=""),"",AVERAGE(V37:Y37))</f>
        <v/>
      </c>
      <c r="AA37" s="101"/>
      <c r="AB37" s="101"/>
      <c r="AC37" s="317" t="str">
        <f>IF(AND(V37="",W37="",X37="",Y37=""),"",IF(AND(AA37="",AB37=""),Z37,IF(OR(AB37="",AA37="",AB37&lt;=$CT$2),MAX(Z37:AB37),$CT$2)))</f>
        <v/>
      </c>
      <c r="AD37" s="101"/>
      <c r="AE37" s="101"/>
      <c r="AF37" s="101"/>
      <c r="AG37" s="91"/>
      <c r="AH37" s="308" t="str">
        <f>IF(AND(AD37="",AE37="",AF37="",AG37=""),"",AVERAGE(AD37:AG37))</f>
        <v/>
      </c>
      <c r="AI37" s="101"/>
      <c r="AJ37" s="101"/>
      <c r="AK37" s="317" t="str">
        <f>IF(AND(AD37="",AE37="",AF37="",AG37=""),"",IF(AND(AI37="",AJ37=""),AH37,IF(OR(AJ37="",AI37="",AJ37&lt;=$CT$2),MAX(AH37:AJ37),$CT$2)))</f>
        <v/>
      </c>
      <c r="AL37" s="101"/>
      <c r="AM37" s="101"/>
      <c r="AN37" s="101"/>
      <c r="AO37" s="91"/>
      <c r="AP37" s="308" t="str">
        <f>IF(AND(AL37="",AM37="",AN37="",AO37=""),"",AVERAGE(AL37:AO37))</f>
        <v/>
      </c>
      <c r="AQ37" s="101"/>
      <c r="AR37" s="101"/>
      <c r="AS37" s="317" t="str">
        <f>IF(AND(AL37="",AM37="",AN37="",AO37=""),"",IF(AND(AQ37="",AR37=""),AP37,IF(OR(AR37="",AQ37="",AR37&lt;=$CT$2),MAX(AP37:AR37),$CT$2)))</f>
        <v/>
      </c>
      <c r="AT37" s="101"/>
      <c r="AU37" s="101"/>
      <c r="AV37" s="101"/>
      <c r="AW37" s="91"/>
      <c r="AX37" s="308" t="str">
        <f>IF(AND(AT37="",AU37="",AV37="",AW37=""),"",AVERAGE(AT37:AW37))</f>
        <v/>
      </c>
      <c r="AY37" s="101"/>
      <c r="AZ37" s="101"/>
      <c r="BA37" s="317" t="str">
        <f>IF(AND(AT37="",AU37="",AV37="",AW37=""),"",IF(AND(AY37="",AZ37=""),AX37,IF(OR(AZ37="",AY37="",AZ37&lt;=$CT$2),MAX(AX37:AZ37),$CT$2)))</f>
        <v/>
      </c>
      <c r="BB37" s="101"/>
      <c r="BC37" s="101"/>
      <c r="BD37" s="101"/>
      <c r="BE37" s="91"/>
      <c r="BF37" s="308" t="str">
        <f>IF(AND(BB37="",BC37="",BD37="",BE37=""),"",AVERAGE(BB37:BE37))</f>
        <v/>
      </c>
      <c r="BG37" s="101"/>
      <c r="BH37" s="101"/>
      <c r="BI37" s="317" t="str">
        <f>IF(AND(BB37="",BC37="",BD37="",BE37=""),"",IF(AND(BG37="",BH37=""),BF37,IF(OR(BH37="",BG37="",BH37&lt;=$CT$2),MAX(BF37:BH37),$CT$2)))</f>
        <v/>
      </c>
      <c r="BJ37" s="101"/>
      <c r="BK37" s="101"/>
      <c r="BL37" s="101"/>
      <c r="BM37" s="91"/>
      <c r="BN37" s="308" t="str">
        <f>IF(AND(BJ37="",BK37="",BL37="",BM37=""),"",AVERAGE(BJ37:BM37))</f>
        <v/>
      </c>
      <c r="BO37" s="101"/>
      <c r="BP37" s="101"/>
      <c r="BQ37" s="317" t="str">
        <f>IF(AND(BJ37="",BK37="",BL37="",BM37=""),"",IF(AND(BO37="",BP37=""),BN37,IF(OR(BP37="",BO37="",BP37&lt;=$CT$2),MAX(BN37:BP37),$CT$2)))</f>
        <v/>
      </c>
      <c r="BR37" s="101"/>
      <c r="BS37" s="101"/>
      <c r="BT37" s="101"/>
      <c r="BU37" s="91"/>
      <c r="BV37" s="308" t="str">
        <f>IF(AND(BR37="",BS37="",BT37="",BU37=""),"",AVERAGE(BR37:BU37))</f>
        <v/>
      </c>
      <c r="BW37" s="101"/>
      <c r="BX37" s="101"/>
      <c r="BY37" s="317" t="str">
        <f>IF(AND(BR37="",BS37="",BT37="",BU37=""),"",IF(AND(BW37="",BX37=""),BV37,IF(OR(BX37="",BW37="",BX37&lt;=$CT$2),MAX(BV37:BX37),$CT$2)))</f>
        <v/>
      </c>
      <c r="BZ37" s="101"/>
      <c r="CA37" s="101"/>
      <c r="CB37" s="101"/>
      <c r="CC37" s="91"/>
      <c r="CD37" s="308" t="str">
        <f>IF(AND(BZ37="",CA37="",CB37="",CC37=""),"",AVERAGE(BZ37:CC37))</f>
        <v/>
      </c>
      <c r="CE37" s="101"/>
      <c r="CF37" s="101"/>
      <c r="CG37" s="317" t="str">
        <f>IF(AND(BZ37="",CA37="",CB37="",CC37=""),"",IF(AND(CE37="",CF37=""),CD37,IF(OR(CF37="",CE37="",CF37&lt;=$CT$2),MAX(CD37:CF37),$CT$2)))</f>
        <v/>
      </c>
      <c r="CH37" s="319">
        <f t="shared" si="0"/>
        <v>88.75</v>
      </c>
      <c r="CI37" s="105">
        <f t="shared" si="1"/>
        <v>90</v>
      </c>
      <c r="CJ37" s="105">
        <f t="shared" si="2"/>
        <v>87.5</v>
      </c>
      <c r="CK37" s="408">
        <v>60</v>
      </c>
      <c r="CL37" s="101">
        <v>72</v>
      </c>
      <c r="CM37" s="320">
        <f t="shared" si="23"/>
        <v>266.25</v>
      </c>
      <c r="CN37" s="320">
        <f t="shared" si="24"/>
        <v>90</v>
      </c>
      <c r="CO37" s="320">
        <f t="shared" si="25"/>
        <v>36</v>
      </c>
      <c r="CP37" s="227">
        <f t="shared" si="26"/>
        <v>78.45</v>
      </c>
      <c r="CQ37" s="321">
        <f t="shared" si="27"/>
        <v>79</v>
      </c>
      <c r="CR37" s="106" t="str">
        <f t="shared" si="28"/>
        <v>B</v>
      </c>
      <c r="CS37" s="106" t="str">
        <f t="shared" si="29"/>
        <v>baik</v>
      </c>
      <c r="CT37" s="106" t="str">
        <f t="shared" si="30"/>
        <v>TUNTAS</v>
      </c>
      <c r="CU37" s="106" t="str">
        <f t="shared" si="31"/>
        <v>TUNTAS</v>
      </c>
      <c r="CV37" s="116" t="str">
        <f t="shared" si="32"/>
        <v>Penguasaan materi sudah baik dalam Mengidentifikasi informasi (pesan, rima, dan pilihan kata) dari puisi rakyat (pantun, syair, dan bentuk puisi rakyat setempat) yang dibaca dan didengar</v>
      </c>
      <c r="CW37" s="109" t="str">
        <f>IF(CI37="","",VLOOKUP(CI37,DATAPENG!$BN$3:$BO$12,2,FALSE))</f>
        <v>Mengidentifikasi informasi (pesan, rima, dan pilihan kata) dari puisi rakyat (pantun, syair, dan bentuk puisi rakyat setempat) yang dibaca dan didengar</v>
      </c>
      <c r="CX37" s="109" t="str">
        <f>IF(CJ37="","",VLOOKUP(CJ37,DATAPENG!$BN$3:$BO$12,2,FALSE))</f>
        <v>Menelaah struktur  dan kebahasaan puisi rakyat (pantun, syair, dan bentuk puisi rakyat setempat) yang dibaca dan didengar</v>
      </c>
    </row>
    <row r="38" spans="1:102" ht="16.5">
      <c r="A38" s="105">
        <f>'DATA SISWA'!A38</f>
        <v>34</v>
      </c>
      <c r="B38" s="105" t="str">
        <f>'DATA SISWA'!B38</f>
        <v>7675</v>
      </c>
      <c r="C38" s="105" t="str">
        <f>'DATA SISWA'!C38</f>
        <v>SYARIF HIDAYATULLOH</v>
      </c>
      <c r="D38" s="105" t="str">
        <f>'DATA SISWA'!D38</f>
        <v>L</v>
      </c>
      <c r="E38" s="105" t="str">
        <f>'DATA SISWA'!E38</f>
        <v>VII-J</v>
      </c>
      <c r="F38" s="101">
        <v>85</v>
      </c>
      <c r="G38" s="101"/>
      <c r="H38" s="407">
        <v>85</v>
      </c>
      <c r="I38" s="407"/>
      <c r="J38" s="308">
        <f t="shared" ref="J38:J40" si="173">IF(AND(F38="",G38="",H38="",I38=""),"",AVERAGE(F38:I38))</f>
        <v>85</v>
      </c>
      <c r="K38" s="101"/>
      <c r="L38" s="101"/>
      <c r="M38" s="317">
        <f t="shared" ref="M38:M40" si="174">IF(AND(F38="",G38="",H38="",I38=""),"",IF(AND(K38="",L38=""),J38,IF(OR(L38="",K38="",L38&lt;=$CT$2),MAX(J38:L38),$CT$2)))</f>
        <v>85</v>
      </c>
      <c r="N38" s="407">
        <v>85</v>
      </c>
      <c r="O38" s="101"/>
      <c r="P38" s="407">
        <v>85</v>
      </c>
      <c r="Q38" s="407"/>
      <c r="R38" s="308">
        <f t="shared" ref="R38:R40" si="175">IF(AND(N38="",O38="",P38="",Q38=""),"",AVERAGE(N38:Q38))</f>
        <v>85</v>
      </c>
      <c r="S38" s="101"/>
      <c r="T38" s="101"/>
      <c r="U38" s="317">
        <f t="shared" ref="U38:U40" si="176">IF(AND(N38="",O38="",P38="",Q38=""),"",IF(AND(S38="",T38=""),R38,IF(OR(T38="",S38="",T38&lt;=$CT$2),MAX(R38:T38),$CT$2)))</f>
        <v>85</v>
      </c>
      <c r="V38" s="101"/>
      <c r="W38" s="101"/>
      <c r="X38" s="101"/>
      <c r="Y38" s="91"/>
      <c r="Z38" s="308" t="str">
        <f t="shared" ref="Z38:Z40" si="177">IF(AND(V38="",W38="",X38="",Y38=""),"",AVERAGE(V38:Y38))</f>
        <v/>
      </c>
      <c r="AA38" s="101"/>
      <c r="AB38" s="101"/>
      <c r="AC38" s="317" t="str">
        <f t="shared" ref="AC38:AC40" si="178">IF(AND(V38="",W38="",X38="",Y38=""),"",IF(AND(AA38="",AB38=""),Z38,IF(OR(AB38="",AA38="",AB38&lt;=$CT$2),MAX(Z38:AB38),$CT$2)))</f>
        <v/>
      </c>
      <c r="AD38" s="101"/>
      <c r="AE38" s="101"/>
      <c r="AF38" s="101"/>
      <c r="AG38" s="91"/>
      <c r="AH38" s="308" t="str">
        <f t="shared" ref="AH38:AH40" si="179">IF(AND(AD38="",AE38="",AF38="",AG38=""),"",AVERAGE(AD38:AG38))</f>
        <v/>
      </c>
      <c r="AI38" s="101"/>
      <c r="AJ38" s="101"/>
      <c r="AK38" s="317" t="str">
        <f t="shared" ref="AK38:AK40" si="180">IF(AND(AD38="",AE38="",AF38="",AG38=""),"",IF(AND(AI38="",AJ38=""),AH38,IF(OR(AJ38="",AI38="",AJ38&lt;=$CT$2),MAX(AH38:AJ38),$CT$2)))</f>
        <v/>
      </c>
      <c r="AL38" s="101"/>
      <c r="AM38" s="101"/>
      <c r="AN38" s="101"/>
      <c r="AO38" s="91"/>
      <c r="AP38" s="308" t="str">
        <f t="shared" ref="AP38:AP40" si="181">IF(AND(AL38="",AM38="",AN38="",AO38=""),"",AVERAGE(AL38:AO38))</f>
        <v/>
      </c>
      <c r="AQ38" s="101"/>
      <c r="AR38" s="101"/>
      <c r="AS38" s="317" t="str">
        <f t="shared" ref="AS38:AS40" si="182">IF(AND(AL38="",AM38="",AN38="",AO38=""),"",IF(AND(AQ38="",AR38=""),AP38,IF(OR(AR38="",AQ38="",AR38&lt;=$CT$2),MAX(AP38:AR38),$CT$2)))</f>
        <v/>
      </c>
      <c r="AT38" s="101"/>
      <c r="AU38" s="101"/>
      <c r="AV38" s="101"/>
      <c r="AW38" s="91"/>
      <c r="AX38" s="308" t="str">
        <f t="shared" ref="AX38:AX40" si="183">IF(AND(AT38="",AU38="",AV38="",AW38=""),"",AVERAGE(AT38:AW38))</f>
        <v/>
      </c>
      <c r="AY38" s="101"/>
      <c r="AZ38" s="101"/>
      <c r="BA38" s="317" t="str">
        <f t="shared" ref="BA38:BA40" si="184">IF(AND(AT38="",AU38="",AV38="",AW38=""),"",IF(AND(AY38="",AZ38=""),AX38,IF(OR(AZ38="",AY38="",AZ38&lt;=$CT$2),MAX(AX38:AZ38),$CT$2)))</f>
        <v/>
      </c>
      <c r="BB38" s="101"/>
      <c r="BC38" s="101"/>
      <c r="BD38" s="101"/>
      <c r="BE38" s="91"/>
      <c r="BF38" s="308" t="str">
        <f t="shared" ref="BF38:BF40" si="185">IF(AND(BB38="",BC38="",BD38="",BE38=""),"",AVERAGE(BB38:BE38))</f>
        <v/>
      </c>
      <c r="BG38" s="101"/>
      <c r="BH38" s="101"/>
      <c r="BI38" s="317" t="str">
        <f t="shared" ref="BI38:BI40" si="186">IF(AND(BB38="",BC38="",BD38="",BE38=""),"",IF(AND(BG38="",BH38=""),BF38,IF(OR(BH38="",BG38="",BH38&lt;=$CT$2),MAX(BF38:BH38),$CT$2)))</f>
        <v/>
      </c>
      <c r="BJ38" s="101"/>
      <c r="BK38" s="101"/>
      <c r="BL38" s="101"/>
      <c r="BM38" s="91"/>
      <c r="BN38" s="308" t="str">
        <f t="shared" ref="BN38:BN40" si="187">IF(AND(BJ38="",BK38="",BL38="",BM38=""),"",AVERAGE(BJ38:BM38))</f>
        <v/>
      </c>
      <c r="BO38" s="101"/>
      <c r="BP38" s="101"/>
      <c r="BQ38" s="317" t="str">
        <f t="shared" ref="BQ38:BQ40" si="188">IF(AND(BJ38="",BK38="",BL38="",BM38=""),"",IF(AND(BO38="",BP38=""),BN38,IF(OR(BP38="",BO38="",BP38&lt;=$CT$2),MAX(BN38:BP38),$CT$2)))</f>
        <v/>
      </c>
      <c r="BR38" s="101"/>
      <c r="BS38" s="101"/>
      <c r="BT38" s="101"/>
      <c r="BU38" s="91"/>
      <c r="BV38" s="308" t="str">
        <f t="shared" ref="BV38:BV40" si="189">IF(AND(BR38="",BS38="",BT38="",BU38=""),"",AVERAGE(BR38:BU38))</f>
        <v/>
      </c>
      <c r="BW38" s="101"/>
      <c r="BX38" s="101"/>
      <c r="BY38" s="317" t="str">
        <f t="shared" ref="BY38:BY40" si="190">IF(AND(BR38="",BS38="",BT38="",BU38=""),"",IF(AND(BW38="",BX38=""),BV38,IF(OR(BX38="",BW38="",BX38&lt;=$CT$2),MAX(BV38:BX38),$CT$2)))</f>
        <v/>
      </c>
      <c r="BZ38" s="101"/>
      <c r="CA38" s="101"/>
      <c r="CB38" s="101"/>
      <c r="CC38" s="91"/>
      <c r="CD38" s="308" t="str">
        <f t="shared" ref="CD38:CD40" si="191">IF(AND(BZ38="",CA38="",CB38="",CC38=""),"",AVERAGE(BZ38:CC38))</f>
        <v/>
      </c>
      <c r="CE38" s="101"/>
      <c r="CF38" s="101"/>
      <c r="CG38" s="317" t="str">
        <f t="shared" ref="CG38:CG40" si="192">IF(AND(BZ38="",CA38="",CB38="",CC38=""),"",IF(AND(CE38="",CF38=""),CD38,IF(OR(CF38="",CE38="",CF38&lt;=$CT$2),MAX(CD38:CF38),$CT$2)))</f>
        <v/>
      </c>
      <c r="CH38" s="319">
        <f t="shared" si="0"/>
        <v>85</v>
      </c>
      <c r="CI38" s="105">
        <f t="shared" si="1"/>
        <v>85</v>
      </c>
      <c r="CJ38" s="105">
        <f t="shared" si="2"/>
        <v>85</v>
      </c>
      <c r="CK38" s="408">
        <v>60</v>
      </c>
      <c r="CL38" s="101">
        <v>70</v>
      </c>
      <c r="CM38" s="320">
        <f t="shared" si="23"/>
        <v>255</v>
      </c>
      <c r="CN38" s="320">
        <f t="shared" si="24"/>
        <v>90</v>
      </c>
      <c r="CO38" s="320">
        <f t="shared" si="25"/>
        <v>35</v>
      </c>
      <c r="CP38" s="227">
        <f t="shared" si="26"/>
        <v>76</v>
      </c>
      <c r="CQ38" s="321">
        <f t="shared" si="27"/>
        <v>76</v>
      </c>
      <c r="CR38" s="106" t="str">
        <f t="shared" si="28"/>
        <v>B</v>
      </c>
      <c r="CS38" s="106" t="str">
        <f t="shared" si="29"/>
        <v>baik</v>
      </c>
      <c r="CT38" s="106" t="str">
        <f t="shared" si="30"/>
        <v>TUNTAS</v>
      </c>
      <c r="CU38" s="106" t="str">
        <f t="shared" si="31"/>
        <v>TUNTAS</v>
      </c>
      <c r="CV38" s="116" t="str">
        <f t="shared" si="32"/>
        <v>Penguasaan materi sudah baik dalam Mengidentifikasi informasi (pesan, rima, dan pilihan kata) dari puisi rakyat (pantun, syair, dan bentuk puisi rakyat setempat) yang dibaca dan didengar</v>
      </c>
      <c r="CW38" s="109" t="str">
        <f>IF(CI38="","",VLOOKUP(CI38,DATAPENG!$BP$3:$BQ$12,2,FALSE))</f>
        <v>Mengidentifikasi informasi (pesan, rima, dan pilihan kata) dari puisi rakyat (pantun, syair, dan bentuk puisi rakyat setempat) yang dibaca dan didengar</v>
      </c>
      <c r="CX38" s="109" t="str">
        <f>IF(CJ38="","",VLOOKUP(CJ38,DATAPENG!$BP$3:$BQ$12,2,FALSE))</f>
        <v>Mengidentifikasi informasi (pesan, rima, dan pilihan kata) dari puisi rakyat (pantun, syair, dan bentuk puisi rakyat setempat) yang dibaca dan didengar</v>
      </c>
    </row>
    <row r="39" spans="1:102" ht="16.5">
      <c r="A39" s="105">
        <f>'DATA SISWA'!A39</f>
        <v>35</v>
      </c>
      <c r="B39" s="105" t="str">
        <f>'DATA SISWA'!B39</f>
        <v>7444</v>
      </c>
      <c r="C39" s="105" t="str">
        <f>'DATA SISWA'!C39</f>
        <v>URVIA ZAHNA ROHANDY</v>
      </c>
      <c r="D39" s="105" t="str">
        <f>'DATA SISWA'!D39</f>
        <v>P</v>
      </c>
      <c r="E39" s="105" t="str">
        <f>'DATA SISWA'!E39</f>
        <v>VII-J</v>
      </c>
      <c r="F39" s="101">
        <v>85</v>
      </c>
      <c r="G39" s="101"/>
      <c r="H39" s="407">
        <v>85</v>
      </c>
      <c r="I39" s="407"/>
      <c r="J39" s="308">
        <f t="shared" si="173"/>
        <v>85</v>
      </c>
      <c r="K39" s="101"/>
      <c r="L39" s="101"/>
      <c r="M39" s="317">
        <f t="shared" si="174"/>
        <v>85</v>
      </c>
      <c r="N39" s="407">
        <v>85</v>
      </c>
      <c r="O39" s="101"/>
      <c r="P39" s="407">
        <v>85</v>
      </c>
      <c r="Q39" s="407"/>
      <c r="R39" s="308">
        <f t="shared" si="175"/>
        <v>85</v>
      </c>
      <c r="S39" s="101"/>
      <c r="T39" s="101"/>
      <c r="U39" s="317">
        <f t="shared" si="176"/>
        <v>85</v>
      </c>
      <c r="V39" s="101"/>
      <c r="W39" s="101"/>
      <c r="X39" s="101"/>
      <c r="Y39" s="91"/>
      <c r="Z39" s="308" t="str">
        <f t="shared" si="177"/>
        <v/>
      </c>
      <c r="AA39" s="101"/>
      <c r="AB39" s="101"/>
      <c r="AC39" s="317" t="str">
        <f t="shared" si="178"/>
        <v/>
      </c>
      <c r="AD39" s="101"/>
      <c r="AE39" s="101"/>
      <c r="AF39" s="101"/>
      <c r="AG39" s="91"/>
      <c r="AH39" s="308" t="str">
        <f t="shared" si="179"/>
        <v/>
      </c>
      <c r="AI39" s="101"/>
      <c r="AJ39" s="101"/>
      <c r="AK39" s="317" t="str">
        <f t="shared" si="180"/>
        <v/>
      </c>
      <c r="AL39" s="101"/>
      <c r="AM39" s="101"/>
      <c r="AN39" s="101"/>
      <c r="AO39" s="91"/>
      <c r="AP39" s="308" t="str">
        <f t="shared" si="181"/>
        <v/>
      </c>
      <c r="AQ39" s="101"/>
      <c r="AR39" s="101"/>
      <c r="AS39" s="317" t="str">
        <f t="shared" si="182"/>
        <v/>
      </c>
      <c r="AT39" s="101"/>
      <c r="AU39" s="101"/>
      <c r="AV39" s="101"/>
      <c r="AW39" s="91"/>
      <c r="AX39" s="308" t="str">
        <f t="shared" si="183"/>
        <v/>
      </c>
      <c r="AY39" s="101"/>
      <c r="AZ39" s="101"/>
      <c r="BA39" s="317" t="str">
        <f t="shared" si="184"/>
        <v/>
      </c>
      <c r="BB39" s="101"/>
      <c r="BC39" s="101"/>
      <c r="BD39" s="101"/>
      <c r="BE39" s="91"/>
      <c r="BF39" s="308" t="str">
        <f t="shared" si="185"/>
        <v/>
      </c>
      <c r="BG39" s="101"/>
      <c r="BH39" s="101"/>
      <c r="BI39" s="317" t="str">
        <f t="shared" si="186"/>
        <v/>
      </c>
      <c r="BJ39" s="101"/>
      <c r="BK39" s="101"/>
      <c r="BL39" s="101"/>
      <c r="BM39" s="91"/>
      <c r="BN39" s="308" t="str">
        <f t="shared" si="187"/>
        <v/>
      </c>
      <c r="BO39" s="101"/>
      <c r="BP39" s="101"/>
      <c r="BQ39" s="317" t="str">
        <f t="shared" si="188"/>
        <v/>
      </c>
      <c r="BR39" s="101"/>
      <c r="BS39" s="101"/>
      <c r="BT39" s="101"/>
      <c r="BU39" s="91"/>
      <c r="BV39" s="308" t="str">
        <f t="shared" si="189"/>
        <v/>
      </c>
      <c r="BW39" s="101"/>
      <c r="BX39" s="101"/>
      <c r="BY39" s="317" t="str">
        <f t="shared" si="190"/>
        <v/>
      </c>
      <c r="BZ39" s="101"/>
      <c r="CA39" s="101"/>
      <c r="CB39" s="101"/>
      <c r="CC39" s="91"/>
      <c r="CD39" s="308" t="str">
        <f t="shared" si="191"/>
        <v/>
      </c>
      <c r="CE39" s="101"/>
      <c r="CF39" s="101"/>
      <c r="CG39" s="317" t="str">
        <f t="shared" si="192"/>
        <v/>
      </c>
      <c r="CH39" s="319">
        <f t="shared" si="0"/>
        <v>85</v>
      </c>
      <c r="CI39" s="105">
        <f t="shared" si="1"/>
        <v>85</v>
      </c>
      <c r="CJ39" s="105">
        <f t="shared" si="2"/>
        <v>85</v>
      </c>
      <c r="CK39" s="408">
        <v>55</v>
      </c>
      <c r="CL39" s="101">
        <v>72</v>
      </c>
      <c r="CM39" s="320">
        <f t="shared" si="23"/>
        <v>255</v>
      </c>
      <c r="CN39" s="320">
        <f t="shared" si="24"/>
        <v>82.5</v>
      </c>
      <c r="CO39" s="320">
        <f t="shared" si="25"/>
        <v>36</v>
      </c>
      <c r="CP39" s="227">
        <f t="shared" si="26"/>
        <v>74.7</v>
      </c>
      <c r="CQ39" s="321">
        <f t="shared" si="27"/>
        <v>75</v>
      </c>
      <c r="CR39" s="106" t="str">
        <f t="shared" si="28"/>
        <v>B</v>
      </c>
      <c r="CS39" s="106" t="str">
        <f t="shared" si="29"/>
        <v>baik</v>
      </c>
      <c r="CT39" s="106" t="str">
        <f t="shared" si="30"/>
        <v>TUNTAS</v>
      </c>
      <c r="CU39" s="106" t="str">
        <f t="shared" si="31"/>
        <v>TUNTAS</v>
      </c>
      <c r="CV39" s="116" t="str">
        <f t="shared" si="32"/>
        <v>Penguasaan materi sudah baik dalam Mengidentifikasi informasi (pesan, rima, dan pilihan kata) dari puisi rakyat (pantun, syair, dan bentuk puisi rakyat setempat) yang dibaca dan didengar</v>
      </c>
      <c r="CW39" s="109" t="str">
        <f>IF(CI39="","",VLOOKUP(CI39,DATAPENG!$BR$3:$BS$12,2,FALSE))</f>
        <v>Mengidentifikasi informasi (pesan, rima, dan pilihan kata) dari puisi rakyat (pantun, syair, dan bentuk puisi rakyat setempat) yang dibaca dan didengar</v>
      </c>
      <c r="CX39" s="109" t="str">
        <f>IF(CJ39="","",VLOOKUP(CJ39,DATAPENG!$BR$3:$BS$12,2,FALSE))</f>
        <v>Mengidentifikasi informasi (pesan, rima, dan pilihan kata) dari puisi rakyat (pantun, syair, dan bentuk puisi rakyat setempat) yang dibaca dan didengar</v>
      </c>
    </row>
    <row r="40" spans="1:102" ht="16.5">
      <c r="A40" s="105">
        <f>'DATA SISWA'!A40</f>
        <v>36</v>
      </c>
      <c r="B40" s="105">
        <f>'DATA SISWA'!B40</f>
        <v>0</v>
      </c>
      <c r="C40" s="105">
        <f>'DATA SISWA'!C40</f>
        <v>0</v>
      </c>
      <c r="D40" s="105">
        <f>'DATA SISWA'!D40</f>
        <v>0</v>
      </c>
      <c r="E40" s="105" t="str">
        <f>'DATA SISWA'!E40</f>
        <v>VII-J</v>
      </c>
      <c r="F40" s="101"/>
      <c r="G40" s="101"/>
      <c r="H40" s="101"/>
      <c r="I40" s="91"/>
      <c r="J40" s="308" t="str">
        <f t="shared" si="173"/>
        <v/>
      </c>
      <c r="K40" s="101"/>
      <c r="L40" s="101"/>
      <c r="M40" s="317" t="str">
        <f t="shared" si="174"/>
        <v/>
      </c>
      <c r="N40" s="101"/>
      <c r="O40" s="101"/>
      <c r="P40" s="101"/>
      <c r="Q40" s="91"/>
      <c r="R40" s="308" t="str">
        <f t="shared" si="175"/>
        <v/>
      </c>
      <c r="S40" s="101"/>
      <c r="T40" s="101"/>
      <c r="U40" s="317" t="str">
        <f t="shared" si="176"/>
        <v/>
      </c>
      <c r="V40" s="101"/>
      <c r="W40" s="101"/>
      <c r="X40" s="101"/>
      <c r="Y40" s="91"/>
      <c r="Z40" s="308" t="str">
        <f t="shared" si="177"/>
        <v/>
      </c>
      <c r="AA40" s="101"/>
      <c r="AB40" s="101"/>
      <c r="AC40" s="317" t="str">
        <f t="shared" si="178"/>
        <v/>
      </c>
      <c r="AD40" s="101"/>
      <c r="AE40" s="101"/>
      <c r="AF40" s="101"/>
      <c r="AG40" s="91"/>
      <c r="AH40" s="308" t="str">
        <f t="shared" si="179"/>
        <v/>
      </c>
      <c r="AI40" s="101"/>
      <c r="AJ40" s="101"/>
      <c r="AK40" s="317" t="str">
        <f t="shared" si="180"/>
        <v/>
      </c>
      <c r="AL40" s="101"/>
      <c r="AM40" s="101"/>
      <c r="AN40" s="101"/>
      <c r="AO40" s="91"/>
      <c r="AP40" s="308" t="str">
        <f t="shared" si="181"/>
        <v/>
      </c>
      <c r="AQ40" s="101"/>
      <c r="AR40" s="101"/>
      <c r="AS40" s="317" t="str">
        <f t="shared" si="182"/>
        <v/>
      </c>
      <c r="AT40" s="101"/>
      <c r="AU40" s="101"/>
      <c r="AV40" s="101"/>
      <c r="AW40" s="91"/>
      <c r="AX40" s="308" t="str">
        <f t="shared" si="183"/>
        <v/>
      </c>
      <c r="AY40" s="101"/>
      <c r="AZ40" s="101"/>
      <c r="BA40" s="317" t="str">
        <f t="shared" si="184"/>
        <v/>
      </c>
      <c r="BB40" s="101"/>
      <c r="BC40" s="101"/>
      <c r="BD40" s="101"/>
      <c r="BE40" s="91"/>
      <c r="BF40" s="308" t="str">
        <f t="shared" si="185"/>
        <v/>
      </c>
      <c r="BG40" s="101"/>
      <c r="BH40" s="101"/>
      <c r="BI40" s="317" t="str">
        <f t="shared" si="186"/>
        <v/>
      </c>
      <c r="BJ40" s="101"/>
      <c r="BK40" s="101"/>
      <c r="BL40" s="101"/>
      <c r="BM40" s="91"/>
      <c r="BN40" s="308" t="str">
        <f t="shared" si="187"/>
        <v/>
      </c>
      <c r="BO40" s="101"/>
      <c r="BP40" s="101"/>
      <c r="BQ40" s="317" t="str">
        <f t="shared" si="188"/>
        <v/>
      </c>
      <c r="BR40" s="101"/>
      <c r="BS40" s="101"/>
      <c r="BT40" s="101"/>
      <c r="BU40" s="91"/>
      <c r="BV40" s="308" t="str">
        <f t="shared" si="189"/>
        <v/>
      </c>
      <c r="BW40" s="101"/>
      <c r="BX40" s="101"/>
      <c r="BY40" s="317" t="str">
        <f t="shared" si="190"/>
        <v/>
      </c>
      <c r="BZ40" s="101"/>
      <c r="CA40" s="101"/>
      <c r="CB40" s="101"/>
      <c r="CC40" s="91"/>
      <c r="CD40" s="308" t="str">
        <f t="shared" si="191"/>
        <v/>
      </c>
      <c r="CE40" s="101"/>
      <c r="CF40" s="101"/>
      <c r="CG40" s="317" t="str">
        <f t="shared" si="192"/>
        <v/>
      </c>
      <c r="CH40" s="319" t="str">
        <f t="shared" si="0"/>
        <v/>
      </c>
      <c r="CI40" s="105">
        <f t="shared" si="1"/>
        <v>0</v>
      </c>
      <c r="CJ40" s="105">
        <f t="shared" si="2"/>
        <v>0</v>
      </c>
      <c r="CK40" s="408"/>
      <c r="CL40" s="101"/>
      <c r="CM40" s="320" t="str">
        <f t="shared" si="23"/>
        <v/>
      </c>
      <c r="CN40" s="320" t="str">
        <f t="shared" si="24"/>
        <v/>
      </c>
      <c r="CO40" s="320" t="str">
        <f t="shared" si="25"/>
        <v/>
      </c>
      <c r="CP40" s="227" t="str">
        <f t="shared" si="26"/>
        <v/>
      </c>
      <c r="CQ40" s="321" t="str">
        <f t="shared" si="27"/>
        <v/>
      </c>
      <c r="CR40" s="106" t="str">
        <f t="shared" si="28"/>
        <v/>
      </c>
      <c r="CS40" s="106" t="str">
        <f t="shared" si="29"/>
        <v/>
      </c>
      <c r="CT40" s="106" t="str">
        <f t="shared" si="30"/>
        <v>TIDAK</v>
      </c>
      <c r="CU40" s="106" t="str">
        <f t="shared" si="31"/>
        <v>TIDAK</v>
      </c>
      <c r="CV40" s="116" t="str">
        <f t="shared" si="32"/>
        <v/>
      </c>
      <c r="CW40" s="109" t="e">
        <f>IF(CI40="","",VLOOKUP(CI40,DATAPENG!$BT$3:$BU$12,2,FALSE))</f>
        <v>#N/A</v>
      </c>
      <c r="CX40" s="109" t="e">
        <f>IF(CJ40="","",VLOOKUP(CJ40,DATAPENG!$BT$3:$BU$12,2,FALSE))</f>
        <v>#N/A</v>
      </c>
    </row>
    <row r="41" spans="1:102" ht="16.5">
      <c r="A41" s="105">
        <f>'DATA SISWA'!A41</f>
        <v>37</v>
      </c>
      <c r="B41" s="105">
        <f>'DATA SISWA'!B41</f>
        <v>0</v>
      </c>
      <c r="C41" s="105">
        <f>'DATA SISWA'!C41</f>
        <v>0</v>
      </c>
      <c r="D41" s="105">
        <f>'DATA SISWA'!D41</f>
        <v>0</v>
      </c>
      <c r="E41" s="105" t="str">
        <f>'DATA SISWA'!E41</f>
        <v>VII-J</v>
      </c>
      <c r="F41" s="101"/>
      <c r="G41" s="101"/>
      <c r="H41" s="101"/>
      <c r="I41" s="91"/>
      <c r="J41" s="308" t="str">
        <f>IF(AND(F41="",G41="",H41="",I41=""),"",AVERAGE(F41:I41))</f>
        <v/>
      </c>
      <c r="K41" s="101"/>
      <c r="L41" s="101"/>
      <c r="M41" s="317" t="str">
        <f>IF(AND(F41="",G41="",H41="",I41=""),"",IF(AND(K41="",L41=""),J41,IF(OR(L41="",K41="",L41&lt;=$CT$2),MAX(J41:L41),$CT$2)))</f>
        <v/>
      </c>
      <c r="N41" s="101"/>
      <c r="O41" s="101"/>
      <c r="P41" s="101"/>
      <c r="Q41" s="91"/>
      <c r="R41" s="308" t="str">
        <f>IF(AND(N41="",O41="",P41="",Q41=""),"",AVERAGE(N41:Q41))</f>
        <v/>
      </c>
      <c r="S41" s="101"/>
      <c r="T41" s="101"/>
      <c r="U41" s="317" t="str">
        <f>IF(AND(N41="",O41="",P41="",Q41=""),"",IF(AND(S41="",T41=""),R41,IF(OR(T41="",S41="",T41&lt;=$CT$2),MAX(R41:T41),$CT$2)))</f>
        <v/>
      </c>
      <c r="V41" s="101"/>
      <c r="W41" s="101"/>
      <c r="X41" s="101"/>
      <c r="Y41" s="91"/>
      <c r="Z41" s="308" t="str">
        <f>IF(AND(V41="",W41="",X41="",Y41=""),"",AVERAGE(V41:Y41))</f>
        <v/>
      </c>
      <c r="AA41" s="101"/>
      <c r="AB41" s="101"/>
      <c r="AC41" s="317" t="str">
        <f>IF(AND(V41="",W41="",X41="",Y41=""),"",IF(AND(AA41="",AB41=""),Z41,IF(OR(AB41="",AA41="",AB41&lt;=$CT$2),MAX(Z41:AB41),$CT$2)))</f>
        <v/>
      </c>
      <c r="AD41" s="101"/>
      <c r="AE41" s="101"/>
      <c r="AF41" s="101"/>
      <c r="AG41" s="91"/>
      <c r="AH41" s="308" t="str">
        <f>IF(AND(AD41="",AE41="",AF41="",AG41=""),"",AVERAGE(AD41:AG41))</f>
        <v/>
      </c>
      <c r="AI41" s="101"/>
      <c r="AJ41" s="101"/>
      <c r="AK41" s="317" t="str">
        <f>IF(AND(AD41="",AE41="",AF41="",AG41=""),"",IF(AND(AI41="",AJ41=""),AH41,IF(OR(AJ41="",AI41="",AJ41&lt;=$CT$2),MAX(AH41:AJ41),$CT$2)))</f>
        <v/>
      </c>
      <c r="AL41" s="101"/>
      <c r="AM41" s="101"/>
      <c r="AN41" s="101"/>
      <c r="AO41" s="91"/>
      <c r="AP41" s="308" t="str">
        <f>IF(AND(AL41="",AM41="",AN41="",AO41=""),"",AVERAGE(AL41:AO41))</f>
        <v/>
      </c>
      <c r="AQ41" s="101"/>
      <c r="AR41" s="101"/>
      <c r="AS41" s="317" t="str">
        <f>IF(AND(AL41="",AM41="",AN41="",AO41=""),"",IF(AND(AQ41="",AR41=""),AP41,IF(OR(AR41="",AQ41="",AR41&lt;=$CT$2),MAX(AP41:AR41),$CT$2)))</f>
        <v/>
      </c>
      <c r="AT41" s="101"/>
      <c r="AU41" s="101"/>
      <c r="AV41" s="101"/>
      <c r="AW41" s="91"/>
      <c r="AX41" s="308" t="str">
        <f>IF(AND(AT41="",AU41="",AV41="",AW41=""),"",AVERAGE(AT41:AW41))</f>
        <v/>
      </c>
      <c r="AY41" s="101"/>
      <c r="AZ41" s="101"/>
      <c r="BA41" s="317" t="str">
        <f>IF(AND(AT41="",AU41="",AV41="",AW41=""),"",IF(AND(AY41="",AZ41=""),AX41,IF(OR(AZ41="",AY41="",AZ41&lt;=$CT$2),MAX(AX41:AZ41),$CT$2)))</f>
        <v/>
      </c>
      <c r="BB41" s="101"/>
      <c r="BC41" s="101"/>
      <c r="BD41" s="101"/>
      <c r="BE41" s="91"/>
      <c r="BF41" s="308" t="str">
        <f>IF(AND(BB41="",BC41="",BD41="",BE41=""),"",AVERAGE(BB41:BE41))</f>
        <v/>
      </c>
      <c r="BG41" s="101"/>
      <c r="BH41" s="101"/>
      <c r="BI41" s="317" t="str">
        <f>IF(AND(BB41="",BC41="",BD41="",BE41=""),"",IF(AND(BG41="",BH41=""),BF41,IF(OR(BH41="",BG41="",BH41&lt;=$CT$2),MAX(BF41:BH41),$CT$2)))</f>
        <v/>
      </c>
      <c r="BJ41" s="101"/>
      <c r="BK41" s="101"/>
      <c r="BL41" s="101"/>
      <c r="BM41" s="91"/>
      <c r="BN41" s="308" t="str">
        <f>IF(AND(BJ41="",BK41="",BL41="",BM41=""),"",AVERAGE(BJ41:BM41))</f>
        <v/>
      </c>
      <c r="BO41" s="101"/>
      <c r="BP41" s="101"/>
      <c r="BQ41" s="317" t="str">
        <f>IF(AND(BJ41="",BK41="",BL41="",BM41=""),"",IF(AND(BO41="",BP41=""),BN41,IF(OR(BP41="",BO41="",BP41&lt;=$CT$2),MAX(BN41:BP41),$CT$2)))</f>
        <v/>
      </c>
      <c r="BR41" s="101"/>
      <c r="BS41" s="101"/>
      <c r="BT41" s="101"/>
      <c r="BU41" s="91"/>
      <c r="BV41" s="308" t="str">
        <f>IF(AND(BR41="",BS41="",BT41="",BU41=""),"",AVERAGE(BR41:BU41))</f>
        <v/>
      </c>
      <c r="BW41" s="101"/>
      <c r="BX41" s="101"/>
      <c r="BY41" s="317" t="str">
        <f>IF(AND(BR41="",BS41="",BT41="",BU41=""),"",IF(AND(BW41="",BX41=""),BV41,IF(OR(BX41="",BW41="",BX41&lt;=$CT$2),MAX(BV41:BX41),$CT$2)))</f>
        <v/>
      </c>
      <c r="BZ41" s="101"/>
      <c r="CA41" s="101"/>
      <c r="CB41" s="101"/>
      <c r="CC41" s="91"/>
      <c r="CD41" s="308" t="str">
        <f>IF(AND(BZ41="",CA41="",CB41="",CC41=""),"",AVERAGE(BZ41:CC41))</f>
        <v/>
      </c>
      <c r="CE41" s="101"/>
      <c r="CF41" s="101"/>
      <c r="CG41" s="317" t="str">
        <f>IF(AND(BZ41="",CA41="",CB41="",CC41=""),"",IF(AND(CE41="",CF41=""),CD41,IF(OR(CF41="",CE41="",CF41&lt;=$CT$2),MAX(CD41:CF41),$CT$2)))</f>
        <v/>
      </c>
      <c r="CH41" s="319" t="str">
        <f t="shared" si="0"/>
        <v/>
      </c>
      <c r="CI41" s="105">
        <f t="shared" si="1"/>
        <v>0</v>
      </c>
      <c r="CJ41" s="105">
        <f t="shared" si="2"/>
        <v>0</v>
      </c>
      <c r="CK41" s="408"/>
      <c r="CL41" s="101"/>
      <c r="CM41" s="320" t="str">
        <f t="shared" si="23"/>
        <v/>
      </c>
      <c r="CN41" s="320" t="str">
        <f t="shared" si="24"/>
        <v/>
      </c>
      <c r="CO41" s="320" t="str">
        <f t="shared" si="25"/>
        <v/>
      </c>
      <c r="CP41" s="227" t="str">
        <f t="shared" si="26"/>
        <v/>
      </c>
      <c r="CQ41" s="321" t="str">
        <f t="shared" si="27"/>
        <v/>
      </c>
      <c r="CR41" s="106" t="str">
        <f t="shared" si="28"/>
        <v/>
      </c>
      <c r="CS41" s="106" t="str">
        <f t="shared" si="29"/>
        <v/>
      </c>
      <c r="CT41" s="106" t="str">
        <f t="shared" si="30"/>
        <v>TIDAK</v>
      </c>
      <c r="CU41" s="106" t="str">
        <f t="shared" si="31"/>
        <v>TIDAK</v>
      </c>
      <c r="CV41" s="116" t="str">
        <f t="shared" si="32"/>
        <v/>
      </c>
      <c r="CW41" s="109" t="e">
        <f>IF(CI41="","",VLOOKUP(CI41,DATAPENG!$BV$3:$BW$12,2,FALSE))</f>
        <v>#N/A</v>
      </c>
      <c r="CX41" s="109" t="e">
        <f>IF(CJ41="","",VLOOKUP(CJ41,DATAPENG!$BV$3:$BW$12,2,FALSE))</f>
        <v>#N/A</v>
      </c>
    </row>
    <row r="42" spans="1:102" ht="16.5">
      <c r="A42" s="105">
        <f>'DATA SISWA'!A42</f>
        <v>38</v>
      </c>
      <c r="B42" s="105">
        <f>'DATA SISWA'!B42</f>
        <v>0</v>
      </c>
      <c r="C42" s="105">
        <f>'DATA SISWA'!C42</f>
        <v>0</v>
      </c>
      <c r="D42" s="105">
        <f>'DATA SISWA'!D42</f>
        <v>0</v>
      </c>
      <c r="E42" s="105" t="str">
        <f>'DATA SISWA'!E42</f>
        <v>VII-J</v>
      </c>
      <c r="F42" s="101"/>
      <c r="G42" s="101"/>
      <c r="H42" s="101"/>
      <c r="I42" s="91"/>
      <c r="J42" s="308" t="str">
        <f t="shared" ref="J42:J44" si="193">IF(AND(F42="",G42="",H42="",I42=""),"",AVERAGE(F42:I42))</f>
        <v/>
      </c>
      <c r="K42" s="101"/>
      <c r="L42" s="101"/>
      <c r="M42" s="317" t="str">
        <f t="shared" ref="M42:M44" si="194">IF(AND(F42="",G42="",H42="",I42=""),"",IF(AND(K42="",L42=""),J42,IF(OR(L42="",K42="",L42&lt;=$CT$2),MAX(J42:L42),$CT$2)))</f>
        <v/>
      </c>
      <c r="N42" s="101"/>
      <c r="O42" s="101"/>
      <c r="P42" s="101"/>
      <c r="Q42" s="91"/>
      <c r="R42" s="308" t="str">
        <f t="shared" ref="R42:R44" si="195">IF(AND(N42="",O42="",P42="",Q42=""),"",AVERAGE(N42:Q42))</f>
        <v/>
      </c>
      <c r="S42" s="101"/>
      <c r="T42" s="101"/>
      <c r="U42" s="317" t="str">
        <f t="shared" ref="U42:U44" si="196">IF(AND(N42="",O42="",P42="",Q42=""),"",IF(AND(S42="",T42=""),R42,IF(OR(T42="",S42="",T42&lt;=$CT$2),MAX(R42:T42),$CT$2)))</f>
        <v/>
      </c>
      <c r="V42" s="101"/>
      <c r="W42" s="101"/>
      <c r="X42" s="101"/>
      <c r="Y42" s="91"/>
      <c r="Z42" s="308" t="str">
        <f t="shared" ref="Z42:Z44" si="197">IF(AND(V42="",W42="",X42="",Y42=""),"",AVERAGE(V42:Y42))</f>
        <v/>
      </c>
      <c r="AA42" s="101"/>
      <c r="AB42" s="101"/>
      <c r="AC42" s="317" t="str">
        <f t="shared" ref="AC42:AC44" si="198">IF(AND(V42="",W42="",X42="",Y42=""),"",IF(AND(AA42="",AB42=""),Z42,IF(OR(AB42="",AA42="",AB42&lt;=$CT$2),MAX(Z42:AB42),$CT$2)))</f>
        <v/>
      </c>
      <c r="AD42" s="101"/>
      <c r="AE42" s="101"/>
      <c r="AF42" s="101"/>
      <c r="AG42" s="91"/>
      <c r="AH42" s="308" t="str">
        <f t="shared" ref="AH42:AH44" si="199">IF(AND(AD42="",AE42="",AF42="",AG42=""),"",AVERAGE(AD42:AG42))</f>
        <v/>
      </c>
      <c r="AI42" s="101"/>
      <c r="AJ42" s="101"/>
      <c r="AK42" s="317" t="str">
        <f t="shared" ref="AK42:AK44" si="200">IF(AND(AD42="",AE42="",AF42="",AG42=""),"",IF(AND(AI42="",AJ42=""),AH42,IF(OR(AJ42="",AI42="",AJ42&lt;=$CT$2),MAX(AH42:AJ42),$CT$2)))</f>
        <v/>
      </c>
      <c r="AL42" s="101"/>
      <c r="AM42" s="101"/>
      <c r="AN42" s="101"/>
      <c r="AO42" s="91"/>
      <c r="AP42" s="308" t="str">
        <f t="shared" ref="AP42:AP44" si="201">IF(AND(AL42="",AM42="",AN42="",AO42=""),"",AVERAGE(AL42:AO42))</f>
        <v/>
      </c>
      <c r="AQ42" s="101"/>
      <c r="AR42" s="101"/>
      <c r="AS42" s="317" t="str">
        <f t="shared" ref="AS42:AS44" si="202">IF(AND(AL42="",AM42="",AN42="",AO42=""),"",IF(AND(AQ42="",AR42=""),AP42,IF(OR(AR42="",AQ42="",AR42&lt;=$CT$2),MAX(AP42:AR42),$CT$2)))</f>
        <v/>
      </c>
      <c r="AT42" s="101"/>
      <c r="AU42" s="101"/>
      <c r="AV42" s="101"/>
      <c r="AW42" s="91"/>
      <c r="AX42" s="308" t="str">
        <f t="shared" ref="AX42:AX44" si="203">IF(AND(AT42="",AU42="",AV42="",AW42=""),"",AVERAGE(AT42:AW42))</f>
        <v/>
      </c>
      <c r="AY42" s="101"/>
      <c r="AZ42" s="101"/>
      <c r="BA42" s="317" t="str">
        <f t="shared" ref="BA42:BA44" si="204">IF(AND(AT42="",AU42="",AV42="",AW42=""),"",IF(AND(AY42="",AZ42=""),AX42,IF(OR(AZ42="",AY42="",AZ42&lt;=$CT$2),MAX(AX42:AZ42),$CT$2)))</f>
        <v/>
      </c>
      <c r="BB42" s="101"/>
      <c r="BC42" s="101"/>
      <c r="BD42" s="101"/>
      <c r="BE42" s="91"/>
      <c r="BF42" s="308" t="str">
        <f t="shared" ref="BF42:BF44" si="205">IF(AND(BB42="",BC42="",BD42="",BE42=""),"",AVERAGE(BB42:BE42))</f>
        <v/>
      </c>
      <c r="BG42" s="101"/>
      <c r="BH42" s="101"/>
      <c r="BI42" s="317" t="str">
        <f t="shared" ref="BI42:BI44" si="206">IF(AND(BB42="",BC42="",BD42="",BE42=""),"",IF(AND(BG42="",BH42=""),BF42,IF(OR(BH42="",BG42="",BH42&lt;=$CT$2),MAX(BF42:BH42),$CT$2)))</f>
        <v/>
      </c>
      <c r="BJ42" s="101"/>
      <c r="BK42" s="101"/>
      <c r="BL42" s="101"/>
      <c r="BM42" s="91"/>
      <c r="BN42" s="308" t="str">
        <f t="shared" ref="BN42:BN44" si="207">IF(AND(BJ42="",BK42="",BL42="",BM42=""),"",AVERAGE(BJ42:BM42))</f>
        <v/>
      </c>
      <c r="BO42" s="101"/>
      <c r="BP42" s="101"/>
      <c r="BQ42" s="317" t="str">
        <f t="shared" ref="BQ42:BQ44" si="208">IF(AND(BJ42="",BK42="",BL42="",BM42=""),"",IF(AND(BO42="",BP42=""),BN42,IF(OR(BP42="",BO42="",BP42&lt;=$CT$2),MAX(BN42:BP42),$CT$2)))</f>
        <v/>
      </c>
      <c r="BR42" s="101"/>
      <c r="BS42" s="101"/>
      <c r="BT42" s="101"/>
      <c r="BU42" s="91"/>
      <c r="BV42" s="308" t="str">
        <f t="shared" ref="BV42:BV44" si="209">IF(AND(BR42="",BS42="",BT42="",BU42=""),"",AVERAGE(BR42:BU42))</f>
        <v/>
      </c>
      <c r="BW42" s="101"/>
      <c r="BX42" s="101"/>
      <c r="BY42" s="317" t="str">
        <f t="shared" ref="BY42:BY44" si="210">IF(AND(BR42="",BS42="",BT42="",BU42=""),"",IF(AND(BW42="",BX42=""),BV42,IF(OR(BX42="",BW42="",BX42&lt;=$CT$2),MAX(BV42:BX42),$CT$2)))</f>
        <v/>
      </c>
      <c r="BZ42" s="101"/>
      <c r="CA42" s="101"/>
      <c r="CB42" s="101"/>
      <c r="CC42" s="91"/>
      <c r="CD42" s="308" t="str">
        <f t="shared" ref="CD42:CD44" si="211">IF(AND(BZ42="",CA42="",CB42="",CC42=""),"",AVERAGE(BZ42:CC42))</f>
        <v/>
      </c>
      <c r="CE42" s="101"/>
      <c r="CF42" s="101"/>
      <c r="CG42" s="317" t="str">
        <f t="shared" ref="CG42:CG44" si="212">IF(AND(BZ42="",CA42="",CB42="",CC42=""),"",IF(AND(CE42="",CF42=""),CD42,IF(OR(CF42="",CE42="",CF42&lt;=$CT$2),MAX(CD42:CF42),$CT$2)))</f>
        <v/>
      </c>
      <c r="CH42" s="319" t="str">
        <f t="shared" si="0"/>
        <v/>
      </c>
      <c r="CI42" s="105">
        <f t="shared" si="1"/>
        <v>0</v>
      </c>
      <c r="CJ42" s="105">
        <f t="shared" si="2"/>
        <v>0</v>
      </c>
      <c r="CK42" s="408"/>
      <c r="CL42" s="101"/>
      <c r="CM42" s="320" t="str">
        <f t="shared" si="23"/>
        <v/>
      </c>
      <c r="CN42" s="320" t="str">
        <f t="shared" si="24"/>
        <v/>
      </c>
      <c r="CO42" s="320" t="str">
        <f t="shared" si="25"/>
        <v/>
      </c>
      <c r="CP42" s="227" t="str">
        <f t="shared" si="26"/>
        <v/>
      </c>
      <c r="CQ42" s="321" t="str">
        <f t="shared" si="27"/>
        <v/>
      </c>
      <c r="CR42" s="106" t="str">
        <f t="shared" si="28"/>
        <v/>
      </c>
      <c r="CS42" s="106" t="str">
        <f t="shared" si="29"/>
        <v/>
      </c>
      <c r="CT42" s="106" t="str">
        <f t="shared" si="30"/>
        <v>TIDAK</v>
      </c>
      <c r="CU42" s="106" t="str">
        <f t="shared" si="31"/>
        <v>TIDAK</v>
      </c>
      <c r="CV42" s="116" t="str">
        <f t="shared" si="32"/>
        <v/>
      </c>
      <c r="CW42" s="109" t="e">
        <f>IF(CI42="","",VLOOKUP(CI42,DATAPENG!$BX$3:$BY$12,2,FALSE))</f>
        <v>#N/A</v>
      </c>
      <c r="CX42" s="109" t="e">
        <f>IF(CJ42="","",VLOOKUP(CJ42,DATAPENG!$BX$3:$BY$12,2,FALSE))</f>
        <v>#N/A</v>
      </c>
    </row>
    <row r="43" spans="1:102">
      <c r="A43" s="105">
        <f>'DATA SISWA'!A43</f>
        <v>39</v>
      </c>
      <c r="B43" s="105">
        <f>'DATA SISWA'!B43</f>
        <v>0</v>
      </c>
      <c r="C43" s="105">
        <f>'DATA SISWA'!C43</f>
        <v>0</v>
      </c>
      <c r="D43" s="105">
        <f>'DATA SISWA'!D43</f>
        <v>0</v>
      </c>
      <c r="E43" s="105" t="str">
        <f>'DATA SISWA'!E43</f>
        <v>VII-J</v>
      </c>
      <c r="F43" s="101"/>
      <c r="G43" s="101"/>
      <c r="H43" s="101"/>
      <c r="I43" s="91"/>
      <c r="J43" s="308" t="str">
        <f t="shared" si="193"/>
        <v/>
      </c>
      <c r="K43" s="101"/>
      <c r="L43" s="101"/>
      <c r="M43" s="317" t="str">
        <f t="shared" si="194"/>
        <v/>
      </c>
      <c r="N43" s="101"/>
      <c r="O43" s="101"/>
      <c r="P43" s="101"/>
      <c r="Q43" s="91"/>
      <c r="R43" s="308" t="str">
        <f t="shared" si="195"/>
        <v/>
      </c>
      <c r="S43" s="101"/>
      <c r="T43" s="101"/>
      <c r="U43" s="317" t="str">
        <f t="shared" si="196"/>
        <v/>
      </c>
      <c r="V43" s="101"/>
      <c r="W43" s="101"/>
      <c r="X43" s="101"/>
      <c r="Y43" s="91"/>
      <c r="Z43" s="308" t="str">
        <f t="shared" si="197"/>
        <v/>
      </c>
      <c r="AA43" s="101"/>
      <c r="AB43" s="101"/>
      <c r="AC43" s="317" t="str">
        <f t="shared" si="198"/>
        <v/>
      </c>
      <c r="AD43" s="101"/>
      <c r="AE43" s="101"/>
      <c r="AF43" s="101"/>
      <c r="AG43" s="91"/>
      <c r="AH43" s="308" t="str">
        <f t="shared" si="199"/>
        <v/>
      </c>
      <c r="AI43" s="101"/>
      <c r="AJ43" s="101"/>
      <c r="AK43" s="317" t="str">
        <f t="shared" si="200"/>
        <v/>
      </c>
      <c r="AL43" s="101"/>
      <c r="AM43" s="101"/>
      <c r="AN43" s="101"/>
      <c r="AO43" s="91"/>
      <c r="AP43" s="308" t="str">
        <f t="shared" si="201"/>
        <v/>
      </c>
      <c r="AQ43" s="101"/>
      <c r="AR43" s="101"/>
      <c r="AS43" s="317" t="str">
        <f t="shared" si="202"/>
        <v/>
      </c>
      <c r="AT43" s="101"/>
      <c r="AU43" s="101"/>
      <c r="AV43" s="101"/>
      <c r="AW43" s="91"/>
      <c r="AX43" s="308" t="str">
        <f t="shared" si="203"/>
        <v/>
      </c>
      <c r="AY43" s="101"/>
      <c r="AZ43" s="101"/>
      <c r="BA43" s="317" t="str">
        <f t="shared" si="204"/>
        <v/>
      </c>
      <c r="BB43" s="101"/>
      <c r="BC43" s="101"/>
      <c r="BD43" s="101"/>
      <c r="BE43" s="91"/>
      <c r="BF43" s="308" t="str">
        <f t="shared" si="205"/>
        <v/>
      </c>
      <c r="BG43" s="101"/>
      <c r="BH43" s="101"/>
      <c r="BI43" s="317" t="str">
        <f t="shared" si="206"/>
        <v/>
      </c>
      <c r="BJ43" s="101"/>
      <c r="BK43" s="101"/>
      <c r="BL43" s="101"/>
      <c r="BM43" s="91"/>
      <c r="BN43" s="308" t="str">
        <f t="shared" si="207"/>
        <v/>
      </c>
      <c r="BO43" s="101"/>
      <c r="BP43" s="101"/>
      <c r="BQ43" s="317" t="str">
        <f t="shared" si="208"/>
        <v/>
      </c>
      <c r="BR43" s="101"/>
      <c r="BS43" s="101"/>
      <c r="BT43" s="101"/>
      <c r="BU43" s="91"/>
      <c r="BV43" s="308" t="str">
        <f t="shared" si="209"/>
        <v/>
      </c>
      <c r="BW43" s="101"/>
      <c r="BX43" s="101"/>
      <c r="BY43" s="317" t="str">
        <f t="shared" si="210"/>
        <v/>
      </c>
      <c r="BZ43" s="101"/>
      <c r="CA43" s="101"/>
      <c r="CB43" s="101"/>
      <c r="CC43" s="91"/>
      <c r="CD43" s="308" t="str">
        <f t="shared" si="211"/>
        <v/>
      </c>
      <c r="CE43" s="101"/>
      <c r="CF43" s="101"/>
      <c r="CG43" s="317" t="str">
        <f t="shared" si="212"/>
        <v/>
      </c>
      <c r="CH43" s="319" t="str">
        <f t="shared" si="0"/>
        <v/>
      </c>
      <c r="CI43" s="105">
        <f t="shared" si="1"/>
        <v>0</v>
      </c>
      <c r="CJ43" s="105">
        <f t="shared" si="2"/>
        <v>0</v>
      </c>
      <c r="CK43" s="101"/>
      <c r="CL43" s="101"/>
      <c r="CM43" s="320" t="str">
        <f t="shared" si="23"/>
        <v/>
      </c>
      <c r="CN43" s="320" t="str">
        <f t="shared" si="24"/>
        <v/>
      </c>
      <c r="CO43" s="320" t="str">
        <f t="shared" si="25"/>
        <v/>
      </c>
      <c r="CP43" s="227" t="str">
        <f t="shared" si="26"/>
        <v/>
      </c>
      <c r="CQ43" s="321" t="str">
        <f t="shared" si="27"/>
        <v/>
      </c>
      <c r="CR43" s="106" t="str">
        <f t="shared" si="28"/>
        <v/>
      </c>
      <c r="CS43" s="106" t="str">
        <f t="shared" si="29"/>
        <v/>
      </c>
      <c r="CT43" s="106" t="str">
        <f t="shared" si="30"/>
        <v>TIDAK</v>
      </c>
      <c r="CU43" s="106" t="str">
        <f t="shared" si="31"/>
        <v>TIDAK</v>
      </c>
      <c r="CV43" s="116" t="str">
        <f t="shared" si="32"/>
        <v/>
      </c>
      <c r="CW43" s="109" t="e">
        <f>IF(CI43="","",VLOOKUP(CI43,DATAPENG!$BZ$3:$CA$12,2,FALSE))</f>
        <v>#N/A</v>
      </c>
      <c r="CX43" s="109" t="e">
        <f>IF(CJ43="","",VLOOKUP(CJ43,DATAPENG!$BZ$3:$CA$12,2,FALSE))</f>
        <v>#N/A</v>
      </c>
    </row>
    <row r="44" spans="1:102">
      <c r="A44" s="105">
        <f>'DATA SISWA'!A44</f>
        <v>40</v>
      </c>
      <c r="B44" s="105">
        <f>'DATA SISWA'!B44</f>
        <v>0</v>
      </c>
      <c r="C44" s="105">
        <f>'DATA SISWA'!C44</f>
        <v>0</v>
      </c>
      <c r="D44" s="105">
        <f>'DATA SISWA'!D44</f>
        <v>0</v>
      </c>
      <c r="E44" s="105" t="str">
        <f>'DATA SISWA'!E44</f>
        <v>VII-J</v>
      </c>
      <c r="F44" s="101"/>
      <c r="G44" s="101"/>
      <c r="H44" s="101"/>
      <c r="I44" s="91"/>
      <c r="J44" s="308" t="str">
        <f t="shared" si="193"/>
        <v/>
      </c>
      <c r="K44" s="101"/>
      <c r="L44" s="101"/>
      <c r="M44" s="317" t="str">
        <f t="shared" si="194"/>
        <v/>
      </c>
      <c r="N44" s="101"/>
      <c r="O44" s="101"/>
      <c r="P44" s="101"/>
      <c r="Q44" s="91"/>
      <c r="R44" s="308" t="str">
        <f t="shared" si="195"/>
        <v/>
      </c>
      <c r="S44" s="101"/>
      <c r="T44" s="101"/>
      <c r="U44" s="317" t="str">
        <f t="shared" si="196"/>
        <v/>
      </c>
      <c r="V44" s="101"/>
      <c r="W44" s="101"/>
      <c r="X44" s="101"/>
      <c r="Y44" s="91"/>
      <c r="Z44" s="308" t="str">
        <f t="shared" si="197"/>
        <v/>
      </c>
      <c r="AA44" s="101"/>
      <c r="AB44" s="101"/>
      <c r="AC44" s="317" t="str">
        <f t="shared" si="198"/>
        <v/>
      </c>
      <c r="AD44" s="101"/>
      <c r="AE44" s="101"/>
      <c r="AF44" s="101"/>
      <c r="AG44" s="91"/>
      <c r="AH44" s="308" t="str">
        <f t="shared" si="199"/>
        <v/>
      </c>
      <c r="AI44" s="101"/>
      <c r="AJ44" s="101"/>
      <c r="AK44" s="317" t="str">
        <f t="shared" si="200"/>
        <v/>
      </c>
      <c r="AL44" s="101"/>
      <c r="AM44" s="101"/>
      <c r="AN44" s="101"/>
      <c r="AO44" s="91"/>
      <c r="AP44" s="308" t="str">
        <f t="shared" si="201"/>
        <v/>
      </c>
      <c r="AQ44" s="101"/>
      <c r="AR44" s="101"/>
      <c r="AS44" s="317" t="str">
        <f t="shared" si="202"/>
        <v/>
      </c>
      <c r="AT44" s="101"/>
      <c r="AU44" s="101"/>
      <c r="AV44" s="101"/>
      <c r="AW44" s="91"/>
      <c r="AX44" s="308" t="str">
        <f t="shared" si="203"/>
        <v/>
      </c>
      <c r="AY44" s="101"/>
      <c r="AZ44" s="101"/>
      <c r="BA44" s="317" t="str">
        <f t="shared" si="204"/>
        <v/>
      </c>
      <c r="BB44" s="101"/>
      <c r="BC44" s="101"/>
      <c r="BD44" s="101"/>
      <c r="BE44" s="91"/>
      <c r="BF44" s="308" t="str">
        <f t="shared" si="205"/>
        <v/>
      </c>
      <c r="BG44" s="101"/>
      <c r="BH44" s="101"/>
      <c r="BI44" s="317" t="str">
        <f t="shared" si="206"/>
        <v/>
      </c>
      <c r="BJ44" s="101"/>
      <c r="BK44" s="101"/>
      <c r="BL44" s="101"/>
      <c r="BM44" s="91"/>
      <c r="BN44" s="308" t="str">
        <f t="shared" si="207"/>
        <v/>
      </c>
      <c r="BO44" s="101"/>
      <c r="BP44" s="101"/>
      <c r="BQ44" s="317" t="str">
        <f t="shared" si="208"/>
        <v/>
      </c>
      <c r="BR44" s="101"/>
      <c r="BS44" s="101"/>
      <c r="BT44" s="101"/>
      <c r="BU44" s="91"/>
      <c r="BV44" s="308" t="str">
        <f t="shared" si="209"/>
        <v/>
      </c>
      <c r="BW44" s="101"/>
      <c r="BX44" s="101"/>
      <c r="BY44" s="317" t="str">
        <f t="shared" si="210"/>
        <v/>
      </c>
      <c r="BZ44" s="101"/>
      <c r="CA44" s="101"/>
      <c r="CB44" s="101"/>
      <c r="CC44" s="91"/>
      <c r="CD44" s="308" t="str">
        <f t="shared" si="211"/>
        <v/>
      </c>
      <c r="CE44" s="101"/>
      <c r="CF44" s="101"/>
      <c r="CG44" s="317" t="str">
        <f t="shared" si="212"/>
        <v/>
      </c>
      <c r="CH44" s="319" t="str">
        <f t="shared" si="0"/>
        <v/>
      </c>
      <c r="CI44" s="105">
        <f t="shared" si="1"/>
        <v>0</v>
      </c>
      <c r="CJ44" s="105">
        <f t="shared" si="2"/>
        <v>0</v>
      </c>
      <c r="CK44" s="101"/>
      <c r="CL44" s="101"/>
      <c r="CM44" s="320" t="str">
        <f t="shared" si="23"/>
        <v/>
      </c>
      <c r="CN44" s="320" t="str">
        <f t="shared" si="24"/>
        <v/>
      </c>
      <c r="CO44" s="320" t="str">
        <f t="shared" si="25"/>
        <v/>
      </c>
      <c r="CP44" s="227" t="str">
        <f t="shared" si="26"/>
        <v/>
      </c>
      <c r="CQ44" s="321" t="str">
        <f t="shared" si="27"/>
        <v/>
      </c>
      <c r="CR44" s="106" t="str">
        <f t="shared" si="28"/>
        <v/>
      </c>
      <c r="CS44" s="106" t="str">
        <f t="shared" si="29"/>
        <v/>
      </c>
      <c r="CT44" s="106" t="str">
        <f t="shared" si="30"/>
        <v>TIDAK</v>
      </c>
      <c r="CU44" s="106" t="str">
        <f t="shared" si="31"/>
        <v>TIDAK</v>
      </c>
      <c r="CV44" s="116" t="str">
        <f t="shared" si="32"/>
        <v/>
      </c>
      <c r="CW44" s="109" t="e">
        <f>IF(CI44="","",VLOOKUP(CI44,DATAPENG!$CB$3:$CC$12,2,FALSE))</f>
        <v>#N/A</v>
      </c>
      <c r="CX44" s="109" t="e">
        <f>IF(CJ44="","",VLOOKUP(CJ44,DATAPENG!$CB$3:$CC$12,2,FALSE))</f>
        <v>#N/A</v>
      </c>
    </row>
    <row r="45" spans="1:102">
      <c r="A45" s="105">
        <f>'DATA SISWA'!A45</f>
        <v>41</v>
      </c>
      <c r="B45" s="105">
        <f>'DATA SISWA'!B45</f>
        <v>0</v>
      </c>
      <c r="C45" s="105">
        <f>'DATA SISWA'!C45</f>
        <v>0</v>
      </c>
      <c r="D45" s="105">
        <f>'DATA SISWA'!D45</f>
        <v>0</v>
      </c>
      <c r="E45" s="105" t="str">
        <f>'DATA SISWA'!E45</f>
        <v>VII-J</v>
      </c>
      <c r="F45" s="101"/>
      <c r="G45" s="101"/>
      <c r="H45" s="101"/>
      <c r="I45" s="91"/>
      <c r="J45" s="308" t="str">
        <f>IF(AND(F45="",G45="",H45="",I45=""),"",AVERAGE(F45:I45))</f>
        <v/>
      </c>
      <c r="K45" s="101"/>
      <c r="L45" s="101"/>
      <c r="M45" s="317" t="str">
        <f>IF(AND(F45="",G45="",H45="",I45=""),"",IF(AND(K45="",L45=""),J45,IF(OR(L45="",K45="",L45&lt;=$CT$2),MAX(J45:L45),$CT$2)))</f>
        <v/>
      </c>
      <c r="N45" s="101"/>
      <c r="O45" s="101"/>
      <c r="P45" s="101"/>
      <c r="Q45" s="91"/>
      <c r="R45" s="308" t="str">
        <f>IF(AND(N45="",O45="",P45="",Q45=""),"",AVERAGE(N45:Q45))</f>
        <v/>
      </c>
      <c r="S45" s="101"/>
      <c r="T45" s="101"/>
      <c r="U45" s="317" t="str">
        <f>IF(AND(N45="",O45="",P45="",Q45=""),"",IF(AND(S45="",T45=""),R45,IF(OR(T45="",S45="",T45&lt;=$CT$2),MAX(R45:T45),$CT$2)))</f>
        <v/>
      </c>
      <c r="V45" s="101"/>
      <c r="W45" s="101"/>
      <c r="X45" s="101"/>
      <c r="Y45" s="91"/>
      <c r="Z45" s="308" t="str">
        <f>IF(AND(V45="",W45="",X45="",Y45=""),"",AVERAGE(V45:Y45))</f>
        <v/>
      </c>
      <c r="AA45" s="101"/>
      <c r="AB45" s="101"/>
      <c r="AC45" s="317" t="str">
        <f>IF(AND(V45="",W45="",X45="",Y45=""),"",IF(AND(AA45="",AB45=""),Z45,IF(OR(AB45="",AA45="",AB45&lt;=$CT$2),MAX(Z45:AB45),$CT$2)))</f>
        <v/>
      </c>
      <c r="AD45" s="101"/>
      <c r="AE45" s="101"/>
      <c r="AF45" s="101"/>
      <c r="AG45" s="91"/>
      <c r="AH45" s="308" t="str">
        <f>IF(AND(AD45="",AE45="",AF45="",AG45=""),"",AVERAGE(AD45:AG45))</f>
        <v/>
      </c>
      <c r="AI45" s="101"/>
      <c r="AJ45" s="101"/>
      <c r="AK45" s="317" t="str">
        <f>IF(AND(AD45="",AE45="",AF45="",AG45=""),"",IF(AND(AI45="",AJ45=""),AH45,IF(OR(AJ45="",AI45="",AJ45&lt;=$CT$2),MAX(AH45:AJ45),$CT$2)))</f>
        <v/>
      </c>
      <c r="AL45" s="101"/>
      <c r="AM45" s="101"/>
      <c r="AN45" s="101"/>
      <c r="AO45" s="91"/>
      <c r="AP45" s="308" t="str">
        <f>IF(AND(AL45="",AM45="",AN45="",AO45=""),"",AVERAGE(AL45:AO45))</f>
        <v/>
      </c>
      <c r="AQ45" s="101"/>
      <c r="AR45" s="101"/>
      <c r="AS45" s="317" t="str">
        <f>IF(AND(AL45="",AM45="",AN45="",AO45=""),"",IF(AND(AQ45="",AR45=""),AP45,IF(OR(AR45="",AQ45="",AR45&lt;=$CT$2),MAX(AP45:AR45),$CT$2)))</f>
        <v/>
      </c>
      <c r="AT45" s="101"/>
      <c r="AU45" s="101"/>
      <c r="AV45" s="101"/>
      <c r="AW45" s="91"/>
      <c r="AX45" s="308" t="str">
        <f>IF(AND(AT45="",AU45="",AV45="",AW45=""),"",AVERAGE(AT45:AW45))</f>
        <v/>
      </c>
      <c r="AY45" s="101"/>
      <c r="AZ45" s="101"/>
      <c r="BA45" s="317" t="str">
        <f>IF(AND(AT45="",AU45="",AV45="",AW45=""),"",IF(AND(AY45="",AZ45=""),AX45,IF(OR(AZ45="",AY45="",AZ45&lt;=$CT$2),MAX(AX45:AZ45),$CT$2)))</f>
        <v/>
      </c>
      <c r="BB45" s="101"/>
      <c r="BC45" s="101"/>
      <c r="BD45" s="101"/>
      <c r="BE45" s="91"/>
      <c r="BF45" s="308" t="str">
        <f>IF(AND(BB45="",BC45="",BD45="",BE45=""),"",AVERAGE(BB45:BE45))</f>
        <v/>
      </c>
      <c r="BG45" s="101"/>
      <c r="BH45" s="101"/>
      <c r="BI45" s="317" t="str">
        <f>IF(AND(BB45="",BC45="",BD45="",BE45=""),"",IF(AND(BG45="",BH45=""),BF45,IF(OR(BH45="",BG45="",BH45&lt;=$CT$2),MAX(BF45:BH45),$CT$2)))</f>
        <v/>
      </c>
      <c r="BJ45" s="101"/>
      <c r="BK45" s="101"/>
      <c r="BL45" s="101"/>
      <c r="BM45" s="91"/>
      <c r="BN45" s="308" t="str">
        <f>IF(AND(BJ45="",BK45="",BL45="",BM45=""),"",AVERAGE(BJ45:BM45))</f>
        <v/>
      </c>
      <c r="BO45" s="101"/>
      <c r="BP45" s="101"/>
      <c r="BQ45" s="317" t="str">
        <f>IF(AND(BJ45="",BK45="",BL45="",BM45=""),"",IF(AND(BO45="",BP45=""),BN45,IF(OR(BP45="",BO45="",BP45&lt;=$CT$2),MAX(BN45:BP45),$CT$2)))</f>
        <v/>
      </c>
      <c r="BR45" s="101"/>
      <c r="BS45" s="101"/>
      <c r="BT45" s="101"/>
      <c r="BU45" s="91"/>
      <c r="BV45" s="308" t="str">
        <f>IF(AND(BR45="",BS45="",BT45="",BU45=""),"",AVERAGE(BR45:BU45))</f>
        <v/>
      </c>
      <c r="BW45" s="101"/>
      <c r="BX45" s="101"/>
      <c r="BY45" s="317" t="str">
        <f>IF(AND(BR45="",BS45="",BT45="",BU45=""),"",IF(AND(BW45="",BX45=""),BV45,IF(OR(BX45="",BW45="",BX45&lt;=$CT$2),MAX(BV45:BX45),$CT$2)))</f>
        <v/>
      </c>
      <c r="BZ45" s="101"/>
      <c r="CA45" s="101"/>
      <c r="CB45" s="101"/>
      <c r="CC45" s="91"/>
      <c r="CD45" s="308" t="str">
        <f>IF(AND(BZ45="",CA45="",CB45="",CC45=""),"",AVERAGE(BZ45:CC45))</f>
        <v/>
      </c>
      <c r="CE45" s="101"/>
      <c r="CF45" s="101"/>
      <c r="CG45" s="317" t="str">
        <f>IF(AND(BZ45="",CA45="",CB45="",CC45=""),"",IF(AND(CE45="",CF45=""),CD45,IF(OR(CF45="",CE45="",CF45&lt;=$CT$2),MAX(CD45:CF45),$CT$2)))</f>
        <v/>
      </c>
      <c r="CH45" s="319" t="str">
        <f t="shared" si="0"/>
        <v/>
      </c>
      <c r="CI45" s="105">
        <f t="shared" si="1"/>
        <v>0</v>
      </c>
      <c r="CJ45" s="105">
        <f t="shared" si="2"/>
        <v>0</v>
      </c>
      <c r="CK45" s="101"/>
      <c r="CL45" s="101"/>
      <c r="CM45" s="320" t="str">
        <f t="shared" si="23"/>
        <v/>
      </c>
      <c r="CN45" s="320" t="str">
        <f t="shared" si="24"/>
        <v/>
      </c>
      <c r="CO45" s="320" t="str">
        <f t="shared" si="25"/>
        <v/>
      </c>
      <c r="CP45" s="227" t="str">
        <f t="shared" si="26"/>
        <v/>
      </c>
      <c r="CQ45" s="321" t="str">
        <f t="shared" si="27"/>
        <v/>
      </c>
      <c r="CR45" s="106" t="str">
        <f t="shared" si="28"/>
        <v/>
      </c>
      <c r="CS45" s="106" t="str">
        <f t="shared" si="29"/>
        <v/>
      </c>
      <c r="CT45" s="106" t="str">
        <f t="shared" si="30"/>
        <v>TIDAK</v>
      </c>
      <c r="CU45" s="106" t="str">
        <f t="shared" si="31"/>
        <v>TIDAK</v>
      </c>
      <c r="CV45" s="116" t="str">
        <f t="shared" si="32"/>
        <v/>
      </c>
      <c r="CW45" s="109" t="e">
        <f>IF(CI45="","",VLOOKUP(CI45,DATAPENG!$CD$3:$CE$12,2,FALSE))</f>
        <v>#N/A</v>
      </c>
      <c r="CX45" s="109" t="e">
        <f>IF(CJ45="","",VLOOKUP(CJ45,DATAPENG!$CD$3:$CE$12,2,FALSE))</f>
        <v>#N/A</v>
      </c>
    </row>
    <row r="46" spans="1:102">
      <c r="A46" s="105">
        <f>'DATA SISWA'!A46</f>
        <v>42</v>
      </c>
      <c r="B46" s="105">
        <f>'DATA SISWA'!B46</f>
        <v>0</v>
      </c>
      <c r="C46" s="105">
        <f>'DATA SISWA'!C46</f>
        <v>0</v>
      </c>
      <c r="D46" s="105">
        <f>'DATA SISWA'!D46</f>
        <v>0</v>
      </c>
      <c r="E46" s="105" t="str">
        <f>'DATA SISWA'!E46</f>
        <v>VII-J</v>
      </c>
      <c r="F46" s="101"/>
      <c r="G46" s="101"/>
      <c r="H46" s="101"/>
      <c r="I46" s="91"/>
      <c r="J46" s="308" t="str">
        <f t="shared" ref="J46:J48" si="213">IF(AND(F46="",G46="",H46="",I46=""),"",AVERAGE(F46:I46))</f>
        <v/>
      </c>
      <c r="K46" s="101"/>
      <c r="L46" s="101"/>
      <c r="M46" s="317" t="str">
        <f t="shared" ref="M46:M48" si="214">IF(AND(F46="",G46="",H46="",I46=""),"",IF(AND(K46="",L46=""),J46,IF(OR(L46="",K46="",L46&lt;=$CT$2),MAX(J46:L46),$CT$2)))</f>
        <v/>
      </c>
      <c r="N46" s="101"/>
      <c r="O46" s="101"/>
      <c r="P46" s="101"/>
      <c r="Q46" s="91"/>
      <c r="R46" s="308" t="str">
        <f t="shared" ref="R46:R48" si="215">IF(AND(N46="",O46="",P46="",Q46=""),"",AVERAGE(N46:Q46))</f>
        <v/>
      </c>
      <c r="S46" s="101"/>
      <c r="T46" s="101"/>
      <c r="U46" s="317" t="str">
        <f t="shared" ref="U46:U48" si="216">IF(AND(N46="",O46="",P46="",Q46=""),"",IF(AND(S46="",T46=""),R46,IF(OR(T46="",S46="",T46&lt;=$CT$2),MAX(R46:T46),$CT$2)))</f>
        <v/>
      </c>
      <c r="V46" s="101"/>
      <c r="W46" s="101"/>
      <c r="X46" s="101"/>
      <c r="Y46" s="91"/>
      <c r="Z46" s="308" t="str">
        <f t="shared" ref="Z46:Z48" si="217">IF(AND(V46="",W46="",X46="",Y46=""),"",AVERAGE(V46:Y46))</f>
        <v/>
      </c>
      <c r="AA46" s="101"/>
      <c r="AB46" s="101"/>
      <c r="AC46" s="317" t="str">
        <f t="shared" ref="AC46:AC48" si="218">IF(AND(V46="",W46="",X46="",Y46=""),"",IF(AND(AA46="",AB46=""),Z46,IF(OR(AB46="",AA46="",AB46&lt;=$CT$2),MAX(Z46:AB46),$CT$2)))</f>
        <v/>
      </c>
      <c r="AD46" s="101"/>
      <c r="AE46" s="101"/>
      <c r="AF46" s="101"/>
      <c r="AG46" s="91"/>
      <c r="AH46" s="308" t="str">
        <f t="shared" ref="AH46:AH48" si="219">IF(AND(AD46="",AE46="",AF46="",AG46=""),"",AVERAGE(AD46:AG46))</f>
        <v/>
      </c>
      <c r="AI46" s="101"/>
      <c r="AJ46" s="101"/>
      <c r="AK46" s="317" t="str">
        <f t="shared" ref="AK46:AK48" si="220">IF(AND(AD46="",AE46="",AF46="",AG46=""),"",IF(AND(AI46="",AJ46=""),AH46,IF(OR(AJ46="",AI46="",AJ46&lt;=$CT$2),MAX(AH46:AJ46),$CT$2)))</f>
        <v/>
      </c>
      <c r="AL46" s="101"/>
      <c r="AM46" s="101"/>
      <c r="AN46" s="101"/>
      <c r="AO46" s="91"/>
      <c r="AP46" s="308" t="str">
        <f t="shared" ref="AP46:AP48" si="221">IF(AND(AL46="",AM46="",AN46="",AO46=""),"",AVERAGE(AL46:AO46))</f>
        <v/>
      </c>
      <c r="AQ46" s="101"/>
      <c r="AR46" s="101"/>
      <c r="AS46" s="317" t="str">
        <f t="shared" ref="AS46:AS48" si="222">IF(AND(AL46="",AM46="",AN46="",AO46=""),"",IF(AND(AQ46="",AR46=""),AP46,IF(OR(AR46="",AQ46="",AR46&lt;=$CT$2),MAX(AP46:AR46),$CT$2)))</f>
        <v/>
      </c>
      <c r="AT46" s="101"/>
      <c r="AU46" s="101"/>
      <c r="AV46" s="101"/>
      <c r="AW46" s="91"/>
      <c r="AX46" s="308" t="str">
        <f t="shared" ref="AX46:AX48" si="223">IF(AND(AT46="",AU46="",AV46="",AW46=""),"",AVERAGE(AT46:AW46))</f>
        <v/>
      </c>
      <c r="AY46" s="101"/>
      <c r="AZ46" s="101"/>
      <c r="BA46" s="317" t="str">
        <f t="shared" ref="BA46:BA48" si="224">IF(AND(AT46="",AU46="",AV46="",AW46=""),"",IF(AND(AY46="",AZ46=""),AX46,IF(OR(AZ46="",AY46="",AZ46&lt;=$CT$2),MAX(AX46:AZ46),$CT$2)))</f>
        <v/>
      </c>
      <c r="BB46" s="101"/>
      <c r="BC46" s="101"/>
      <c r="BD46" s="101"/>
      <c r="BE46" s="91"/>
      <c r="BF46" s="308" t="str">
        <f t="shared" ref="BF46:BF48" si="225">IF(AND(BB46="",BC46="",BD46="",BE46=""),"",AVERAGE(BB46:BE46))</f>
        <v/>
      </c>
      <c r="BG46" s="101"/>
      <c r="BH46" s="101"/>
      <c r="BI46" s="317" t="str">
        <f t="shared" ref="BI46:BI48" si="226">IF(AND(BB46="",BC46="",BD46="",BE46=""),"",IF(AND(BG46="",BH46=""),BF46,IF(OR(BH46="",BG46="",BH46&lt;=$CT$2),MAX(BF46:BH46),$CT$2)))</f>
        <v/>
      </c>
      <c r="BJ46" s="101"/>
      <c r="BK46" s="101"/>
      <c r="BL46" s="101"/>
      <c r="BM46" s="91"/>
      <c r="BN46" s="308" t="str">
        <f t="shared" ref="BN46:BN48" si="227">IF(AND(BJ46="",BK46="",BL46="",BM46=""),"",AVERAGE(BJ46:BM46))</f>
        <v/>
      </c>
      <c r="BO46" s="101"/>
      <c r="BP46" s="101"/>
      <c r="BQ46" s="317" t="str">
        <f t="shared" ref="BQ46:BQ48" si="228">IF(AND(BJ46="",BK46="",BL46="",BM46=""),"",IF(AND(BO46="",BP46=""),BN46,IF(OR(BP46="",BO46="",BP46&lt;=$CT$2),MAX(BN46:BP46),$CT$2)))</f>
        <v/>
      </c>
      <c r="BR46" s="101"/>
      <c r="BS46" s="101"/>
      <c r="BT46" s="101"/>
      <c r="BU46" s="91"/>
      <c r="BV46" s="308" t="str">
        <f t="shared" ref="BV46:BV48" si="229">IF(AND(BR46="",BS46="",BT46="",BU46=""),"",AVERAGE(BR46:BU46))</f>
        <v/>
      </c>
      <c r="BW46" s="101"/>
      <c r="BX46" s="101"/>
      <c r="BY46" s="317" t="str">
        <f t="shared" ref="BY46:BY48" si="230">IF(AND(BR46="",BS46="",BT46="",BU46=""),"",IF(AND(BW46="",BX46=""),BV46,IF(OR(BX46="",BW46="",BX46&lt;=$CT$2),MAX(BV46:BX46),$CT$2)))</f>
        <v/>
      </c>
      <c r="BZ46" s="101"/>
      <c r="CA46" s="101"/>
      <c r="CB46" s="101"/>
      <c r="CC46" s="91"/>
      <c r="CD46" s="308" t="str">
        <f t="shared" ref="CD46:CD48" si="231">IF(AND(BZ46="",CA46="",CB46="",CC46=""),"",AVERAGE(BZ46:CC46))</f>
        <v/>
      </c>
      <c r="CE46" s="101"/>
      <c r="CF46" s="101"/>
      <c r="CG46" s="317" t="str">
        <f t="shared" ref="CG46:CG48" si="232">IF(AND(BZ46="",CA46="",CB46="",CC46=""),"",IF(AND(CE46="",CF46=""),CD46,IF(OR(CF46="",CE46="",CF46&lt;=$CT$2),MAX(CD46:CF46),$CT$2)))</f>
        <v/>
      </c>
      <c r="CH46" s="319" t="str">
        <f t="shared" si="0"/>
        <v/>
      </c>
      <c r="CI46" s="105">
        <f t="shared" si="1"/>
        <v>0</v>
      </c>
      <c r="CJ46" s="105">
        <f t="shared" si="2"/>
        <v>0</v>
      </c>
      <c r="CK46" s="101"/>
      <c r="CL46" s="101"/>
      <c r="CM46" s="320" t="str">
        <f t="shared" si="23"/>
        <v/>
      </c>
      <c r="CN46" s="320" t="str">
        <f t="shared" si="24"/>
        <v/>
      </c>
      <c r="CO46" s="320" t="str">
        <f t="shared" si="25"/>
        <v/>
      </c>
      <c r="CP46" s="227" t="str">
        <f t="shared" si="26"/>
        <v/>
      </c>
      <c r="CQ46" s="321" t="str">
        <f t="shared" si="27"/>
        <v/>
      </c>
      <c r="CR46" s="106" t="str">
        <f t="shared" si="28"/>
        <v/>
      </c>
      <c r="CS46" s="106" t="str">
        <f t="shared" si="29"/>
        <v/>
      </c>
      <c r="CT46" s="106" t="str">
        <f t="shared" si="30"/>
        <v>TIDAK</v>
      </c>
      <c r="CU46" s="106" t="str">
        <f t="shared" si="31"/>
        <v>TIDAK</v>
      </c>
      <c r="CV46" s="116" t="str">
        <f t="shared" si="32"/>
        <v/>
      </c>
      <c r="CW46" s="109" t="e">
        <f>IF(CI46="","",VLOOKUP(CI46,DATAPENG!$CF$3:$CG$12,2,FALSE))</f>
        <v>#N/A</v>
      </c>
      <c r="CX46" s="109" t="e">
        <f>IF(CJ46="","",VLOOKUP(CJ46,DATAPENG!$CF$3:$CG$12,2,FALSE))</f>
        <v>#N/A</v>
      </c>
    </row>
    <row r="47" spans="1:102">
      <c r="A47" s="105">
        <f>'DATA SISWA'!A47</f>
        <v>43</v>
      </c>
      <c r="B47" s="105">
        <f>'DATA SISWA'!B47</f>
        <v>0</v>
      </c>
      <c r="C47" s="105">
        <f>'DATA SISWA'!C47</f>
        <v>0</v>
      </c>
      <c r="D47" s="105">
        <f>'DATA SISWA'!D47</f>
        <v>0</v>
      </c>
      <c r="E47" s="105" t="str">
        <f>'DATA SISWA'!E47</f>
        <v>VII-J</v>
      </c>
      <c r="F47" s="101"/>
      <c r="G47" s="101"/>
      <c r="H47" s="101"/>
      <c r="I47" s="91"/>
      <c r="J47" s="308" t="str">
        <f t="shared" si="213"/>
        <v/>
      </c>
      <c r="K47" s="101"/>
      <c r="L47" s="101"/>
      <c r="M47" s="317" t="str">
        <f t="shared" si="214"/>
        <v/>
      </c>
      <c r="N47" s="101"/>
      <c r="O47" s="101"/>
      <c r="P47" s="101"/>
      <c r="Q47" s="91"/>
      <c r="R47" s="308" t="str">
        <f t="shared" si="215"/>
        <v/>
      </c>
      <c r="S47" s="101"/>
      <c r="T47" s="101"/>
      <c r="U47" s="317" t="str">
        <f t="shared" si="216"/>
        <v/>
      </c>
      <c r="V47" s="101"/>
      <c r="W47" s="101"/>
      <c r="X47" s="101"/>
      <c r="Y47" s="91"/>
      <c r="Z47" s="308" t="str">
        <f t="shared" si="217"/>
        <v/>
      </c>
      <c r="AA47" s="101"/>
      <c r="AB47" s="101"/>
      <c r="AC47" s="317" t="str">
        <f t="shared" si="218"/>
        <v/>
      </c>
      <c r="AD47" s="101"/>
      <c r="AE47" s="101"/>
      <c r="AF47" s="101"/>
      <c r="AG47" s="91"/>
      <c r="AH47" s="308" t="str">
        <f t="shared" si="219"/>
        <v/>
      </c>
      <c r="AI47" s="101"/>
      <c r="AJ47" s="101"/>
      <c r="AK47" s="317" t="str">
        <f t="shared" si="220"/>
        <v/>
      </c>
      <c r="AL47" s="101"/>
      <c r="AM47" s="101"/>
      <c r="AN47" s="101"/>
      <c r="AO47" s="91"/>
      <c r="AP47" s="308" t="str">
        <f t="shared" si="221"/>
        <v/>
      </c>
      <c r="AQ47" s="101"/>
      <c r="AR47" s="101"/>
      <c r="AS47" s="317" t="str">
        <f t="shared" si="222"/>
        <v/>
      </c>
      <c r="AT47" s="101"/>
      <c r="AU47" s="101"/>
      <c r="AV47" s="101"/>
      <c r="AW47" s="91"/>
      <c r="AX47" s="308" t="str">
        <f t="shared" si="223"/>
        <v/>
      </c>
      <c r="AY47" s="101"/>
      <c r="AZ47" s="101"/>
      <c r="BA47" s="317" t="str">
        <f t="shared" si="224"/>
        <v/>
      </c>
      <c r="BB47" s="101"/>
      <c r="BC47" s="101"/>
      <c r="BD47" s="101"/>
      <c r="BE47" s="91"/>
      <c r="BF47" s="308" t="str">
        <f t="shared" si="225"/>
        <v/>
      </c>
      <c r="BG47" s="101"/>
      <c r="BH47" s="101"/>
      <c r="BI47" s="317" t="str">
        <f t="shared" si="226"/>
        <v/>
      </c>
      <c r="BJ47" s="101"/>
      <c r="BK47" s="101"/>
      <c r="BL47" s="101"/>
      <c r="BM47" s="91"/>
      <c r="BN47" s="308" t="str">
        <f t="shared" si="227"/>
        <v/>
      </c>
      <c r="BO47" s="101"/>
      <c r="BP47" s="101"/>
      <c r="BQ47" s="317" t="str">
        <f t="shared" si="228"/>
        <v/>
      </c>
      <c r="BR47" s="101"/>
      <c r="BS47" s="101"/>
      <c r="BT47" s="101"/>
      <c r="BU47" s="91"/>
      <c r="BV47" s="308" t="str">
        <f t="shared" si="229"/>
        <v/>
      </c>
      <c r="BW47" s="101"/>
      <c r="BX47" s="101"/>
      <c r="BY47" s="317" t="str">
        <f t="shared" si="230"/>
        <v/>
      </c>
      <c r="BZ47" s="101"/>
      <c r="CA47" s="101"/>
      <c r="CB47" s="101"/>
      <c r="CC47" s="91"/>
      <c r="CD47" s="308" t="str">
        <f t="shared" si="231"/>
        <v/>
      </c>
      <c r="CE47" s="101"/>
      <c r="CF47" s="101"/>
      <c r="CG47" s="317" t="str">
        <f t="shared" si="232"/>
        <v/>
      </c>
      <c r="CH47" s="319" t="str">
        <f t="shared" si="0"/>
        <v/>
      </c>
      <c r="CI47" s="105">
        <f t="shared" si="1"/>
        <v>0</v>
      </c>
      <c r="CJ47" s="105">
        <f t="shared" si="2"/>
        <v>0</v>
      </c>
      <c r="CK47" s="101"/>
      <c r="CL47" s="101"/>
      <c r="CM47" s="320" t="str">
        <f t="shared" si="23"/>
        <v/>
      </c>
      <c r="CN47" s="320" t="str">
        <f t="shared" si="24"/>
        <v/>
      </c>
      <c r="CO47" s="320" t="str">
        <f t="shared" si="25"/>
        <v/>
      </c>
      <c r="CP47" s="227" t="str">
        <f t="shared" si="26"/>
        <v/>
      </c>
      <c r="CQ47" s="321" t="str">
        <f t="shared" si="27"/>
        <v/>
      </c>
      <c r="CR47" s="106" t="str">
        <f t="shared" si="28"/>
        <v/>
      </c>
      <c r="CS47" s="106" t="str">
        <f t="shared" si="29"/>
        <v/>
      </c>
      <c r="CT47" s="106" t="str">
        <f t="shared" si="30"/>
        <v>TIDAK</v>
      </c>
      <c r="CU47" s="106" t="str">
        <f t="shared" si="31"/>
        <v>TIDAK</v>
      </c>
      <c r="CV47" s="116" t="str">
        <f t="shared" si="32"/>
        <v/>
      </c>
      <c r="CW47" s="109" t="e">
        <f>IF(CI47="","",VLOOKUP(CI47,DATAPENG!$CH$3:$CI$12,2,FALSE))</f>
        <v>#N/A</v>
      </c>
      <c r="CX47" s="109" t="e">
        <f>IF(CJ47="","",VLOOKUP(CJ47,DATAPENG!$CH$3:$CI$12,2,FALSE))</f>
        <v>#N/A</v>
      </c>
    </row>
    <row r="48" spans="1:102">
      <c r="A48" s="105">
        <f>'DATA SISWA'!A48</f>
        <v>44</v>
      </c>
      <c r="B48" s="105">
        <f>'DATA SISWA'!B48</f>
        <v>0</v>
      </c>
      <c r="C48" s="105">
        <f>'DATA SISWA'!C48</f>
        <v>0</v>
      </c>
      <c r="D48" s="105">
        <f>'DATA SISWA'!D48</f>
        <v>0</v>
      </c>
      <c r="E48" s="105" t="str">
        <f>'DATA SISWA'!E48</f>
        <v>VII-J</v>
      </c>
      <c r="F48" s="101"/>
      <c r="G48" s="101"/>
      <c r="H48" s="101"/>
      <c r="I48" s="91"/>
      <c r="J48" s="308" t="str">
        <f t="shared" si="213"/>
        <v/>
      </c>
      <c r="K48" s="101"/>
      <c r="L48" s="101"/>
      <c r="M48" s="317" t="str">
        <f t="shared" si="214"/>
        <v/>
      </c>
      <c r="N48" s="101"/>
      <c r="O48" s="101"/>
      <c r="P48" s="101"/>
      <c r="Q48" s="91"/>
      <c r="R48" s="308" t="str">
        <f t="shared" si="215"/>
        <v/>
      </c>
      <c r="S48" s="101"/>
      <c r="T48" s="101"/>
      <c r="U48" s="317" t="str">
        <f t="shared" si="216"/>
        <v/>
      </c>
      <c r="V48" s="101"/>
      <c r="W48" s="101"/>
      <c r="X48" s="101"/>
      <c r="Y48" s="91"/>
      <c r="Z48" s="308" t="str">
        <f t="shared" si="217"/>
        <v/>
      </c>
      <c r="AA48" s="101"/>
      <c r="AB48" s="101"/>
      <c r="AC48" s="317" t="str">
        <f t="shared" si="218"/>
        <v/>
      </c>
      <c r="AD48" s="101"/>
      <c r="AE48" s="101"/>
      <c r="AF48" s="101"/>
      <c r="AG48" s="91"/>
      <c r="AH48" s="308" t="str">
        <f t="shared" si="219"/>
        <v/>
      </c>
      <c r="AI48" s="101"/>
      <c r="AJ48" s="101"/>
      <c r="AK48" s="317" t="str">
        <f t="shared" si="220"/>
        <v/>
      </c>
      <c r="AL48" s="101"/>
      <c r="AM48" s="101"/>
      <c r="AN48" s="101"/>
      <c r="AO48" s="91"/>
      <c r="AP48" s="308" t="str">
        <f t="shared" si="221"/>
        <v/>
      </c>
      <c r="AQ48" s="101"/>
      <c r="AR48" s="101"/>
      <c r="AS48" s="317" t="str">
        <f t="shared" si="222"/>
        <v/>
      </c>
      <c r="AT48" s="101"/>
      <c r="AU48" s="101"/>
      <c r="AV48" s="101"/>
      <c r="AW48" s="91"/>
      <c r="AX48" s="308" t="str">
        <f t="shared" si="223"/>
        <v/>
      </c>
      <c r="AY48" s="101"/>
      <c r="AZ48" s="101"/>
      <c r="BA48" s="317" t="str">
        <f t="shared" si="224"/>
        <v/>
      </c>
      <c r="BB48" s="101"/>
      <c r="BC48" s="101"/>
      <c r="BD48" s="101"/>
      <c r="BE48" s="91"/>
      <c r="BF48" s="308" t="str">
        <f t="shared" si="225"/>
        <v/>
      </c>
      <c r="BG48" s="101"/>
      <c r="BH48" s="101"/>
      <c r="BI48" s="317" t="str">
        <f t="shared" si="226"/>
        <v/>
      </c>
      <c r="BJ48" s="101"/>
      <c r="BK48" s="101"/>
      <c r="BL48" s="101"/>
      <c r="BM48" s="91"/>
      <c r="BN48" s="308" t="str">
        <f t="shared" si="227"/>
        <v/>
      </c>
      <c r="BO48" s="101"/>
      <c r="BP48" s="101"/>
      <c r="BQ48" s="317" t="str">
        <f t="shared" si="228"/>
        <v/>
      </c>
      <c r="BR48" s="101"/>
      <c r="BS48" s="101"/>
      <c r="BT48" s="101"/>
      <c r="BU48" s="91"/>
      <c r="BV48" s="308" t="str">
        <f t="shared" si="229"/>
        <v/>
      </c>
      <c r="BW48" s="101"/>
      <c r="BX48" s="101"/>
      <c r="BY48" s="317" t="str">
        <f t="shared" si="230"/>
        <v/>
      </c>
      <c r="BZ48" s="101"/>
      <c r="CA48" s="101"/>
      <c r="CB48" s="101"/>
      <c r="CC48" s="91"/>
      <c r="CD48" s="308" t="str">
        <f t="shared" si="231"/>
        <v/>
      </c>
      <c r="CE48" s="101"/>
      <c r="CF48" s="101"/>
      <c r="CG48" s="317" t="str">
        <f t="shared" si="232"/>
        <v/>
      </c>
      <c r="CH48" s="319" t="str">
        <f t="shared" si="0"/>
        <v/>
      </c>
      <c r="CI48" s="105">
        <f t="shared" si="1"/>
        <v>0</v>
      </c>
      <c r="CJ48" s="105">
        <f t="shared" si="2"/>
        <v>0</v>
      </c>
      <c r="CK48" s="101"/>
      <c r="CL48" s="101"/>
      <c r="CM48" s="320" t="str">
        <f t="shared" si="23"/>
        <v/>
      </c>
      <c r="CN48" s="320" t="str">
        <f t="shared" si="24"/>
        <v/>
      </c>
      <c r="CO48" s="320" t="str">
        <f t="shared" si="25"/>
        <v/>
      </c>
      <c r="CP48" s="227" t="str">
        <f t="shared" si="26"/>
        <v/>
      </c>
      <c r="CQ48" s="321" t="str">
        <f t="shared" si="27"/>
        <v/>
      </c>
      <c r="CR48" s="106" t="str">
        <f t="shared" si="28"/>
        <v/>
      </c>
      <c r="CS48" s="106" t="str">
        <f t="shared" si="29"/>
        <v/>
      </c>
      <c r="CT48" s="106" t="str">
        <f t="shared" si="30"/>
        <v>TIDAK</v>
      </c>
      <c r="CU48" s="106" t="str">
        <f t="shared" si="31"/>
        <v>TIDAK</v>
      </c>
      <c r="CV48" s="116" t="str">
        <f t="shared" si="32"/>
        <v/>
      </c>
      <c r="CW48" s="109" t="e">
        <f>IF(CI48="","",VLOOKUP(CI48,DATAPENG!$CJ$3:$CK$12,2,FALSE))</f>
        <v>#N/A</v>
      </c>
      <c r="CX48" s="109" t="e">
        <f>IF(CJ48="","",VLOOKUP(CJ48,DATAPENG!$CJ$3:$CK$12,2,FALSE))</f>
        <v>#N/A</v>
      </c>
    </row>
    <row r="49" spans="1:102">
      <c r="A49" s="105">
        <f>'DATA SISWA'!A49</f>
        <v>45</v>
      </c>
      <c r="B49" s="105">
        <f>'DATA SISWA'!B49</f>
        <v>0</v>
      </c>
      <c r="C49" s="105">
        <f>'DATA SISWA'!C49</f>
        <v>0</v>
      </c>
      <c r="D49" s="105">
        <f>'DATA SISWA'!D49</f>
        <v>0</v>
      </c>
      <c r="E49" s="105" t="str">
        <f>'DATA SISWA'!E49</f>
        <v>VII-J</v>
      </c>
      <c r="F49" s="101"/>
      <c r="G49" s="101"/>
      <c r="H49" s="101"/>
      <c r="I49" s="91"/>
      <c r="J49" s="308" t="str">
        <f>IF(AND(F49="",G49="",H49="",I49=""),"",AVERAGE(F49:I49))</f>
        <v/>
      </c>
      <c r="K49" s="101"/>
      <c r="L49" s="101"/>
      <c r="M49" s="317" t="str">
        <f>IF(AND(F49="",G49="",H49="",I49=""),"",IF(AND(K49="",L49=""),J49,IF(OR(L49="",K49="",L49&lt;=$CT$2),MAX(J49:L49),$CT$2)))</f>
        <v/>
      </c>
      <c r="N49" s="101"/>
      <c r="O49" s="101"/>
      <c r="P49" s="101"/>
      <c r="Q49" s="91"/>
      <c r="R49" s="308" t="str">
        <f>IF(AND(N49="",O49="",P49="",Q49=""),"",AVERAGE(N49:Q49))</f>
        <v/>
      </c>
      <c r="S49" s="101"/>
      <c r="T49" s="101"/>
      <c r="U49" s="317" t="str">
        <f>IF(AND(N49="",O49="",P49="",Q49=""),"",IF(AND(S49="",T49=""),R49,IF(OR(T49="",S49="",T49&lt;=$CT$2),MAX(R49:T49),$CT$2)))</f>
        <v/>
      </c>
      <c r="V49" s="101"/>
      <c r="W49" s="101"/>
      <c r="X49" s="101"/>
      <c r="Y49" s="91"/>
      <c r="Z49" s="308" t="str">
        <f>IF(AND(V49="",W49="",X49="",Y49=""),"",AVERAGE(V49:Y49))</f>
        <v/>
      </c>
      <c r="AA49" s="101"/>
      <c r="AB49" s="101"/>
      <c r="AC49" s="317" t="str">
        <f>IF(AND(V49="",W49="",X49="",Y49=""),"",IF(AND(AA49="",AB49=""),Z49,IF(OR(AB49="",AA49="",AB49&lt;=$CT$2),MAX(Z49:AB49),$CT$2)))</f>
        <v/>
      </c>
      <c r="AD49" s="101"/>
      <c r="AE49" s="101"/>
      <c r="AF49" s="101"/>
      <c r="AG49" s="91"/>
      <c r="AH49" s="308" t="str">
        <f>IF(AND(AD49="",AE49="",AF49="",AG49=""),"",AVERAGE(AD49:AG49))</f>
        <v/>
      </c>
      <c r="AI49" s="101"/>
      <c r="AJ49" s="101"/>
      <c r="AK49" s="317" t="str">
        <f>IF(AND(AD49="",AE49="",AF49="",AG49=""),"",IF(AND(AI49="",AJ49=""),AH49,IF(OR(AJ49="",AI49="",AJ49&lt;=$CT$2),MAX(AH49:AJ49),$CT$2)))</f>
        <v/>
      </c>
      <c r="AL49" s="101"/>
      <c r="AM49" s="101"/>
      <c r="AN49" s="101"/>
      <c r="AO49" s="91"/>
      <c r="AP49" s="308" t="str">
        <f>IF(AND(AL49="",AM49="",AN49="",AO49=""),"",AVERAGE(AL49:AO49))</f>
        <v/>
      </c>
      <c r="AQ49" s="101"/>
      <c r="AR49" s="101"/>
      <c r="AS49" s="317" t="str">
        <f>IF(AND(AL49="",AM49="",AN49="",AO49=""),"",IF(AND(AQ49="",AR49=""),AP49,IF(OR(AR49="",AQ49="",AR49&lt;=$CT$2),MAX(AP49:AR49),$CT$2)))</f>
        <v/>
      </c>
      <c r="AT49" s="101"/>
      <c r="AU49" s="101"/>
      <c r="AV49" s="101"/>
      <c r="AW49" s="91"/>
      <c r="AX49" s="308" t="str">
        <f>IF(AND(AT49="",AU49="",AV49="",AW49=""),"",AVERAGE(AT49:AW49))</f>
        <v/>
      </c>
      <c r="AY49" s="101"/>
      <c r="AZ49" s="101"/>
      <c r="BA49" s="317" t="str">
        <f>IF(AND(AT49="",AU49="",AV49="",AW49=""),"",IF(AND(AY49="",AZ49=""),AX49,IF(OR(AZ49="",AY49="",AZ49&lt;=$CT$2),MAX(AX49:AZ49),$CT$2)))</f>
        <v/>
      </c>
      <c r="BB49" s="101"/>
      <c r="BC49" s="101"/>
      <c r="BD49" s="101"/>
      <c r="BE49" s="91"/>
      <c r="BF49" s="308" t="str">
        <f>IF(AND(BB49="",BC49="",BD49="",BE49=""),"",AVERAGE(BB49:BE49))</f>
        <v/>
      </c>
      <c r="BG49" s="101"/>
      <c r="BH49" s="101"/>
      <c r="BI49" s="317" t="str">
        <f>IF(AND(BB49="",BC49="",BD49="",BE49=""),"",IF(AND(BG49="",BH49=""),BF49,IF(OR(BH49="",BG49="",BH49&lt;=$CT$2),MAX(BF49:BH49),$CT$2)))</f>
        <v/>
      </c>
      <c r="BJ49" s="101"/>
      <c r="BK49" s="101"/>
      <c r="BL49" s="101"/>
      <c r="BM49" s="91"/>
      <c r="BN49" s="308" t="str">
        <f>IF(AND(BJ49="",BK49="",BL49="",BM49=""),"",AVERAGE(BJ49:BM49))</f>
        <v/>
      </c>
      <c r="BO49" s="101"/>
      <c r="BP49" s="101"/>
      <c r="BQ49" s="317" t="str">
        <f>IF(AND(BJ49="",BK49="",BL49="",BM49=""),"",IF(AND(BO49="",BP49=""),BN49,IF(OR(BP49="",BO49="",BP49&lt;=$CT$2),MAX(BN49:BP49),$CT$2)))</f>
        <v/>
      </c>
      <c r="BR49" s="101"/>
      <c r="BS49" s="101"/>
      <c r="BT49" s="101"/>
      <c r="BU49" s="91"/>
      <c r="BV49" s="308" t="str">
        <f>IF(AND(BR49="",BS49="",BT49="",BU49=""),"",AVERAGE(BR49:BU49))</f>
        <v/>
      </c>
      <c r="BW49" s="101"/>
      <c r="BX49" s="101"/>
      <c r="BY49" s="317" t="str">
        <f>IF(AND(BR49="",BS49="",BT49="",BU49=""),"",IF(AND(BW49="",BX49=""),BV49,IF(OR(BX49="",BW49="",BX49&lt;=$CT$2),MAX(BV49:BX49),$CT$2)))</f>
        <v/>
      </c>
      <c r="BZ49" s="101"/>
      <c r="CA49" s="101"/>
      <c r="CB49" s="101"/>
      <c r="CC49" s="91"/>
      <c r="CD49" s="308" t="str">
        <f>IF(AND(BZ49="",CA49="",CB49="",CC49=""),"",AVERAGE(BZ49:CC49))</f>
        <v/>
      </c>
      <c r="CE49" s="101"/>
      <c r="CF49" s="101"/>
      <c r="CG49" s="317" t="str">
        <f>IF(AND(BZ49="",CA49="",CB49="",CC49=""),"",IF(AND(CE49="",CF49=""),CD49,IF(OR(CF49="",CE49="",CF49&lt;=$CT$2),MAX(CD49:CF49),$CT$2)))</f>
        <v/>
      </c>
      <c r="CH49" s="319" t="str">
        <f t="shared" si="0"/>
        <v/>
      </c>
      <c r="CI49" s="105">
        <f t="shared" si="1"/>
        <v>0</v>
      </c>
      <c r="CJ49" s="105">
        <f t="shared" si="2"/>
        <v>0</v>
      </c>
      <c r="CK49" s="101"/>
      <c r="CL49" s="101"/>
      <c r="CM49" s="320" t="str">
        <f t="shared" si="23"/>
        <v/>
      </c>
      <c r="CN49" s="320" t="str">
        <f t="shared" si="24"/>
        <v/>
      </c>
      <c r="CO49" s="320" t="str">
        <f t="shared" si="25"/>
        <v/>
      </c>
      <c r="CP49" s="227" t="str">
        <f t="shared" si="26"/>
        <v/>
      </c>
      <c r="CQ49" s="321" t="str">
        <f t="shared" si="27"/>
        <v/>
      </c>
      <c r="CR49" s="106" t="str">
        <f t="shared" si="28"/>
        <v/>
      </c>
      <c r="CS49" s="106" t="str">
        <f t="shared" si="29"/>
        <v/>
      </c>
      <c r="CT49" s="106" t="str">
        <f t="shared" si="30"/>
        <v>TIDAK</v>
      </c>
      <c r="CU49" s="106" t="str">
        <f t="shared" si="31"/>
        <v>TIDAK</v>
      </c>
      <c r="CV49" s="116" t="str">
        <f t="shared" si="32"/>
        <v/>
      </c>
      <c r="CW49" s="109" t="e">
        <f>IF(CI49="","",VLOOKUP(CI49,DATAPENG!$CL$3:$CM$12,2,FALSE))</f>
        <v>#N/A</v>
      </c>
      <c r="CX49" s="109" t="e">
        <f>IF(CJ49="","",VLOOKUP(CJ49,DATAPENG!$CL$3:$CM$12,2,FALSE))</f>
        <v>#N/A</v>
      </c>
    </row>
    <row r="50" spans="1:102">
      <c r="A50" s="105">
        <f>'DATA SISWA'!A50</f>
        <v>46</v>
      </c>
      <c r="B50" s="105">
        <f>'DATA SISWA'!B50</f>
        <v>0</v>
      </c>
      <c r="C50" s="105">
        <f>'DATA SISWA'!C50</f>
        <v>0</v>
      </c>
      <c r="D50" s="105">
        <f>'DATA SISWA'!D50</f>
        <v>0</v>
      </c>
      <c r="E50" s="105" t="str">
        <f>'DATA SISWA'!E50</f>
        <v>VII-J</v>
      </c>
      <c r="F50" s="101"/>
      <c r="G50" s="101"/>
      <c r="H50" s="101"/>
      <c r="I50" s="91"/>
      <c r="J50" s="308" t="str">
        <f t="shared" ref="J50:J52" si="233">IF(AND(F50="",G50="",H50="",I50=""),"",AVERAGE(F50:I50))</f>
        <v/>
      </c>
      <c r="K50" s="101"/>
      <c r="L50" s="101"/>
      <c r="M50" s="317" t="str">
        <f t="shared" ref="M50:M52" si="234">IF(AND(F50="",G50="",H50="",I50=""),"",IF(AND(K50="",L50=""),J50,IF(OR(L50="",K50="",L50&lt;=$CT$2),MAX(J50:L50),$CT$2)))</f>
        <v/>
      </c>
      <c r="N50" s="101"/>
      <c r="O50" s="101"/>
      <c r="P50" s="101"/>
      <c r="Q50" s="91"/>
      <c r="R50" s="308" t="str">
        <f t="shared" ref="R50:R52" si="235">IF(AND(N50="",O50="",P50="",Q50=""),"",AVERAGE(N50:Q50))</f>
        <v/>
      </c>
      <c r="S50" s="101"/>
      <c r="T50" s="101"/>
      <c r="U50" s="317" t="str">
        <f t="shared" ref="U50:U52" si="236">IF(AND(N50="",O50="",P50="",Q50=""),"",IF(AND(S50="",T50=""),R50,IF(OR(T50="",S50="",T50&lt;=$CT$2),MAX(R50:T50),$CT$2)))</f>
        <v/>
      </c>
      <c r="V50" s="101"/>
      <c r="W50" s="101"/>
      <c r="X50" s="101"/>
      <c r="Y50" s="91"/>
      <c r="Z50" s="308" t="str">
        <f t="shared" ref="Z50:Z52" si="237">IF(AND(V50="",W50="",X50="",Y50=""),"",AVERAGE(V50:Y50))</f>
        <v/>
      </c>
      <c r="AA50" s="101"/>
      <c r="AB50" s="101"/>
      <c r="AC50" s="317" t="str">
        <f t="shared" ref="AC50:AC52" si="238">IF(AND(V50="",W50="",X50="",Y50=""),"",IF(AND(AA50="",AB50=""),Z50,IF(OR(AB50="",AA50="",AB50&lt;=$CT$2),MAX(Z50:AB50),$CT$2)))</f>
        <v/>
      </c>
      <c r="AD50" s="101"/>
      <c r="AE50" s="101"/>
      <c r="AF50" s="101"/>
      <c r="AG50" s="91"/>
      <c r="AH50" s="308" t="str">
        <f t="shared" ref="AH50:AH52" si="239">IF(AND(AD50="",AE50="",AF50="",AG50=""),"",AVERAGE(AD50:AG50))</f>
        <v/>
      </c>
      <c r="AI50" s="101"/>
      <c r="AJ50" s="101"/>
      <c r="AK50" s="317" t="str">
        <f t="shared" ref="AK50:AK52" si="240">IF(AND(AD50="",AE50="",AF50="",AG50=""),"",IF(AND(AI50="",AJ50=""),AH50,IF(OR(AJ50="",AI50="",AJ50&lt;=$CT$2),MAX(AH50:AJ50),$CT$2)))</f>
        <v/>
      </c>
      <c r="AL50" s="101"/>
      <c r="AM50" s="101"/>
      <c r="AN50" s="101"/>
      <c r="AO50" s="91"/>
      <c r="AP50" s="308" t="str">
        <f t="shared" ref="AP50:AP52" si="241">IF(AND(AL50="",AM50="",AN50="",AO50=""),"",AVERAGE(AL50:AO50))</f>
        <v/>
      </c>
      <c r="AQ50" s="101"/>
      <c r="AR50" s="101"/>
      <c r="AS50" s="317" t="str">
        <f t="shared" ref="AS50:AS52" si="242">IF(AND(AL50="",AM50="",AN50="",AO50=""),"",IF(AND(AQ50="",AR50=""),AP50,IF(OR(AR50="",AQ50="",AR50&lt;=$CT$2),MAX(AP50:AR50),$CT$2)))</f>
        <v/>
      </c>
      <c r="AT50" s="101"/>
      <c r="AU50" s="101"/>
      <c r="AV50" s="101"/>
      <c r="AW50" s="91"/>
      <c r="AX50" s="308" t="str">
        <f t="shared" ref="AX50:AX52" si="243">IF(AND(AT50="",AU50="",AV50="",AW50=""),"",AVERAGE(AT50:AW50))</f>
        <v/>
      </c>
      <c r="AY50" s="101"/>
      <c r="AZ50" s="101"/>
      <c r="BA50" s="317" t="str">
        <f t="shared" ref="BA50:BA52" si="244">IF(AND(AT50="",AU50="",AV50="",AW50=""),"",IF(AND(AY50="",AZ50=""),AX50,IF(OR(AZ50="",AY50="",AZ50&lt;=$CT$2),MAX(AX50:AZ50),$CT$2)))</f>
        <v/>
      </c>
      <c r="BB50" s="101"/>
      <c r="BC50" s="101"/>
      <c r="BD50" s="101"/>
      <c r="BE50" s="91"/>
      <c r="BF50" s="308" t="str">
        <f t="shared" ref="BF50:BF52" si="245">IF(AND(BB50="",BC50="",BD50="",BE50=""),"",AVERAGE(BB50:BE50))</f>
        <v/>
      </c>
      <c r="BG50" s="101"/>
      <c r="BH50" s="101"/>
      <c r="BI50" s="317" t="str">
        <f t="shared" ref="BI50:BI52" si="246">IF(AND(BB50="",BC50="",BD50="",BE50=""),"",IF(AND(BG50="",BH50=""),BF50,IF(OR(BH50="",BG50="",BH50&lt;=$CT$2),MAX(BF50:BH50),$CT$2)))</f>
        <v/>
      </c>
      <c r="BJ50" s="101"/>
      <c r="BK50" s="101"/>
      <c r="BL50" s="101"/>
      <c r="BM50" s="91"/>
      <c r="BN50" s="308" t="str">
        <f t="shared" ref="BN50:BN52" si="247">IF(AND(BJ50="",BK50="",BL50="",BM50=""),"",AVERAGE(BJ50:BM50))</f>
        <v/>
      </c>
      <c r="BO50" s="101"/>
      <c r="BP50" s="101"/>
      <c r="BQ50" s="317" t="str">
        <f t="shared" ref="BQ50:BQ52" si="248">IF(AND(BJ50="",BK50="",BL50="",BM50=""),"",IF(AND(BO50="",BP50=""),BN50,IF(OR(BP50="",BO50="",BP50&lt;=$CT$2),MAX(BN50:BP50),$CT$2)))</f>
        <v/>
      </c>
      <c r="BR50" s="101"/>
      <c r="BS50" s="101"/>
      <c r="BT50" s="101"/>
      <c r="BU50" s="91"/>
      <c r="BV50" s="308" t="str">
        <f t="shared" ref="BV50:BV52" si="249">IF(AND(BR50="",BS50="",BT50="",BU50=""),"",AVERAGE(BR50:BU50))</f>
        <v/>
      </c>
      <c r="BW50" s="101"/>
      <c r="BX50" s="101"/>
      <c r="BY50" s="317" t="str">
        <f t="shared" ref="BY50:BY52" si="250">IF(AND(BR50="",BS50="",BT50="",BU50=""),"",IF(AND(BW50="",BX50=""),BV50,IF(OR(BX50="",BW50="",BX50&lt;=$CT$2),MAX(BV50:BX50),$CT$2)))</f>
        <v/>
      </c>
      <c r="BZ50" s="101"/>
      <c r="CA50" s="101"/>
      <c r="CB50" s="101"/>
      <c r="CC50" s="91"/>
      <c r="CD50" s="308" t="str">
        <f t="shared" ref="CD50:CD52" si="251">IF(AND(BZ50="",CA50="",CB50="",CC50=""),"",AVERAGE(BZ50:CC50))</f>
        <v/>
      </c>
      <c r="CE50" s="101"/>
      <c r="CF50" s="101"/>
      <c r="CG50" s="317" t="str">
        <f t="shared" ref="CG50:CG52" si="252">IF(AND(BZ50="",CA50="",CB50="",CC50=""),"",IF(AND(CE50="",CF50=""),CD50,IF(OR(CF50="",CE50="",CF50&lt;=$CT$2),MAX(CD50:CF50),$CT$2)))</f>
        <v/>
      </c>
      <c r="CH50" s="319" t="str">
        <f t="shared" si="0"/>
        <v/>
      </c>
      <c r="CI50" s="105">
        <f t="shared" si="1"/>
        <v>0</v>
      </c>
      <c r="CJ50" s="105">
        <f t="shared" si="2"/>
        <v>0</v>
      </c>
      <c r="CK50" s="101"/>
      <c r="CL50" s="101"/>
      <c r="CM50" s="320" t="str">
        <f t="shared" si="23"/>
        <v/>
      </c>
      <c r="CN50" s="320" t="str">
        <f t="shared" si="24"/>
        <v/>
      </c>
      <c r="CO50" s="320" t="str">
        <f t="shared" si="25"/>
        <v/>
      </c>
      <c r="CP50" s="227" t="str">
        <f t="shared" si="26"/>
        <v/>
      </c>
      <c r="CQ50" s="321" t="str">
        <f t="shared" si="27"/>
        <v/>
      </c>
      <c r="CR50" s="106" t="str">
        <f t="shared" si="28"/>
        <v/>
      </c>
      <c r="CS50" s="106" t="str">
        <f t="shared" si="29"/>
        <v/>
      </c>
      <c r="CT50" s="106" t="str">
        <f t="shared" si="30"/>
        <v>TIDAK</v>
      </c>
      <c r="CU50" s="106" t="str">
        <f t="shared" si="31"/>
        <v>TIDAK</v>
      </c>
      <c r="CV50" s="116" t="str">
        <f t="shared" si="32"/>
        <v/>
      </c>
      <c r="CW50" s="109" t="e">
        <f>IF(CI50="","",VLOOKUP(CI50,DATAPENG!$CN$3:$CO$12,2,FALSE))</f>
        <v>#N/A</v>
      </c>
      <c r="CX50" s="109" t="e">
        <f>IF(CJ50="","",VLOOKUP(CJ50,DATAPENG!$CN$3:$CO$12,2,FALSE))</f>
        <v>#N/A</v>
      </c>
    </row>
    <row r="51" spans="1:102">
      <c r="A51" s="105">
        <f>'DATA SISWA'!A51</f>
        <v>47</v>
      </c>
      <c r="B51" s="105">
        <f>'DATA SISWA'!B51</f>
        <v>0</v>
      </c>
      <c r="C51" s="105">
        <f>'DATA SISWA'!C51</f>
        <v>0</v>
      </c>
      <c r="D51" s="105">
        <f>'DATA SISWA'!D51</f>
        <v>0</v>
      </c>
      <c r="E51" s="105" t="str">
        <f>'DATA SISWA'!E51</f>
        <v>VII-J</v>
      </c>
      <c r="F51" s="101"/>
      <c r="G51" s="101"/>
      <c r="H51" s="101"/>
      <c r="I51" s="91"/>
      <c r="J51" s="308" t="str">
        <f t="shared" si="233"/>
        <v/>
      </c>
      <c r="K51" s="101"/>
      <c r="L51" s="101"/>
      <c r="M51" s="317" t="str">
        <f t="shared" si="234"/>
        <v/>
      </c>
      <c r="N51" s="101"/>
      <c r="O51" s="101"/>
      <c r="P51" s="101"/>
      <c r="Q51" s="91"/>
      <c r="R51" s="308" t="str">
        <f t="shared" si="235"/>
        <v/>
      </c>
      <c r="S51" s="101"/>
      <c r="T51" s="101"/>
      <c r="U51" s="317" t="str">
        <f t="shared" si="236"/>
        <v/>
      </c>
      <c r="V51" s="101"/>
      <c r="W51" s="101"/>
      <c r="X51" s="101"/>
      <c r="Y51" s="91"/>
      <c r="Z51" s="308" t="str">
        <f t="shared" si="237"/>
        <v/>
      </c>
      <c r="AA51" s="101"/>
      <c r="AB51" s="101"/>
      <c r="AC51" s="317" t="str">
        <f t="shared" si="238"/>
        <v/>
      </c>
      <c r="AD51" s="101"/>
      <c r="AE51" s="101"/>
      <c r="AF51" s="101"/>
      <c r="AG51" s="91"/>
      <c r="AH51" s="308" t="str">
        <f t="shared" si="239"/>
        <v/>
      </c>
      <c r="AI51" s="101"/>
      <c r="AJ51" s="101"/>
      <c r="AK51" s="317" t="str">
        <f t="shared" si="240"/>
        <v/>
      </c>
      <c r="AL51" s="101"/>
      <c r="AM51" s="101"/>
      <c r="AN51" s="101"/>
      <c r="AO51" s="91"/>
      <c r="AP51" s="308" t="str">
        <f t="shared" si="241"/>
        <v/>
      </c>
      <c r="AQ51" s="101"/>
      <c r="AR51" s="101"/>
      <c r="AS51" s="317" t="str">
        <f t="shared" si="242"/>
        <v/>
      </c>
      <c r="AT51" s="101"/>
      <c r="AU51" s="101"/>
      <c r="AV51" s="101"/>
      <c r="AW51" s="91"/>
      <c r="AX51" s="308" t="str">
        <f t="shared" si="243"/>
        <v/>
      </c>
      <c r="AY51" s="101"/>
      <c r="AZ51" s="101"/>
      <c r="BA51" s="317" t="str">
        <f t="shared" si="244"/>
        <v/>
      </c>
      <c r="BB51" s="101"/>
      <c r="BC51" s="101"/>
      <c r="BD51" s="101"/>
      <c r="BE51" s="91"/>
      <c r="BF51" s="308" t="str">
        <f t="shared" si="245"/>
        <v/>
      </c>
      <c r="BG51" s="101"/>
      <c r="BH51" s="101"/>
      <c r="BI51" s="317" t="str">
        <f t="shared" si="246"/>
        <v/>
      </c>
      <c r="BJ51" s="101"/>
      <c r="BK51" s="101"/>
      <c r="BL51" s="101"/>
      <c r="BM51" s="91"/>
      <c r="BN51" s="308" t="str">
        <f t="shared" si="247"/>
        <v/>
      </c>
      <c r="BO51" s="101"/>
      <c r="BP51" s="101"/>
      <c r="BQ51" s="317" t="str">
        <f t="shared" si="248"/>
        <v/>
      </c>
      <c r="BR51" s="101"/>
      <c r="BS51" s="101"/>
      <c r="BT51" s="101"/>
      <c r="BU51" s="91"/>
      <c r="BV51" s="308" t="str">
        <f t="shared" si="249"/>
        <v/>
      </c>
      <c r="BW51" s="101"/>
      <c r="BX51" s="101"/>
      <c r="BY51" s="317" t="str">
        <f t="shared" si="250"/>
        <v/>
      </c>
      <c r="BZ51" s="101"/>
      <c r="CA51" s="101"/>
      <c r="CB51" s="101"/>
      <c r="CC51" s="91"/>
      <c r="CD51" s="308" t="str">
        <f t="shared" si="251"/>
        <v/>
      </c>
      <c r="CE51" s="101"/>
      <c r="CF51" s="101"/>
      <c r="CG51" s="317" t="str">
        <f t="shared" si="252"/>
        <v/>
      </c>
      <c r="CH51" s="319" t="str">
        <f t="shared" si="0"/>
        <v/>
      </c>
      <c r="CI51" s="105">
        <f t="shared" si="1"/>
        <v>0</v>
      </c>
      <c r="CJ51" s="105">
        <f t="shared" si="2"/>
        <v>0</v>
      </c>
      <c r="CK51" s="101"/>
      <c r="CL51" s="101"/>
      <c r="CM51" s="320" t="str">
        <f t="shared" si="23"/>
        <v/>
      </c>
      <c r="CN51" s="320" t="str">
        <f t="shared" si="24"/>
        <v/>
      </c>
      <c r="CO51" s="320" t="str">
        <f t="shared" si="25"/>
        <v/>
      </c>
      <c r="CP51" s="227" t="str">
        <f t="shared" si="26"/>
        <v/>
      </c>
      <c r="CQ51" s="321" t="str">
        <f t="shared" si="27"/>
        <v/>
      </c>
      <c r="CR51" s="106" t="str">
        <f t="shared" si="28"/>
        <v/>
      </c>
      <c r="CS51" s="106" t="str">
        <f t="shared" si="29"/>
        <v/>
      </c>
      <c r="CT51" s="106" t="str">
        <f t="shared" si="30"/>
        <v>TIDAK</v>
      </c>
      <c r="CU51" s="106" t="str">
        <f t="shared" si="31"/>
        <v>TIDAK</v>
      </c>
      <c r="CV51" s="116" t="str">
        <f t="shared" si="32"/>
        <v/>
      </c>
      <c r="CW51" s="109" t="e">
        <f>IF(CI51="","",VLOOKUP(CI51,DATAPENG!$CP$3:$CQ$12,2,FALSE))</f>
        <v>#N/A</v>
      </c>
      <c r="CX51" s="109" t="e">
        <f>IF(CJ51="","",VLOOKUP(CJ51,DATAPENG!$CP$3:$CQ$12,2,FALSE))</f>
        <v>#N/A</v>
      </c>
    </row>
    <row r="52" spans="1:102">
      <c r="A52" s="105">
        <f>'DATA SISWA'!A52</f>
        <v>48</v>
      </c>
      <c r="B52" s="105">
        <f>'DATA SISWA'!B52</f>
        <v>0</v>
      </c>
      <c r="C52" s="105">
        <f>'DATA SISWA'!C52</f>
        <v>0</v>
      </c>
      <c r="D52" s="105">
        <f>'DATA SISWA'!D52</f>
        <v>0</v>
      </c>
      <c r="E52" s="105" t="str">
        <f>'DATA SISWA'!E52</f>
        <v>VII-J</v>
      </c>
      <c r="F52" s="101"/>
      <c r="G52" s="101"/>
      <c r="H52" s="101"/>
      <c r="I52" s="91"/>
      <c r="J52" s="308" t="str">
        <f t="shared" si="233"/>
        <v/>
      </c>
      <c r="K52" s="101"/>
      <c r="L52" s="101"/>
      <c r="M52" s="317" t="str">
        <f t="shared" si="234"/>
        <v/>
      </c>
      <c r="N52" s="101"/>
      <c r="O52" s="101"/>
      <c r="P52" s="101"/>
      <c r="Q52" s="91"/>
      <c r="R52" s="308" t="str">
        <f t="shared" si="235"/>
        <v/>
      </c>
      <c r="S52" s="101"/>
      <c r="T52" s="101"/>
      <c r="U52" s="317" t="str">
        <f t="shared" si="236"/>
        <v/>
      </c>
      <c r="V52" s="101"/>
      <c r="W52" s="101"/>
      <c r="X52" s="101"/>
      <c r="Y52" s="91"/>
      <c r="Z52" s="308" t="str">
        <f t="shared" si="237"/>
        <v/>
      </c>
      <c r="AA52" s="101"/>
      <c r="AB52" s="101"/>
      <c r="AC52" s="317" t="str">
        <f t="shared" si="238"/>
        <v/>
      </c>
      <c r="AD52" s="101"/>
      <c r="AE52" s="101"/>
      <c r="AF52" s="101"/>
      <c r="AG52" s="91"/>
      <c r="AH52" s="308" t="str">
        <f t="shared" si="239"/>
        <v/>
      </c>
      <c r="AI52" s="101"/>
      <c r="AJ52" s="101"/>
      <c r="AK52" s="317" t="str">
        <f t="shared" si="240"/>
        <v/>
      </c>
      <c r="AL52" s="101"/>
      <c r="AM52" s="101"/>
      <c r="AN52" s="101"/>
      <c r="AO52" s="91"/>
      <c r="AP52" s="308" t="str">
        <f t="shared" si="241"/>
        <v/>
      </c>
      <c r="AQ52" s="101"/>
      <c r="AR52" s="101"/>
      <c r="AS52" s="317" t="str">
        <f t="shared" si="242"/>
        <v/>
      </c>
      <c r="AT52" s="101"/>
      <c r="AU52" s="101"/>
      <c r="AV52" s="101"/>
      <c r="AW52" s="91"/>
      <c r="AX52" s="308" t="str">
        <f t="shared" si="243"/>
        <v/>
      </c>
      <c r="AY52" s="101"/>
      <c r="AZ52" s="101"/>
      <c r="BA52" s="317" t="str">
        <f t="shared" si="244"/>
        <v/>
      </c>
      <c r="BB52" s="101"/>
      <c r="BC52" s="101"/>
      <c r="BD52" s="101"/>
      <c r="BE52" s="91"/>
      <c r="BF52" s="308" t="str">
        <f t="shared" si="245"/>
        <v/>
      </c>
      <c r="BG52" s="101"/>
      <c r="BH52" s="101"/>
      <c r="BI52" s="317" t="str">
        <f t="shared" si="246"/>
        <v/>
      </c>
      <c r="BJ52" s="101"/>
      <c r="BK52" s="101"/>
      <c r="BL52" s="101"/>
      <c r="BM52" s="91"/>
      <c r="BN52" s="308" t="str">
        <f t="shared" si="247"/>
        <v/>
      </c>
      <c r="BO52" s="101"/>
      <c r="BP52" s="101"/>
      <c r="BQ52" s="317" t="str">
        <f t="shared" si="248"/>
        <v/>
      </c>
      <c r="BR52" s="101"/>
      <c r="BS52" s="101"/>
      <c r="BT52" s="101"/>
      <c r="BU52" s="91"/>
      <c r="BV52" s="308" t="str">
        <f t="shared" si="249"/>
        <v/>
      </c>
      <c r="BW52" s="101"/>
      <c r="BX52" s="101"/>
      <c r="BY52" s="317" t="str">
        <f t="shared" si="250"/>
        <v/>
      </c>
      <c r="BZ52" s="101"/>
      <c r="CA52" s="101"/>
      <c r="CB52" s="101"/>
      <c r="CC52" s="91"/>
      <c r="CD52" s="308" t="str">
        <f t="shared" si="251"/>
        <v/>
      </c>
      <c r="CE52" s="101"/>
      <c r="CF52" s="101"/>
      <c r="CG52" s="317" t="str">
        <f t="shared" si="252"/>
        <v/>
      </c>
      <c r="CH52" s="319" t="str">
        <f t="shared" si="0"/>
        <v/>
      </c>
      <c r="CI52" s="105">
        <f t="shared" si="1"/>
        <v>0</v>
      </c>
      <c r="CJ52" s="105">
        <f t="shared" si="2"/>
        <v>0</v>
      </c>
      <c r="CK52" s="101"/>
      <c r="CL52" s="101"/>
      <c r="CM52" s="320" t="str">
        <f t="shared" si="23"/>
        <v/>
      </c>
      <c r="CN52" s="320" t="str">
        <f t="shared" si="24"/>
        <v/>
      </c>
      <c r="CO52" s="320" t="str">
        <f t="shared" si="25"/>
        <v/>
      </c>
      <c r="CP52" s="227" t="str">
        <f t="shared" si="26"/>
        <v/>
      </c>
      <c r="CQ52" s="321" t="str">
        <f t="shared" si="27"/>
        <v/>
      </c>
      <c r="CR52" s="106" t="str">
        <f t="shared" si="28"/>
        <v/>
      </c>
      <c r="CS52" s="106" t="str">
        <f t="shared" si="29"/>
        <v/>
      </c>
      <c r="CT52" s="106" t="str">
        <f t="shared" si="30"/>
        <v>TIDAK</v>
      </c>
      <c r="CU52" s="106" t="str">
        <f t="shared" si="31"/>
        <v>TIDAK</v>
      </c>
      <c r="CV52" s="116" t="str">
        <f t="shared" si="32"/>
        <v/>
      </c>
      <c r="CW52" s="109" t="e">
        <f>IF(CI52="","",VLOOKUP(CI52,DATAPENG!$CR$3:$CS$12,2,FALSE))</f>
        <v>#N/A</v>
      </c>
      <c r="CX52" s="109" t="e">
        <f>IF(CJ52="","",VLOOKUP(CJ52,DATAPENG!$CR$3:$CS$12,2,FALSE))</f>
        <v>#N/A</v>
      </c>
    </row>
    <row r="53" spans="1:102">
      <c r="CW53" s="225"/>
    </row>
  </sheetData>
  <sheetProtection password="CC9A" sheet="1" objects="1" scenarios="1" formatCells="0" formatColumns="0" formatRows="0" insertColumns="0" insertRows="0" insertHyperlinks="0" deleteColumns="0" deleteRows="0" sort="0"/>
  <mergeCells count="50">
    <mergeCell ref="CI1:CI3"/>
    <mergeCell ref="CP1:CP3"/>
    <mergeCell ref="CR1:CR3"/>
    <mergeCell ref="CV1:CV3"/>
    <mergeCell ref="CT2:CU2"/>
    <mergeCell ref="CT1:CU1"/>
    <mergeCell ref="CS1:CS3"/>
    <mergeCell ref="CQ1:CQ3"/>
    <mergeCell ref="CM1:CO1"/>
    <mergeCell ref="CX1:CX3"/>
    <mergeCell ref="CW1:CW3"/>
    <mergeCell ref="A1:A3"/>
    <mergeCell ref="B1:B3"/>
    <mergeCell ref="E1:E3"/>
    <mergeCell ref="BB1:BH1"/>
    <mergeCell ref="BI1:BI3"/>
    <mergeCell ref="BB2:BH2"/>
    <mergeCell ref="C1:C3"/>
    <mergeCell ref="D1:D3"/>
    <mergeCell ref="F1:L1"/>
    <mergeCell ref="N1:T1"/>
    <mergeCell ref="N2:T2"/>
    <mergeCell ref="U1:U3"/>
    <mergeCell ref="V1:AB1"/>
    <mergeCell ref="AC1:AC3"/>
    <mergeCell ref="F2:L2"/>
    <mergeCell ref="CL1:CL3"/>
    <mergeCell ref="AL1:AR1"/>
    <mergeCell ref="AS1:AS3"/>
    <mergeCell ref="AL2:AR2"/>
    <mergeCell ref="CH1:CH3"/>
    <mergeCell ref="BJ1:BP1"/>
    <mergeCell ref="BA1:BA3"/>
    <mergeCell ref="BQ1:BQ3"/>
    <mergeCell ref="BJ2:BP2"/>
    <mergeCell ref="CK2:CK3"/>
    <mergeCell ref="BR1:BX1"/>
    <mergeCell ref="BY1:BY3"/>
    <mergeCell ref="BR2:BX2"/>
    <mergeCell ref="BZ1:CF1"/>
    <mergeCell ref="CJ1:CJ3"/>
    <mergeCell ref="CG1:CG3"/>
    <mergeCell ref="BZ2:CF2"/>
    <mergeCell ref="M1:M3"/>
    <mergeCell ref="AD1:AJ1"/>
    <mergeCell ref="AK1:AK3"/>
    <mergeCell ref="AD2:AJ2"/>
    <mergeCell ref="AT1:AZ1"/>
    <mergeCell ref="AT2:AZ2"/>
    <mergeCell ref="V2:AB2"/>
  </mergeCells>
  <dataValidations count="1">
    <dataValidation type="whole" allowBlank="1" showInputMessage="1" showErrorMessage="1" sqref="BW5:BX52 BO5:BP52 BG5:BH52 AY5:AZ52 AQ5:AR52 AA5:AB52 AI5:AJ52 S5:T52 K5:L52 BR5:BT52 F5:H52 N5:P52 V5:X52 AL5:AN52 AD5:AF52 AT5:AV52 BB5:BD52 BJ5:BL52 CE5:CF52 BZ5:CB52">
      <formula1>0</formula1>
      <formula2>100</formula2>
    </dataValidation>
  </dataValidations>
  <pageMargins left="0.7" right="0.7" top="0.75" bottom="0.75" header="0.3" footer="0.3"/>
  <pageSetup paperSize="9" orientation="portrait" horizontalDpi="300" verticalDpi="300" r:id="rId1"/>
  <drawing r:id="rId2"/>
  <legacyDrawing r:id="rId3"/>
</worksheet>
</file>

<file path=xl/worksheets/sheet10.xml><?xml version="1.0" encoding="utf-8"?>
<worksheet xmlns="http://schemas.openxmlformats.org/spreadsheetml/2006/main" xmlns:r="http://schemas.openxmlformats.org/officeDocument/2006/relationships">
  <sheetPr codeName="Sheet25"/>
  <dimension ref="A1:CS25"/>
  <sheetViews>
    <sheetView topLeftCell="CD1" zoomScale="90" zoomScaleNormal="90" workbookViewId="0">
      <selection activeCell="CQ13" sqref="A1:XFD1048576"/>
    </sheetView>
  </sheetViews>
  <sheetFormatPr defaultRowHeight="15"/>
  <cols>
    <col min="1" max="2" width="9.140625" style="42"/>
    <col min="3" max="3" width="13.85546875" style="42" customWidth="1"/>
    <col min="4" max="16384" width="9.140625" style="42"/>
  </cols>
  <sheetData>
    <row r="1" spans="1:97">
      <c r="A1" s="72"/>
      <c r="B1" s="592" t="s">
        <v>331</v>
      </c>
      <c r="C1" s="592"/>
      <c r="D1" s="592" t="s">
        <v>356</v>
      </c>
      <c r="E1" s="592"/>
      <c r="F1" s="592" t="s">
        <v>357</v>
      </c>
      <c r="G1" s="592"/>
      <c r="H1" s="592" t="s">
        <v>358</v>
      </c>
      <c r="I1" s="592"/>
      <c r="J1" s="592" t="s">
        <v>359</v>
      </c>
      <c r="K1" s="592"/>
      <c r="L1" s="592" t="s">
        <v>360</v>
      </c>
      <c r="M1" s="592"/>
      <c r="N1" s="592" t="s">
        <v>361</v>
      </c>
      <c r="O1" s="592"/>
      <c r="P1" s="592" t="s">
        <v>362</v>
      </c>
      <c r="Q1" s="592"/>
      <c r="R1" s="592" t="s">
        <v>363</v>
      </c>
      <c r="S1" s="592"/>
      <c r="T1" s="592" t="s">
        <v>364</v>
      </c>
      <c r="U1" s="592"/>
      <c r="V1" s="592" t="s">
        <v>365</v>
      </c>
      <c r="W1" s="592"/>
      <c r="X1" s="592" t="s">
        <v>366</v>
      </c>
      <c r="Y1" s="592"/>
      <c r="Z1" s="592" t="s">
        <v>367</v>
      </c>
      <c r="AA1" s="592"/>
      <c r="AB1" s="592" t="s">
        <v>368</v>
      </c>
      <c r="AC1" s="592"/>
      <c r="AD1" s="592" t="s">
        <v>369</v>
      </c>
      <c r="AE1" s="592"/>
      <c r="AF1" s="592" t="s">
        <v>370</v>
      </c>
      <c r="AG1" s="592"/>
      <c r="AH1" s="592" t="s">
        <v>371</v>
      </c>
      <c r="AI1" s="592"/>
      <c r="AJ1" s="592" t="s">
        <v>372</v>
      </c>
      <c r="AK1" s="592"/>
      <c r="AL1" s="592" t="s">
        <v>373</v>
      </c>
      <c r="AM1" s="592"/>
      <c r="AN1" s="592" t="s">
        <v>374</v>
      </c>
      <c r="AO1" s="592"/>
      <c r="AP1" s="592" t="s">
        <v>375</v>
      </c>
      <c r="AQ1" s="592"/>
      <c r="AR1" s="592" t="s">
        <v>376</v>
      </c>
      <c r="AS1" s="592"/>
      <c r="AT1" s="592" t="s">
        <v>377</v>
      </c>
      <c r="AU1" s="592"/>
      <c r="AV1" s="592" t="s">
        <v>378</v>
      </c>
      <c r="AW1" s="592"/>
      <c r="AX1" s="593" t="s">
        <v>379</v>
      </c>
      <c r="AY1" s="593"/>
      <c r="AZ1" s="593" t="s">
        <v>380</v>
      </c>
      <c r="BA1" s="593"/>
      <c r="BB1" s="593" t="s">
        <v>381</v>
      </c>
      <c r="BC1" s="593"/>
      <c r="BD1" s="593" t="s">
        <v>382</v>
      </c>
      <c r="BE1" s="593"/>
      <c r="BF1" s="593" t="s">
        <v>383</v>
      </c>
      <c r="BG1" s="593"/>
      <c r="BH1" s="593" t="s">
        <v>384</v>
      </c>
      <c r="BI1" s="593"/>
      <c r="BJ1" s="593" t="s">
        <v>385</v>
      </c>
      <c r="BK1" s="593"/>
      <c r="BL1" s="593" t="s">
        <v>386</v>
      </c>
      <c r="BM1" s="593"/>
      <c r="BN1" s="593" t="s">
        <v>387</v>
      </c>
      <c r="BO1" s="593"/>
      <c r="BP1" s="593" t="s">
        <v>388</v>
      </c>
      <c r="BQ1" s="593"/>
      <c r="BR1" s="593" t="s">
        <v>389</v>
      </c>
      <c r="BS1" s="593"/>
      <c r="BT1" s="593" t="s">
        <v>390</v>
      </c>
      <c r="BU1" s="593"/>
      <c r="BV1" s="593" t="s">
        <v>391</v>
      </c>
      <c r="BW1" s="593"/>
      <c r="BX1" s="593" t="s">
        <v>392</v>
      </c>
      <c r="BY1" s="593"/>
      <c r="BZ1" s="593" t="s">
        <v>393</v>
      </c>
      <c r="CA1" s="593"/>
      <c r="CB1" s="593" t="s">
        <v>394</v>
      </c>
      <c r="CC1" s="593"/>
      <c r="CD1" s="593" t="s">
        <v>395</v>
      </c>
      <c r="CE1" s="593"/>
      <c r="CF1" s="593" t="s">
        <v>396</v>
      </c>
      <c r="CG1" s="593"/>
      <c r="CH1" s="593" t="s">
        <v>397</v>
      </c>
      <c r="CI1" s="593"/>
      <c r="CJ1" s="593" t="s">
        <v>398</v>
      </c>
      <c r="CK1" s="593"/>
      <c r="CL1" s="593" t="s">
        <v>399</v>
      </c>
      <c r="CM1" s="593"/>
      <c r="CN1" s="593" t="s">
        <v>400</v>
      </c>
      <c r="CO1" s="593"/>
      <c r="CP1" s="593" t="s">
        <v>401</v>
      </c>
      <c r="CQ1" s="593"/>
      <c r="CR1" s="593" t="s">
        <v>402</v>
      </c>
      <c r="CS1" s="593"/>
    </row>
    <row r="2" spans="1:97">
      <c r="A2" s="72" t="s">
        <v>296</v>
      </c>
      <c r="B2" s="72" t="s">
        <v>298</v>
      </c>
      <c r="C2" s="72" t="s">
        <v>221</v>
      </c>
      <c r="D2" s="72" t="s">
        <v>298</v>
      </c>
      <c r="E2" s="72" t="s">
        <v>221</v>
      </c>
      <c r="F2" s="72" t="s">
        <v>298</v>
      </c>
      <c r="G2" s="72" t="s">
        <v>221</v>
      </c>
      <c r="H2" s="72" t="s">
        <v>298</v>
      </c>
      <c r="I2" s="72" t="s">
        <v>221</v>
      </c>
      <c r="J2" s="72" t="s">
        <v>298</v>
      </c>
      <c r="K2" s="72" t="s">
        <v>221</v>
      </c>
      <c r="L2" s="72" t="s">
        <v>298</v>
      </c>
      <c r="M2" s="72" t="s">
        <v>221</v>
      </c>
      <c r="N2" s="72" t="s">
        <v>298</v>
      </c>
      <c r="O2" s="72" t="s">
        <v>221</v>
      </c>
      <c r="P2" s="72" t="s">
        <v>298</v>
      </c>
      <c r="Q2" s="72" t="s">
        <v>221</v>
      </c>
      <c r="R2" s="72" t="s">
        <v>298</v>
      </c>
      <c r="S2" s="72" t="s">
        <v>221</v>
      </c>
      <c r="T2" s="72" t="s">
        <v>298</v>
      </c>
      <c r="U2" s="72" t="s">
        <v>221</v>
      </c>
      <c r="V2" s="72" t="s">
        <v>298</v>
      </c>
      <c r="W2" s="72" t="s">
        <v>221</v>
      </c>
      <c r="X2" s="72" t="s">
        <v>298</v>
      </c>
      <c r="Y2" s="72" t="s">
        <v>221</v>
      </c>
      <c r="Z2" s="72" t="s">
        <v>298</v>
      </c>
      <c r="AA2" s="72" t="s">
        <v>221</v>
      </c>
      <c r="AB2" s="72" t="s">
        <v>298</v>
      </c>
      <c r="AC2" s="72" t="s">
        <v>221</v>
      </c>
      <c r="AD2" s="72" t="s">
        <v>298</v>
      </c>
      <c r="AE2" s="72" t="s">
        <v>221</v>
      </c>
      <c r="AF2" s="72" t="s">
        <v>298</v>
      </c>
      <c r="AG2" s="72" t="s">
        <v>221</v>
      </c>
      <c r="AH2" s="72" t="s">
        <v>298</v>
      </c>
      <c r="AI2" s="72" t="s">
        <v>221</v>
      </c>
      <c r="AJ2" s="72" t="s">
        <v>298</v>
      </c>
      <c r="AK2" s="72" t="s">
        <v>221</v>
      </c>
      <c r="AL2" s="72" t="s">
        <v>298</v>
      </c>
      <c r="AM2" s="72" t="s">
        <v>221</v>
      </c>
      <c r="AN2" s="72" t="s">
        <v>298</v>
      </c>
      <c r="AO2" s="72" t="s">
        <v>221</v>
      </c>
      <c r="AP2" s="72" t="s">
        <v>298</v>
      </c>
      <c r="AQ2" s="72" t="s">
        <v>221</v>
      </c>
      <c r="AR2" s="72" t="s">
        <v>298</v>
      </c>
      <c r="AS2" s="72" t="s">
        <v>221</v>
      </c>
      <c r="AT2" s="72" t="s">
        <v>298</v>
      </c>
      <c r="AU2" s="72" t="s">
        <v>221</v>
      </c>
      <c r="AV2" s="72" t="s">
        <v>298</v>
      </c>
      <c r="AW2" s="72" t="s">
        <v>221</v>
      </c>
      <c r="AX2" s="72" t="s">
        <v>298</v>
      </c>
      <c r="AY2" s="72" t="s">
        <v>221</v>
      </c>
      <c r="AZ2" s="72" t="s">
        <v>298</v>
      </c>
      <c r="BA2" s="72" t="s">
        <v>221</v>
      </c>
      <c r="BB2" s="72" t="s">
        <v>298</v>
      </c>
      <c r="BC2" s="72" t="s">
        <v>221</v>
      </c>
      <c r="BD2" s="72" t="s">
        <v>298</v>
      </c>
      <c r="BE2" s="72" t="s">
        <v>221</v>
      </c>
      <c r="BF2" s="72" t="s">
        <v>298</v>
      </c>
      <c r="BG2" s="72" t="s">
        <v>221</v>
      </c>
      <c r="BH2" s="72" t="s">
        <v>298</v>
      </c>
      <c r="BI2" s="72" t="s">
        <v>221</v>
      </c>
      <c r="BJ2" s="72" t="s">
        <v>298</v>
      </c>
      <c r="BK2" s="72" t="s">
        <v>221</v>
      </c>
      <c r="BL2" s="72" t="s">
        <v>298</v>
      </c>
      <c r="BM2" s="72" t="s">
        <v>221</v>
      </c>
      <c r="BN2" s="72" t="s">
        <v>298</v>
      </c>
      <c r="BO2" s="72" t="s">
        <v>221</v>
      </c>
      <c r="BP2" s="72" t="s">
        <v>298</v>
      </c>
      <c r="BQ2" s="72" t="s">
        <v>221</v>
      </c>
      <c r="BR2" s="72" t="s">
        <v>298</v>
      </c>
      <c r="BS2" s="72" t="s">
        <v>221</v>
      </c>
      <c r="BT2" s="72" t="s">
        <v>298</v>
      </c>
      <c r="BU2" s="72" t="s">
        <v>221</v>
      </c>
      <c r="BV2" s="72" t="s">
        <v>298</v>
      </c>
      <c r="BW2" s="72" t="s">
        <v>221</v>
      </c>
      <c r="BX2" s="72" t="s">
        <v>298</v>
      </c>
      <c r="BY2" s="72" t="s">
        <v>221</v>
      </c>
      <c r="BZ2" s="72" t="s">
        <v>298</v>
      </c>
      <c r="CA2" s="72" t="s">
        <v>221</v>
      </c>
      <c r="CB2" s="72" t="s">
        <v>298</v>
      </c>
      <c r="CC2" s="72" t="s">
        <v>221</v>
      </c>
      <c r="CD2" s="72" t="s">
        <v>298</v>
      </c>
      <c r="CE2" s="72" t="s">
        <v>221</v>
      </c>
      <c r="CF2" s="72" t="s">
        <v>298</v>
      </c>
      <c r="CG2" s="72" t="s">
        <v>221</v>
      </c>
      <c r="CH2" s="72" t="s">
        <v>298</v>
      </c>
      <c r="CI2" s="72" t="s">
        <v>221</v>
      </c>
      <c r="CJ2" s="72" t="s">
        <v>298</v>
      </c>
      <c r="CK2" s="72" t="s">
        <v>221</v>
      </c>
      <c r="CL2" s="72" t="s">
        <v>298</v>
      </c>
      <c r="CM2" s="72" t="s">
        <v>221</v>
      </c>
      <c r="CN2" s="72" t="s">
        <v>298</v>
      </c>
      <c r="CO2" s="72" t="s">
        <v>221</v>
      </c>
      <c r="CP2" s="72" t="s">
        <v>298</v>
      </c>
      <c r="CQ2" s="72" t="s">
        <v>221</v>
      </c>
      <c r="CR2" s="72" t="s">
        <v>298</v>
      </c>
      <c r="CS2" s="72" t="s">
        <v>221</v>
      </c>
    </row>
    <row r="3" spans="1:97">
      <c r="A3" s="72">
        <v>1</v>
      </c>
      <c r="B3" s="90">
        <f>IF('Input Nilai Pengetahuan'!M5="","",'Input Nilai Pengetahuan'!M5)</f>
        <v>77.5</v>
      </c>
      <c r="C3" s="90" t="str">
        <f>IF(B3="","",IF('Input Nilai Pengetahuan'!$F$1="","",'Input Nilai Pengetahuan'!$F$1))</f>
        <v>Mengidentifikasi informasi (pesan, rima, dan pilihan kata) dari puisi rakyat (pantun, syair, dan bentuk puisi rakyat setempat) yang dibaca dan didengar</v>
      </c>
      <c r="D3" s="90" t="str">
        <f>IF('Input Nilai Pengetahuan'!M6="","",'Input Nilai Pengetahuan'!M6)</f>
        <v/>
      </c>
      <c r="E3" s="90" t="str">
        <f>IF(D3="","",IF('Input Nilai Pengetahuan'!$F$1="","",'Input Nilai Pengetahuan'!$F$1))</f>
        <v/>
      </c>
      <c r="F3" s="90">
        <f>IF('Input Nilai Pengetahuan'!M7="","",'Input Nilai Pengetahuan'!M7)</f>
        <v>82.5</v>
      </c>
      <c r="G3" s="90" t="str">
        <f>IF(F3="","",IF('Input Nilai Pengetahuan'!$F$1="","",'Input Nilai Pengetahuan'!$F$1))</f>
        <v>Mengidentifikasi informasi (pesan, rima, dan pilihan kata) dari puisi rakyat (pantun, syair, dan bentuk puisi rakyat setempat) yang dibaca dan didengar</v>
      </c>
      <c r="H3" s="90">
        <f>IF('Input Nilai Pengetahuan'!M8="","",'Input Nilai Pengetahuan'!M8)</f>
        <v>85</v>
      </c>
      <c r="I3" s="90" t="str">
        <f>IF(H3="","",IF('Input Nilai Pengetahuan'!$F$1="","",'Input Nilai Pengetahuan'!$F$1))</f>
        <v>Mengidentifikasi informasi (pesan, rima, dan pilihan kata) dari puisi rakyat (pantun, syair, dan bentuk puisi rakyat setempat) yang dibaca dan didengar</v>
      </c>
      <c r="J3" s="90">
        <f>IF('Input Nilai Pengetahuan'!M9="","",'Input Nilai Pengetahuan'!M9)</f>
        <v>90</v>
      </c>
      <c r="K3" s="90" t="str">
        <f>IF(J3="","",IF('Input Nilai Pengetahuan'!$F$1="","",'Input Nilai Pengetahuan'!$F$1))</f>
        <v>Mengidentifikasi informasi (pesan, rima, dan pilihan kata) dari puisi rakyat (pantun, syair, dan bentuk puisi rakyat setempat) yang dibaca dan didengar</v>
      </c>
      <c r="L3" s="90">
        <f>IF('Input Nilai Pengetahuan'!M10="","",'Input Nilai Pengetahuan'!M10)</f>
        <v>85</v>
      </c>
      <c r="M3" s="90" t="str">
        <f>IF(L3="","",IF('Input Nilai Pengetahuan'!$F$1="","",'Input Nilai Pengetahuan'!$F$1))</f>
        <v>Mengidentifikasi informasi (pesan, rima, dan pilihan kata) dari puisi rakyat (pantun, syair, dan bentuk puisi rakyat setempat) yang dibaca dan didengar</v>
      </c>
      <c r="N3" s="90">
        <f>IF('Input Nilai Pengetahuan'!M11="","",'Input Nilai Pengetahuan'!M11)</f>
        <v>77.5</v>
      </c>
      <c r="O3" s="90" t="str">
        <f>IF(N3="","",IF('Input Nilai Pengetahuan'!$F$1="","",'Input Nilai Pengetahuan'!$F$1))</f>
        <v>Mengidentifikasi informasi (pesan, rima, dan pilihan kata) dari puisi rakyat (pantun, syair, dan bentuk puisi rakyat setempat) yang dibaca dan didengar</v>
      </c>
      <c r="P3" s="90">
        <f>IF('Input Nilai Pengetahuan'!M12="","",'Input Nilai Pengetahuan'!M12)</f>
        <v>85</v>
      </c>
      <c r="Q3" s="90" t="str">
        <f>IF(P3="","",IF('Input Nilai Pengetahuan'!$F$1="","",'Input Nilai Pengetahuan'!$F$1))</f>
        <v>Mengidentifikasi informasi (pesan, rima, dan pilihan kata) dari puisi rakyat (pantun, syair, dan bentuk puisi rakyat setempat) yang dibaca dan didengar</v>
      </c>
      <c r="R3" s="90">
        <f>IF('Input Nilai Pengetahuan'!M13="","",'Input Nilai Pengetahuan'!M13)</f>
        <v>85</v>
      </c>
      <c r="S3" s="90" t="str">
        <f>IF(R3="","",IF('Input Nilai Pengetahuan'!$F$1="","",'Input Nilai Pengetahuan'!$F$1))</f>
        <v>Mengidentifikasi informasi (pesan, rima, dan pilihan kata) dari puisi rakyat (pantun, syair, dan bentuk puisi rakyat setempat) yang dibaca dan didengar</v>
      </c>
      <c r="T3" s="90">
        <f>IF('Input Nilai Pengetahuan'!M14="","",'Input Nilai Pengetahuan'!M14)</f>
        <v>80</v>
      </c>
      <c r="U3" s="90" t="str">
        <f>IF(T3="","",IF('Input Nilai Pengetahuan'!$F$1="","",'Input Nilai Pengetahuan'!$F$1))</f>
        <v>Mengidentifikasi informasi (pesan, rima, dan pilihan kata) dari puisi rakyat (pantun, syair, dan bentuk puisi rakyat setempat) yang dibaca dan didengar</v>
      </c>
      <c r="V3" s="90">
        <f>IF('Input Nilai Pengetahuan'!M15="","",'Input Nilai Pengetahuan'!M15)</f>
        <v>85</v>
      </c>
      <c r="W3" s="90" t="str">
        <f>IF(V3="","",IF('Input Nilai Pengetahuan'!$F$1="","",'Input Nilai Pengetahuan'!$F$1))</f>
        <v>Mengidentifikasi informasi (pesan, rima, dan pilihan kata) dari puisi rakyat (pantun, syair, dan bentuk puisi rakyat setempat) yang dibaca dan didengar</v>
      </c>
      <c r="X3" s="90">
        <f>IF('Input Nilai Pengetahuan'!M16="","",'Input Nilai Pengetahuan'!M16)</f>
        <v>85</v>
      </c>
      <c r="Y3" s="90" t="str">
        <f>IF(X3="","",IF('Input Nilai Pengetahuan'!$F$1="","",'Input Nilai Pengetahuan'!$F$1))</f>
        <v>Mengidentifikasi informasi (pesan, rima, dan pilihan kata) dari puisi rakyat (pantun, syair, dan bentuk puisi rakyat setempat) yang dibaca dan didengar</v>
      </c>
      <c r="Z3" s="90">
        <f>IF('Input Nilai Pengetahuan'!M17="","",'Input Nilai Pengetahuan'!M17)</f>
        <v>77.5</v>
      </c>
      <c r="AA3" s="90" t="str">
        <f>IF(Z3="","",IF('Input Nilai Pengetahuan'!$F$1="","",'Input Nilai Pengetahuan'!$F$1))</f>
        <v>Mengidentifikasi informasi (pesan, rima, dan pilihan kata) dari puisi rakyat (pantun, syair, dan bentuk puisi rakyat setempat) yang dibaca dan didengar</v>
      </c>
      <c r="AB3" s="90">
        <f>IF('Input Nilai Pengetahuan'!M18="","",'Input Nilai Pengetahuan'!M18)</f>
        <v>87.5</v>
      </c>
      <c r="AC3" s="90" t="str">
        <f>IF(AB3="","",IF('Input Nilai Pengetahuan'!$F$1="","",'Input Nilai Pengetahuan'!$F$1))</f>
        <v>Mengidentifikasi informasi (pesan, rima, dan pilihan kata) dari puisi rakyat (pantun, syair, dan bentuk puisi rakyat setempat) yang dibaca dan didengar</v>
      </c>
      <c r="AD3" s="90">
        <f>IF('Input Nilai Pengetahuan'!M19="","",'Input Nilai Pengetahuan'!M19)</f>
        <v>80</v>
      </c>
      <c r="AE3" s="90" t="str">
        <f>IF(AD3="","",IF('Input Nilai Pengetahuan'!$F$1="","",'Input Nilai Pengetahuan'!$F$1))</f>
        <v>Mengidentifikasi informasi (pesan, rima, dan pilihan kata) dari puisi rakyat (pantun, syair, dan bentuk puisi rakyat setempat) yang dibaca dan didengar</v>
      </c>
      <c r="AF3" s="90">
        <f>IF('Input Nilai Pengetahuan'!M20="","",'Input Nilai Pengetahuan'!M20)</f>
        <v>85</v>
      </c>
      <c r="AG3" s="90" t="str">
        <f>IF(AF3="","",IF('Input Nilai Pengetahuan'!$F$1="","",'Input Nilai Pengetahuan'!$F$1))</f>
        <v>Mengidentifikasi informasi (pesan, rima, dan pilihan kata) dari puisi rakyat (pantun, syair, dan bentuk puisi rakyat setempat) yang dibaca dan didengar</v>
      </c>
      <c r="AH3" s="90">
        <f>IF('Input Nilai Pengetahuan'!M21="","",'Input Nilai Pengetahuan'!M21)</f>
        <v>85</v>
      </c>
      <c r="AI3" s="90" t="str">
        <f>IF(AH3="","",IF('Input Nilai Pengetahuan'!$F$1="","",'Input Nilai Pengetahuan'!$F$1))</f>
        <v>Mengidentifikasi informasi (pesan, rima, dan pilihan kata) dari puisi rakyat (pantun, syair, dan bentuk puisi rakyat setempat) yang dibaca dan didengar</v>
      </c>
      <c r="AJ3" s="90">
        <f>IF('Input Nilai Pengetahuan'!M22="","",'Input Nilai Pengetahuan'!M22)</f>
        <v>82.5</v>
      </c>
      <c r="AK3" s="90" t="str">
        <f>IF(AJ3="","",IF('Input Nilai Pengetahuan'!$F$1="","",'Input Nilai Pengetahuan'!$F$1))</f>
        <v>Mengidentifikasi informasi (pesan, rima, dan pilihan kata) dari puisi rakyat (pantun, syair, dan bentuk puisi rakyat setempat) yang dibaca dan didengar</v>
      </c>
      <c r="AL3" s="90">
        <f>IF('Input Nilai Pengetahuan'!M23="","",'Input Nilai Pengetahuan'!M23)</f>
        <v>82.5</v>
      </c>
      <c r="AM3" s="90" t="str">
        <f>IF(AL3="","",IF('Input Nilai Pengetahuan'!$F$1="","",'Input Nilai Pengetahuan'!$F$1))</f>
        <v>Mengidentifikasi informasi (pesan, rima, dan pilihan kata) dari puisi rakyat (pantun, syair, dan bentuk puisi rakyat setempat) yang dibaca dan didengar</v>
      </c>
      <c r="AN3" s="90">
        <f>IF('Input Nilai Pengetahuan'!M24="","",'Input Nilai Pengetahuan'!M24)</f>
        <v>87.5</v>
      </c>
      <c r="AO3" s="90" t="str">
        <f>IF(AN3="","",IF('Input Nilai Pengetahuan'!$F$1="","",'Input Nilai Pengetahuan'!$F$1))</f>
        <v>Mengidentifikasi informasi (pesan, rima, dan pilihan kata) dari puisi rakyat (pantun, syair, dan bentuk puisi rakyat setempat) yang dibaca dan didengar</v>
      </c>
      <c r="AP3" s="90">
        <f>IF('Input Nilai Pengetahuan'!M25="","",'Input Nilai Pengetahuan'!M25)</f>
        <v>85</v>
      </c>
      <c r="AQ3" s="90" t="str">
        <f>IF(AP3="","",IF('Input Nilai Pengetahuan'!$F$1="","",'Input Nilai Pengetahuan'!$F$1))</f>
        <v>Mengidentifikasi informasi (pesan, rima, dan pilihan kata) dari puisi rakyat (pantun, syair, dan bentuk puisi rakyat setempat) yang dibaca dan didengar</v>
      </c>
      <c r="AR3" s="90">
        <f>IF('Input Nilai Pengetahuan'!M26="","",'Input Nilai Pengetahuan'!M26)</f>
        <v>85</v>
      </c>
      <c r="AS3" s="90" t="str">
        <f>IF(AR3="","",IF('Input Nilai Pengetahuan'!$F$1="","",'Input Nilai Pengetahuan'!$F$1))</f>
        <v>Mengidentifikasi informasi (pesan, rima, dan pilihan kata) dari puisi rakyat (pantun, syair, dan bentuk puisi rakyat setempat) yang dibaca dan didengar</v>
      </c>
      <c r="AT3" s="90">
        <f>IF('Input Nilai Pengetahuan'!M27="","",'Input Nilai Pengetahuan'!M27)</f>
        <v>77.5</v>
      </c>
      <c r="AU3" s="90" t="str">
        <f>IF(AT3="","",IF('Input Nilai Pengetahuan'!$F$1="","",'Input Nilai Pengetahuan'!$F$1))</f>
        <v>Mengidentifikasi informasi (pesan, rima, dan pilihan kata) dari puisi rakyat (pantun, syair, dan bentuk puisi rakyat setempat) yang dibaca dan didengar</v>
      </c>
      <c r="AV3" s="90">
        <f>IF('Input Nilai Pengetahuan'!M28="","",'Input Nilai Pengetahuan'!M28)</f>
        <v>85</v>
      </c>
      <c r="AW3" s="90" t="str">
        <f>IF(AV3="","",IF('Input Nilai Pengetahuan'!$F$1="","",'Input Nilai Pengetahuan'!$F$1))</f>
        <v>Mengidentifikasi informasi (pesan, rima, dan pilihan kata) dari puisi rakyat (pantun, syair, dan bentuk puisi rakyat setempat) yang dibaca dan didengar</v>
      </c>
      <c r="AX3" s="90">
        <f>IF('Input Nilai Pengetahuan'!M29="","",'Input Nilai Pengetahuan'!M29)</f>
        <v>85</v>
      </c>
      <c r="AY3" s="90" t="str">
        <f>IF(AX3="","",IF('Input Nilai Pengetahuan'!$F$1="","",'Input Nilai Pengetahuan'!$F$1))</f>
        <v>Mengidentifikasi informasi (pesan, rima, dan pilihan kata) dari puisi rakyat (pantun, syair, dan bentuk puisi rakyat setempat) yang dibaca dan didengar</v>
      </c>
      <c r="AZ3" s="90">
        <f>IF('Input Nilai Pengetahuan'!M30="","",'Input Nilai Pengetahuan'!M30)</f>
        <v>87.5</v>
      </c>
      <c r="BA3" s="90" t="str">
        <f>IF(AZ3="","",IF('Input Nilai Pengetahuan'!$F$1="","",'Input Nilai Pengetahuan'!$F$1))</f>
        <v>Mengidentifikasi informasi (pesan, rima, dan pilihan kata) dari puisi rakyat (pantun, syair, dan bentuk puisi rakyat setempat) yang dibaca dan didengar</v>
      </c>
      <c r="BB3" s="90">
        <f>IF('Input Nilai Pengetahuan'!M31="","",'Input Nilai Pengetahuan'!M31)</f>
        <v>85</v>
      </c>
      <c r="BC3" s="90" t="str">
        <f>IF(BB3="","",IF('Input Nilai Pengetahuan'!$F$1="","",'Input Nilai Pengetahuan'!$F$1))</f>
        <v>Mengidentifikasi informasi (pesan, rima, dan pilihan kata) dari puisi rakyat (pantun, syair, dan bentuk puisi rakyat setempat) yang dibaca dan didengar</v>
      </c>
      <c r="BD3" s="90">
        <f>IF('Input Nilai Pengetahuan'!M32="","",'Input Nilai Pengetahuan'!M32)</f>
        <v>87.5</v>
      </c>
      <c r="BE3" s="90" t="str">
        <f>IF(BD3="","",IF('Input Nilai Pengetahuan'!$F$1="","",'Input Nilai Pengetahuan'!$F$1))</f>
        <v>Mengidentifikasi informasi (pesan, rima, dan pilihan kata) dari puisi rakyat (pantun, syair, dan bentuk puisi rakyat setempat) yang dibaca dan didengar</v>
      </c>
      <c r="BF3" s="90">
        <f>IF('Input Nilai Pengetahuan'!M33="","",'Input Nilai Pengetahuan'!M33)</f>
        <v>90</v>
      </c>
      <c r="BG3" s="90" t="str">
        <f>IF(BF3="","",IF('Input Nilai Pengetahuan'!$F$1="","",'Input Nilai Pengetahuan'!$F$1))</f>
        <v>Mengidentifikasi informasi (pesan, rima, dan pilihan kata) dari puisi rakyat (pantun, syair, dan bentuk puisi rakyat setempat) yang dibaca dan didengar</v>
      </c>
      <c r="BH3" s="90">
        <f>IF('Input Nilai Pengetahuan'!M34="","",'Input Nilai Pengetahuan'!M34)</f>
        <v>85</v>
      </c>
      <c r="BI3" s="90" t="str">
        <f>IF(BH3="","",IF('Input Nilai Pengetahuan'!$F$1="","",'Input Nilai Pengetahuan'!$F$1))</f>
        <v>Mengidentifikasi informasi (pesan, rima, dan pilihan kata) dari puisi rakyat (pantun, syair, dan bentuk puisi rakyat setempat) yang dibaca dan didengar</v>
      </c>
      <c r="BJ3" s="90">
        <f>IF('Input Nilai Pengetahuan'!M35="","",'Input Nilai Pengetahuan'!M35)</f>
        <v>85</v>
      </c>
      <c r="BK3" s="90" t="str">
        <f>IF(BJ3="","",IF('Input Nilai Pengetahuan'!$F$1="","",'Input Nilai Pengetahuan'!$F$1))</f>
        <v>Mengidentifikasi informasi (pesan, rima, dan pilihan kata) dari puisi rakyat (pantun, syair, dan bentuk puisi rakyat setempat) yang dibaca dan didengar</v>
      </c>
      <c r="BL3" s="90">
        <f>IF('Input Nilai Pengetahuan'!M36="","",'Input Nilai Pengetahuan'!M36)</f>
        <v>90</v>
      </c>
      <c r="BM3" s="90" t="str">
        <f>IF(BL3="","",IF('Input Nilai Pengetahuan'!$F$1="","",'Input Nilai Pengetahuan'!$F$1))</f>
        <v>Mengidentifikasi informasi (pesan, rima, dan pilihan kata) dari puisi rakyat (pantun, syair, dan bentuk puisi rakyat setempat) yang dibaca dan didengar</v>
      </c>
      <c r="BN3" s="90">
        <f>IF('Input Nilai Pengetahuan'!M37="","",'Input Nilai Pengetahuan'!M37)</f>
        <v>90</v>
      </c>
      <c r="BO3" s="90" t="str">
        <f>IF(BN3="","",IF('Input Nilai Pengetahuan'!$F$1="","",'Input Nilai Pengetahuan'!$F$1))</f>
        <v>Mengidentifikasi informasi (pesan, rima, dan pilihan kata) dari puisi rakyat (pantun, syair, dan bentuk puisi rakyat setempat) yang dibaca dan didengar</v>
      </c>
      <c r="BP3" s="90">
        <f>IF('Input Nilai Pengetahuan'!M38="","",'Input Nilai Pengetahuan'!M38)</f>
        <v>85</v>
      </c>
      <c r="BQ3" s="90" t="str">
        <f>IF(BP3="","",IF('Input Nilai Pengetahuan'!$F$1="","",'Input Nilai Pengetahuan'!$F$1))</f>
        <v>Mengidentifikasi informasi (pesan, rima, dan pilihan kata) dari puisi rakyat (pantun, syair, dan bentuk puisi rakyat setempat) yang dibaca dan didengar</v>
      </c>
      <c r="BR3" s="90">
        <f>IF('Input Nilai Pengetahuan'!M39="","",'Input Nilai Pengetahuan'!M39)</f>
        <v>85</v>
      </c>
      <c r="BS3" s="90" t="str">
        <f>IF(BR3="","",IF('Input Nilai Pengetahuan'!$F$1="","",'Input Nilai Pengetahuan'!$F$1))</f>
        <v>Mengidentifikasi informasi (pesan, rima, dan pilihan kata) dari puisi rakyat (pantun, syair, dan bentuk puisi rakyat setempat) yang dibaca dan didengar</v>
      </c>
      <c r="BT3" s="90" t="str">
        <f>IF('Input Nilai Pengetahuan'!M40="","",'Input Nilai Pengetahuan'!M40)</f>
        <v/>
      </c>
      <c r="BU3" s="90" t="str">
        <f>IF(BT3="","",IF('Input Nilai Pengetahuan'!$F$1="","",'Input Nilai Pengetahuan'!$F$1))</f>
        <v/>
      </c>
      <c r="BV3" s="90" t="str">
        <f>IF('Input Nilai Pengetahuan'!M41="","",'Input Nilai Pengetahuan'!M41)</f>
        <v/>
      </c>
      <c r="BW3" s="90" t="str">
        <f>IF(BV3="","",IF('Input Nilai Pengetahuan'!$F$1="","",'Input Nilai Pengetahuan'!$F$1))</f>
        <v/>
      </c>
      <c r="BX3" s="90" t="str">
        <f>IF('Input Nilai Pengetahuan'!M42="","",'Input Nilai Pengetahuan'!M42)</f>
        <v/>
      </c>
      <c r="BY3" s="90" t="str">
        <f>IF(BX3="","",IF('Input Nilai Pengetahuan'!$F$1="","",'Input Nilai Pengetahuan'!$F$1))</f>
        <v/>
      </c>
      <c r="BZ3" s="90" t="str">
        <f>IF('Input Nilai Pengetahuan'!M43="","",'Input Nilai Pengetahuan'!M43)</f>
        <v/>
      </c>
      <c r="CA3" s="90" t="str">
        <f>IF(BZ3="","",IF('Input Nilai Pengetahuan'!$F$1="","",'Input Nilai Pengetahuan'!$F$1))</f>
        <v/>
      </c>
      <c r="CB3" s="90" t="str">
        <f>IF('Input Nilai Pengetahuan'!M44="","",'Input Nilai Pengetahuan'!M44)</f>
        <v/>
      </c>
      <c r="CC3" s="90" t="str">
        <f>IF(CB3="","",IF('Input Nilai Pengetahuan'!$F$1="","",'Input Nilai Pengetahuan'!$F$1))</f>
        <v/>
      </c>
      <c r="CD3" s="90" t="str">
        <f>IF('Input Nilai Pengetahuan'!M45="","",'Input Nilai Pengetahuan'!M45)</f>
        <v/>
      </c>
      <c r="CE3" s="90" t="str">
        <f>IF(CD3="","",IF('Input Nilai Pengetahuan'!$F$1="","",'Input Nilai Pengetahuan'!$F$1))</f>
        <v/>
      </c>
      <c r="CF3" s="90" t="str">
        <f>IF('Input Nilai Pengetahuan'!M46="","",'Input Nilai Pengetahuan'!M46)</f>
        <v/>
      </c>
      <c r="CG3" s="90" t="str">
        <f>IF(CF3="","",IF('Input Nilai Pengetahuan'!$F$1="","",'Input Nilai Pengetahuan'!$F$1))</f>
        <v/>
      </c>
      <c r="CH3" s="90" t="str">
        <f>IF('Input Nilai Pengetahuan'!M47="","",'Input Nilai Pengetahuan'!M47)</f>
        <v/>
      </c>
      <c r="CI3" s="90" t="str">
        <f>IF(CH3="","",IF('Input Nilai Pengetahuan'!$F$1="","",'Input Nilai Pengetahuan'!$F$1))</f>
        <v/>
      </c>
      <c r="CJ3" s="90" t="str">
        <f>IF('Input Nilai Pengetahuan'!M48="","",'Input Nilai Pengetahuan'!M48)</f>
        <v/>
      </c>
      <c r="CK3" s="90" t="str">
        <f>IF(CJ3="","",IF('Input Nilai Pengetahuan'!$F$1="","",'Input Nilai Pengetahuan'!$F$1))</f>
        <v/>
      </c>
      <c r="CL3" s="90" t="str">
        <f>IF('Input Nilai Pengetahuan'!M49="","",'Input Nilai Pengetahuan'!M49)</f>
        <v/>
      </c>
      <c r="CM3" s="90" t="str">
        <f>IF(CL3="","",IF('Input Nilai Pengetahuan'!$F$1="","",'Input Nilai Pengetahuan'!$F$1))</f>
        <v/>
      </c>
      <c r="CN3" s="90" t="str">
        <f>IF('Input Nilai Pengetahuan'!M50="","",'Input Nilai Pengetahuan'!M50)</f>
        <v/>
      </c>
      <c r="CO3" s="90" t="str">
        <f>IF(CN3="","",IF('Input Nilai Pengetahuan'!$F$1="","",'Input Nilai Pengetahuan'!$F$1))</f>
        <v/>
      </c>
      <c r="CP3" s="90" t="str">
        <f>IF('Input Nilai Pengetahuan'!M51="","",'Input Nilai Pengetahuan'!M51)</f>
        <v/>
      </c>
      <c r="CQ3" s="90" t="str">
        <f>IF(CP3="","",IF('Input Nilai Pengetahuan'!$F$1="","",'Input Nilai Pengetahuan'!$F$1))</f>
        <v/>
      </c>
      <c r="CR3" s="90" t="str">
        <f>IF('Input Nilai Pengetahuan'!M52="","",'Input Nilai Pengetahuan'!M52)</f>
        <v/>
      </c>
      <c r="CS3" s="90" t="str">
        <f>IF(CR3="","",IF('Input Nilai Pengetahuan'!$F$1="","",'Input Nilai Pengetahuan'!$F$1))</f>
        <v/>
      </c>
    </row>
    <row r="4" spans="1:97">
      <c r="A4" s="72">
        <v>2</v>
      </c>
      <c r="B4" s="90">
        <f>IF('Input Nilai Pengetahuan'!U5="","",'Input Nilai Pengetahuan'!U5)</f>
        <v>82.5</v>
      </c>
      <c r="C4" s="90" t="str">
        <f>IF(B4="","",IF('Input Nilai Pengetahuan'!$N$1="","",'Input Nilai Pengetahuan'!$N$1))</f>
        <v>Menelaah struktur  dan kebahasaan puisi rakyat (pantun, syair, dan bentuk puisi rakyat setempat) yang dibaca dan didengar</v>
      </c>
      <c r="D4" s="90" t="str">
        <f>IF('Input Nilai Pengetahuan'!U6="","",'Input Nilai Pengetahuan'!U6)</f>
        <v/>
      </c>
      <c r="E4" s="90" t="str">
        <f>IF(D4="","",IF('Input Nilai Pengetahuan'!$N$1="","",'Input Nilai Pengetahuan'!$N$1))</f>
        <v/>
      </c>
      <c r="F4" s="90">
        <f>IF('Input Nilai Pengetahuan'!U7="","",'Input Nilai Pengetahuan'!U7)</f>
        <v>85</v>
      </c>
      <c r="G4" s="90" t="str">
        <f>IF(F4="","",IF('Input Nilai Pengetahuan'!$N$1="","",'Input Nilai Pengetahuan'!$N$1))</f>
        <v>Menelaah struktur  dan kebahasaan puisi rakyat (pantun, syair, dan bentuk puisi rakyat setempat) yang dibaca dan didengar</v>
      </c>
      <c r="H4" s="90">
        <f>IF('Input Nilai Pengetahuan'!U8="","",'Input Nilai Pengetahuan'!U8)</f>
        <v>87.5</v>
      </c>
      <c r="I4" s="90" t="str">
        <f>IF(H4="","",IF('Input Nilai Pengetahuan'!$N$1="","",'Input Nilai Pengetahuan'!$N$1))</f>
        <v>Menelaah struktur  dan kebahasaan puisi rakyat (pantun, syair, dan bentuk puisi rakyat setempat) yang dibaca dan didengar</v>
      </c>
      <c r="J4" s="90">
        <f>IF('Input Nilai Pengetahuan'!U9="","",'Input Nilai Pengetahuan'!U9)</f>
        <v>87.5</v>
      </c>
      <c r="K4" s="90" t="str">
        <f>IF(J4="","",IF('Input Nilai Pengetahuan'!$N$1="","",'Input Nilai Pengetahuan'!$N$1))</f>
        <v>Menelaah struktur  dan kebahasaan puisi rakyat (pantun, syair, dan bentuk puisi rakyat setempat) yang dibaca dan didengar</v>
      </c>
      <c r="L4" s="90">
        <f>IF('Input Nilai Pengetahuan'!U10="","",'Input Nilai Pengetahuan'!U10)</f>
        <v>82.5</v>
      </c>
      <c r="M4" s="90" t="str">
        <f>IF(L4="","",IF('Input Nilai Pengetahuan'!$N$1="","",'Input Nilai Pengetahuan'!$N$1))</f>
        <v>Menelaah struktur  dan kebahasaan puisi rakyat (pantun, syair, dan bentuk puisi rakyat setempat) yang dibaca dan didengar</v>
      </c>
      <c r="N4" s="90">
        <f>IF('Input Nilai Pengetahuan'!U11="","",'Input Nilai Pengetahuan'!U11)</f>
        <v>80</v>
      </c>
      <c r="O4" s="90" t="str">
        <f>IF(N4="","",IF('Input Nilai Pengetahuan'!$N$1="","",'Input Nilai Pengetahuan'!$N$1))</f>
        <v>Menelaah struktur  dan kebahasaan puisi rakyat (pantun, syair, dan bentuk puisi rakyat setempat) yang dibaca dan didengar</v>
      </c>
      <c r="P4" s="90">
        <f>IF('Input Nilai Pengetahuan'!U12="","",'Input Nilai Pengetahuan'!U12)</f>
        <v>87.5</v>
      </c>
      <c r="Q4" s="90" t="str">
        <f>IF(P4="","",IF('Input Nilai Pengetahuan'!$N$1="","",'Input Nilai Pengetahuan'!$N$1))</f>
        <v>Menelaah struktur  dan kebahasaan puisi rakyat (pantun, syair, dan bentuk puisi rakyat setempat) yang dibaca dan didengar</v>
      </c>
      <c r="R4" s="90">
        <f>IF('Input Nilai Pengetahuan'!U13="","",'Input Nilai Pengetahuan'!U13)</f>
        <v>90</v>
      </c>
      <c r="S4" s="90" t="str">
        <f>IF(R4="","",IF('Input Nilai Pengetahuan'!$N$1="","",'Input Nilai Pengetahuan'!$N$1))</f>
        <v>Menelaah struktur  dan kebahasaan puisi rakyat (pantun, syair, dan bentuk puisi rakyat setempat) yang dibaca dan didengar</v>
      </c>
      <c r="T4" s="90">
        <f>IF('Input Nilai Pengetahuan'!U14="","",'Input Nilai Pengetahuan'!U14)</f>
        <v>85</v>
      </c>
      <c r="U4" s="90" t="str">
        <f>IF(T4="","",IF('Input Nilai Pengetahuan'!$N$1="","",'Input Nilai Pengetahuan'!$N$1))</f>
        <v>Menelaah struktur  dan kebahasaan puisi rakyat (pantun, syair, dan bentuk puisi rakyat setempat) yang dibaca dan didengar</v>
      </c>
      <c r="V4" s="90">
        <f>IF('Input Nilai Pengetahuan'!U15="","",'Input Nilai Pengetahuan'!U15)</f>
        <v>87.5</v>
      </c>
      <c r="W4" s="90" t="str">
        <f>IF(V4="","",IF('Input Nilai Pengetahuan'!$N$1="","",'Input Nilai Pengetahuan'!$N$1))</f>
        <v>Menelaah struktur  dan kebahasaan puisi rakyat (pantun, syair, dan bentuk puisi rakyat setempat) yang dibaca dan didengar</v>
      </c>
      <c r="X4" s="90">
        <f>IF('Input Nilai Pengetahuan'!U16="","",'Input Nilai Pengetahuan'!U16)</f>
        <v>85</v>
      </c>
      <c r="Y4" s="90" t="str">
        <f>IF(X4="","",IF('Input Nilai Pengetahuan'!$N$1="","",'Input Nilai Pengetahuan'!$N$1))</f>
        <v>Menelaah struktur  dan kebahasaan puisi rakyat (pantun, syair, dan bentuk puisi rakyat setempat) yang dibaca dan didengar</v>
      </c>
      <c r="Z4" s="90">
        <f>IF('Input Nilai Pengetahuan'!U17="","",'Input Nilai Pengetahuan'!U17)</f>
        <v>80</v>
      </c>
      <c r="AA4" s="90" t="str">
        <f>IF(Z4="","",IF('Input Nilai Pengetahuan'!$N$1="","",'Input Nilai Pengetahuan'!$N$1))</f>
        <v>Menelaah struktur  dan kebahasaan puisi rakyat (pantun, syair, dan bentuk puisi rakyat setempat) yang dibaca dan didengar</v>
      </c>
      <c r="AB4" s="90">
        <f>IF('Input Nilai Pengetahuan'!U18="","",'Input Nilai Pengetahuan'!U18)</f>
        <v>85</v>
      </c>
      <c r="AC4" s="90" t="str">
        <f>IF(AB4="","",IF('Input Nilai Pengetahuan'!$N$1="","",'Input Nilai Pengetahuan'!$N$1))</f>
        <v>Menelaah struktur  dan kebahasaan puisi rakyat (pantun, syair, dan bentuk puisi rakyat setempat) yang dibaca dan didengar</v>
      </c>
      <c r="AD4" s="90">
        <f>IF('Input Nilai Pengetahuan'!U19="","",'Input Nilai Pengetahuan'!U19)</f>
        <v>82.5</v>
      </c>
      <c r="AE4" s="90" t="str">
        <f>IF(AD4="","",IF('Input Nilai Pengetahuan'!$N$1="","",'Input Nilai Pengetahuan'!$N$1))</f>
        <v>Menelaah struktur  dan kebahasaan puisi rakyat (pantun, syair, dan bentuk puisi rakyat setempat) yang dibaca dan didengar</v>
      </c>
      <c r="AF4" s="90">
        <f>IF('Input Nilai Pengetahuan'!U20="","",'Input Nilai Pengetahuan'!U20)</f>
        <v>85</v>
      </c>
      <c r="AG4" s="90" t="str">
        <f>IF(AF4="","",IF('Input Nilai Pengetahuan'!$N$1="","",'Input Nilai Pengetahuan'!$N$1))</f>
        <v>Menelaah struktur  dan kebahasaan puisi rakyat (pantun, syair, dan bentuk puisi rakyat setempat) yang dibaca dan didengar</v>
      </c>
      <c r="AH4" s="90">
        <f>IF('Input Nilai Pengetahuan'!U21="","",'Input Nilai Pengetahuan'!U21)</f>
        <v>82.5</v>
      </c>
      <c r="AI4" s="90" t="str">
        <f>IF(AH4="","",IF('Input Nilai Pengetahuan'!$N$1="","",'Input Nilai Pengetahuan'!$N$1))</f>
        <v>Menelaah struktur  dan kebahasaan puisi rakyat (pantun, syair, dan bentuk puisi rakyat setempat) yang dibaca dan didengar</v>
      </c>
      <c r="AJ4" s="90">
        <f>IF('Input Nilai Pengetahuan'!U22="","",'Input Nilai Pengetahuan'!U22)</f>
        <v>85</v>
      </c>
      <c r="AK4" s="90" t="str">
        <f>IF(AJ4="","",IF('Input Nilai Pengetahuan'!$N$1="","",'Input Nilai Pengetahuan'!$N$1))</f>
        <v>Menelaah struktur  dan kebahasaan puisi rakyat (pantun, syair, dan bentuk puisi rakyat setempat) yang dibaca dan didengar</v>
      </c>
      <c r="AL4" s="90">
        <f>IF('Input Nilai Pengetahuan'!U23="","",'Input Nilai Pengetahuan'!U23)</f>
        <v>90</v>
      </c>
      <c r="AM4" s="90" t="str">
        <f>IF(AL4="","",IF('Input Nilai Pengetahuan'!$N$1="","",'Input Nilai Pengetahuan'!$N$1))</f>
        <v>Menelaah struktur  dan kebahasaan puisi rakyat (pantun, syair, dan bentuk puisi rakyat setempat) yang dibaca dan didengar</v>
      </c>
      <c r="AN4" s="90">
        <f>IF('Input Nilai Pengetahuan'!U24="","",'Input Nilai Pengetahuan'!U24)</f>
        <v>85</v>
      </c>
      <c r="AO4" s="90" t="str">
        <f>IF(AN4="","",IF('Input Nilai Pengetahuan'!$N$1="","",'Input Nilai Pengetahuan'!$N$1))</f>
        <v>Menelaah struktur  dan kebahasaan puisi rakyat (pantun, syair, dan bentuk puisi rakyat setempat) yang dibaca dan didengar</v>
      </c>
      <c r="AP4" s="90">
        <f>IF('Input Nilai Pengetahuan'!U25="","",'Input Nilai Pengetahuan'!U25)</f>
        <v>85</v>
      </c>
      <c r="AQ4" s="90" t="str">
        <f>IF(AP4="","",IF('Input Nilai Pengetahuan'!$N$1="","",'Input Nilai Pengetahuan'!$N$1))</f>
        <v>Menelaah struktur  dan kebahasaan puisi rakyat (pantun, syair, dan bentuk puisi rakyat setempat) yang dibaca dan didengar</v>
      </c>
      <c r="AR4" s="90">
        <f>IF('Input Nilai Pengetahuan'!U26="","",'Input Nilai Pengetahuan'!U26)</f>
        <v>85</v>
      </c>
      <c r="AS4" s="90" t="str">
        <f>IF(AR4="","",IF('Input Nilai Pengetahuan'!$N$1="","",'Input Nilai Pengetahuan'!$N$1))</f>
        <v>Menelaah struktur  dan kebahasaan puisi rakyat (pantun, syair, dan bentuk puisi rakyat setempat) yang dibaca dan didengar</v>
      </c>
      <c r="AT4" s="90">
        <f>IF('Input Nilai Pengetahuan'!U27="","",'Input Nilai Pengetahuan'!U27)</f>
        <v>80</v>
      </c>
      <c r="AU4" s="90" t="str">
        <f>IF(AT4="","",IF('Input Nilai Pengetahuan'!$N$1="","",'Input Nilai Pengetahuan'!$N$1))</f>
        <v>Menelaah struktur  dan kebahasaan puisi rakyat (pantun, syair, dan bentuk puisi rakyat setempat) yang dibaca dan didengar</v>
      </c>
      <c r="AV4" s="90">
        <f>IF('Input Nilai Pengetahuan'!U28="","",'Input Nilai Pengetahuan'!U28)</f>
        <v>85</v>
      </c>
      <c r="AW4" s="90" t="str">
        <f>IF(AV4="","",IF('Input Nilai Pengetahuan'!$N$1="","",'Input Nilai Pengetahuan'!$N$1))</f>
        <v>Menelaah struktur  dan kebahasaan puisi rakyat (pantun, syair, dan bentuk puisi rakyat setempat) yang dibaca dan didengar</v>
      </c>
      <c r="AX4" s="90">
        <f>IF('Input Nilai Pengetahuan'!U29="","",'Input Nilai Pengetahuan'!U29)</f>
        <v>85</v>
      </c>
      <c r="AY4" s="90" t="str">
        <f>IF(AX4="","",IF('Input Nilai Pengetahuan'!$N$1="","",'Input Nilai Pengetahuan'!$N$1))</f>
        <v>Menelaah struktur  dan kebahasaan puisi rakyat (pantun, syair, dan bentuk puisi rakyat setempat) yang dibaca dan didengar</v>
      </c>
      <c r="AZ4" s="90">
        <f>IF('Input Nilai Pengetahuan'!U30="","",'Input Nilai Pengetahuan'!U30)</f>
        <v>85</v>
      </c>
      <c r="BA4" s="90" t="str">
        <f>IF(AZ4="","",IF('Input Nilai Pengetahuan'!$N$1="","",'Input Nilai Pengetahuan'!$N$1))</f>
        <v>Menelaah struktur  dan kebahasaan puisi rakyat (pantun, syair, dan bentuk puisi rakyat setempat) yang dibaca dan didengar</v>
      </c>
      <c r="BB4" s="90">
        <f>IF('Input Nilai Pengetahuan'!U31="","",'Input Nilai Pengetahuan'!U31)</f>
        <v>85</v>
      </c>
      <c r="BC4" s="90" t="str">
        <f>IF(BB4="","",IF('Input Nilai Pengetahuan'!$N$1="","",'Input Nilai Pengetahuan'!$N$1))</f>
        <v>Menelaah struktur  dan kebahasaan puisi rakyat (pantun, syair, dan bentuk puisi rakyat setempat) yang dibaca dan didengar</v>
      </c>
      <c r="BD4" s="90">
        <f>IF('Input Nilai Pengetahuan'!U32="","",'Input Nilai Pengetahuan'!U32)</f>
        <v>85</v>
      </c>
      <c r="BE4" s="90" t="str">
        <f>IF(BD4="","",IF('Input Nilai Pengetahuan'!$N$1="","",'Input Nilai Pengetahuan'!$N$1))</f>
        <v>Menelaah struktur  dan kebahasaan puisi rakyat (pantun, syair, dan bentuk puisi rakyat setempat) yang dibaca dan didengar</v>
      </c>
      <c r="BF4" s="90">
        <f>IF('Input Nilai Pengetahuan'!U33="","",'Input Nilai Pengetahuan'!U33)</f>
        <v>87.5</v>
      </c>
      <c r="BG4" s="90" t="str">
        <f>IF(BF4="","",IF('Input Nilai Pengetahuan'!$N$1="","",'Input Nilai Pengetahuan'!$N$1))</f>
        <v>Menelaah struktur  dan kebahasaan puisi rakyat (pantun, syair, dan bentuk puisi rakyat setempat) yang dibaca dan didengar</v>
      </c>
      <c r="BH4" s="90">
        <f>IF('Input Nilai Pengetahuan'!U34="","",'Input Nilai Pengetahuan'!U34)</f>
        <v>87.5</v>
      </c>
      <c r="BI4" s="90" t="str">
        <f>IF(BH4="","",IF('Input Nilai Pengetahuan'!$N$1="","",'Input Nilai Pengetahuan'!$N$1))</f>
        <v>Menelaah struktur  dan kebahasaan puisi rakyat (pantun, syair, dan bentuk puisi rakyat setempat) yang dibaca dan didengar</v>
      </c>
      <c r="BJ4" s="90">
        <f>IF('Input Nilai Pengetahuan'!U35="","",'Input Nilai Pengetahuan'!U35)</f>
        <v>85</v>
      </c>
      <c r="BK4" s="90" t="str">
        <f>IF(BJ4="","",IF('Input Nilai Pengetahuan'!$N$1="","",'Input Nilai Pengetahuan'!$N$1))</f>
        <v>Menelaah struktur  dan kebahasaan puisi rakyat (pantun, syair, dan bentuk puisi rakyat setempat) yang dibaca dan didengar</v>
      </c>
      <c r="BL4" s="90">
        <f>IF('Input Nilai Pengetahuan'!U36="","",'Input Nilai Pengetahuan'!U36)</f>
        <v>87.5</v>
      </c>
      <c r="BM4" s="90" t="str">
        <f>IF(BL4="","",IF('Input Nilai Pengetahuan'!$N$1="","",'Input Nilai Pengetahuan'!$N$1))</f>
        <v>Menelaah struktur  dan kebahasaan puisi rakyat (pantun, syair, dan bentuk puisi rakyat setempat) yang dibaca dan didengar</v>
      </c>
      <c r="BN4" s="90">
        <f>IF('Input Nilai Pengetahuan'!U37="","",'Input Nilai Pengetahuan'!U37)</f>
        <v>87.5</v>
      </c>
      <c r="BO4" s="90" t="str">
        <f>IF(BN4="","",IF('Input Nilai Pengetahuan'!$N$1="","",'Input Nilai Pengetahuan'!$N$1))</f>
        <v>Menelaah struktur  dan kebahasaan puisi rakyat (pantun, syair, dan bentuk puisi rakyat setempat) yang dibaca dan didengar</v>
      </c>
      <c r="BP4" s="90">
        <f>IF('Input Nilai Pengetahuan'!U38="","",'Input Nilai Pengetahuan'!U38)</f>
        <v>85</v>
      </c>
      <c r="BQ4" s="90" t="str">
        <f>IF(BP4="","",IF('Input Nilai Pengetahuan'!$N$1="","",'Input Nilai Pengetahuan'!$N$1))</f>
        <v>Menelaah struktur  dan kebahasaan puisi rakyat (pantun, syair, dan bentuk puisi rakyat setempat) yang dibaca dan didengar</v>
      </c>
      <c r="BR4" s="90">
        <f>IF('Input Nilai Pengetahuan'!U39="","",'Input Nilai Pengetahuan'!U39)</f>
        <v>85</v>
      </c>
      <c r="BS4" s="90" t="str">
        <f>IF(BR4="","",IF('Input Nilai Pengetahuan'!$N$1="","",'Input Nilai Pengetahuan'!$N$1))</f>
        <v>Menelaah struktur  dan kebahasaan puisi rakyat (pantun, syair, dan bentuk puisi rakyat setempat) yang dibaca dan didengar</v>
      </c>
      <c r="BT4" s="90" t="str">
        <f>IF('Input Nilai Pengetahuan'!U40="","",'Input Nilai Pengetahuan'!U40)</f>
        <v/>
      </c>
      <c r="BU4" s="90" t="str">
        <f>IF(BT4="","",IF('Input Nilai Pengetahuan'!$N$1="","",'Input Nilai Pengetahuan'!$N$1))</f>
        <v/>
      </c>
      <c r="BV4" s="90" t="str">
        <f>IF('Input Nilai Pengetahuan'!U41="","",'Input Nilai Pengetahuan'!U41)</f>
        <v/>
      </c>
      <c r="BW4" s="90" t="str">
        <f>IF(BV4="","",IF('Input Nilai Pengetahuan'!$N$1="","",'Input Nilai Pengetahuan'!$N$1))</f>
        <v/>
      </c>
      <c r="BX4" s="90" t="str">
        <f>IF('Input Nilai Pengetahuan'!U42="","",'Input Nilai Pengetahuan'!U42)</f>
        <v/>
      </c>
      <c r="BY4" s="90" t="str">
        <f>IF(BX4="","",IF('Input Nilai Pengetahuan'!$N$1="","",'Input Nilai Pengetahuan'!$N$1))</f>
        <v/>
      </c>
      <c r="BZ4" s="90" t="str">
        <f>IF('Input Nilai Pengetahuan'!U43="","",'Input Nilai Pengetahuan'!U43)</f>
        <v/>
      </c>
      <c r="CA4" s="90" t="str">
        <f>IF(BZ4="","",IF('Input Nilai Pengetahuan'!$N$1="","",'Input Nilai Pengetahuan'!$N$1))</f>
        <v/>
      </c>
      <c r="CB4" s="90" t="str">
        <f>IF('Input Nilai Pengetahuan'!U44="","",'Input Nilai Pengetahuan'!U44)</f>
        <v/>
      </c>
      <c r="CC4" s="90" t="str">
        <f>IF(CB4="","",IF('Input Nilai Pengetahuan'!$N$1="","",'Input Nilai Pengetahuan'!$N$1))</f>
        <v/>
      </c>
      <c r="CD4" s="90" t="str">
        <f>IF('Input Nilai Pengetahuan'!U45="","",'Input Nilai Pengetahuan'!U45)</f>
        <v/>
      </c>
      <c r="CE4" s="90" t="str">
        <f>IF(CD4="","",IF('Input Nilai Pengetahuan'!$N$1="","",'Input Nilai Pengetahuan'!$N$1))</f>
        <v/>
      </c>
      <c r="CF4" s="90" t="str">
        <f>IF('Input Nilai Pengetahuan'!U46="","",'Input Nilai Pengetahuan'!U46)</f>
        <v/>
      </c>
      <c r="CG4" s="90" t="str">
        <f>IF(CF4="","",IF('Input Nilai Pengetahuan'!$N$1="","",'Input Nilai Pengetahuan'!$N$1))</f>
        <v/>
      </c>
      <c r="CH4" s="90" t="str">
        <f>IF('Input Nilai Pengetahuan'!U47="","",'Input Nilai Pengetahuan'!U47)</f>
        <v/>
      </c>
      <c r="CI4" s="90" t="str">
        <f>IF(CH4="","",IF('Input Nilai Pengetahuan'!$N$1="","",'Input Nilai Pengetahuan'!$N$1))</f>
        <v/>
      </c>
      <c r="CJ4" s="90" t="str">
        <f>IF('Input Nilai Pengetahuan'!U48="","",'Input Nilai Pengetahuan'!U48)</f>
        <v/>
      </c>
      <c r="CK4" s="90" t="str">
        <f>IF(CJ4="","",IF('Input Nilai Pengetahuan'!$N$1="","",'Input Nilai Pengetahuan'!$N$1))</f>
        <v/>
      </c>
      <c r="CL4" s="90" t="str">
        <f>IF('Input Nilai Pengetahuan'!U49="","",'Input Nilai Pengetahuan'!U49)</f>
        <v/>
      </c>
      <c r="CM4" s="90" t="str">
        <f>IF(CL4="","",IF('Input Nilai Pengetahuan'!$N$1="","",'Input Nilai Pengetahuan'!$N$1))</f>
        <v/>
      </c>
      <c r="CN4" s="90" t="str">
        <f>IF('Input Nilai Pengetahuan'!U50="","",'Input Nilai Pengetahuan'!U50)</f>
        <v/>
      </c>
      <c r="CO4" s="90" t="str">
        <f>IF(CN4="","",IF('Input Nilai Pengetahuan'!$N$1="","",'Input Nilai Pengetahuan'!$N$1))</f>
        <v/>
      </c>
      <c r="CP4" s="90" t="str">
        <f>IF('Input Nilai Pengetahuan'!U51="","",'Input Nilai Pengetahuan'!U51)</f>
        <v/>
      </c>
      <c r="CQ4" s="90" t="str">
        <f>IF(CP4="","",IF('Input Nilai Pengetahuan'!$N$1="","",'Input Nilai Pengetahuan'!$N$1))</f>
        <v/>
      </c>
      <c r="CR4" s="90" t="str">
        <f>IF('Input Nilai Pengetahuan'!U52="","",'Input Nilai Pengetahuan'!U52)</f>
        <v/>
      </c>
      <c r="CS4" s="90" t="str">
        <f>IF(CR4="","",IF('Input Nilai Pengetahuan'!$N$1="","",'Input Nilai Pengetahuan'!$N$1))</f>
        <v/>
      </c>
    </row>
    <row r="5" spans="1:97">
      <c r="A5" s="72">
        <v>3</v>
      </c>
      <c r="B5" s="90" t="str">
        <f>IF('Input Nilai Pengetahuan'!AC5="","",'Input Nilai Pengetahuan'!AC5)</f>
        <v/>
      </c>
      <c r="C5" s="90" t="str">
        <f>IF(B5="","",IF('Input Nilai Pengetahuan'!$V$1="","",'Input Nilai Pengetahuan'!$V$1))</f>
        <v/>
      </c>
      <c r="D5" s="90" t="str">
        <f>IF('Input Nilai Pengetahuan'!AC6="","",'Input Nilai Pengetahuan'!AC6)</f>
        <v/>
      </c>
      <c r="E5" s="90" t="str">
        <f>IF(D5="","",IF('Input Nilai Pengetahuan'!$V$1="","",'Input Nilai Pengetahuan'!$V$1))</f>
        <v/>
      </c>
      <c r="F5" s="90" t="str">
        <f>IF('Input Nilai Pengetahuan'!AC7="","",'Input Nilai Pengetahuan'!AC7)</f>
        <v/>
      </c>
      <c r="G5" s="90" t="str">
        <f>IF(F5="","",IF('Input Nilai Pengetahuan'!$V$1="","",'Input Nilai Pengetahuan'!$V$1))</f>
        <v/>
      </c>
      <c r="H5" s="90" t="str">
        <f>IF('Input Nilai Pengetahuan'!AC8="","",'Input Nilai Pengetahuan'!AC8)</f>
        <v/>
      </c>
      <c r="I5" s="90" t="str">
        <f>IF(H5="","",IF('Input Nilai Pengetahuan'!$V$1="","",'Input Nilai Pengetahuan'!$V$1))</f>
        <v/>
      </c>
      <c r="J5" s="90" t="str">
        <f>IF('Input Nilai Pengetahuan'!AC9="","",'Input Nilai Pengetahuan'!AC9)</f>
        <v/>
      </c>
      <c r="K5" s="90" t="str">
        <f>IF(J5="","",IF('Input Nilai Pengetahuan'!$V$1="","",'Input Nilai Pengetahuan'!$V$1))</f>
        <v/>
      </c>
      <c r="L5" s="90" t="str">
        <f>IF('Input Nilai Pengetahuan'!AC10="","",'Input Nilai Pengetahuan'!AC10)</f>
        <v/>
      </c>
      <c r="M5" s="90" t="str">
        <f>IF(L5="","",IF('Input Nilai Pengetahuan'!$V$1="","",'Input Nilai Pengetahuan'!$V$1))</f>
        <v/>
      </c>
      <c r="N5" s="90" t="str">
        <f>IF('Input Nilai Pengetahuan'!AC11="","",'Input Nilai Pengetahuan'!AC11)</f>
        <v/>
      </c>
      <c r="O5" s="90" t="str">
        <f>IF(N5="","",IF('Input Nilai Pengetahuan'!$V$1="","",'Input Nilai Pengetahuan'!$V$1))</f>
        <v/>
      </c>
      <c r="P5" s="90" t="str">
        <f>IF('Input Nilai Pengetahuan'!AC12="","",'Input Nilai Pengetahuan'!AC12)</f>
        <v/>
      </c>
      <c r="Q5" s="90" t="str">
        <f>IF(P5="","",IF('Input Nilai Pengetahuan'!$V$1="","",'Input Nilai Pengetahuan'!$V$1))</f>
        <v/>
      </c>
      <c r="R5" s="90" t="str">
        <f>IF('Input Nilai Pengetahuan'!AC13="","",'Input Nilai Pengetahuan'!AC13)</f>
        <v/>
      </c>
      <c r="S5" s="90" t="str">
        <f>IF(R5="","",IF('Input Nilai Pengetahuan'!$V$1="","",'Input Nilai Pengetahuan'!$V$1))</f>
        <v/>
      </c>
      <c r="T5" s="90" t="str">
        <f>IF('Input Nilai Pengetahuan'!AC14="","",'Input Nilai Pengetahuan'!AC14)</f>
        <v/>
      </c>
      <c r="U5" s="90" t="str">
        <f>IF(T5="","",IF('Input Nilai Pengetahuan'!$V$1="","",'Input Nilai Pengetahuan'!$V$1))</f>
        <v/>
      </c>
      <c r="V5" s="90" t="str">
        <f>IF('Input Nilai Pengetahuan'!AC15="","",'Input Nilai Pengetahuan'!AC15)</f>
        <v/>
      </c>
      <c r="W5" s="90" t="str">
        <f>IF(V5="","",IF('Input Nilai Pengetahuan'!$V$1="","",'Input Nilai Pengetahuan'!$V$1))</f>
        <v/>
      </c>
      <c r="X5" s="90" t="str">
        <f>IF('Input Nilai Pengetahuan'!AC16="","",'Input Nilai Pengetahuan'!AC16)</f>
        <v/>
      </c>
      <c r="Y5" s="90" t="str">
        <f>IF(X5="","",IF('Input Nilai Pengetahuan'!$V$1="","",'Input Nilai Pengetahuan'!$V$1))</f>
        <v/>
      </c>
      <c r="Z5" s="90" t="str">
        <f>IF('Input Nilai Pengetahuan'!AC17="","",'Input Nilai Pengetahuan'!AC17)</f>
        <v/>
      </c>
      <c r="AA5" s="90" t="str">
        <f>IF(Z5="","",IF('Input Nilai Pengetahuan'!$V$1="","",'Input Nilai Pengetahuan'!$V$1))</f>
        <v/>
      </c>
      <c r="AB5" s="90" t="str">
        <f>IF('Input Nilai Pengetahuan'!AC18="","",'Input Nilai Pengetahuan'!AC18)</f>
        <v/>
      </c>
      <c r="AC5" s="90" t="str">
        <f>IF(AB5="","",IF('Input Nilai Pengetahuan'!$V$1="","",'Input Nilai Pengetahuan'!$V$1))</f>
        <v/>
      </c>
      <c r="AD5" s="90" t="str">
        <f>IF('Input Nilai Pengetahuan'!AC19="","",'Input Nilai Pengetahuan'!AC19)</f>
        <v/>
      </c>
      <c r="AE5" s="90" t="str">
        <f>IF(AD5="","",IF('Input Nilai Pengetahuan'!$V$1="","",'Input Nilai Pengetahuan'!$V$1))</f>
        <v/>
      </c>
      <c r="AF5" s="90" t="str">
        <f>IF('Input Nilai Pengetahuan'!AC20="","",'Input Nilai Pengetahuan'!AC20)</f>
        <v/>
      </c>
      <c r="AG5" s="90" t="str">
        <f>IF(AF5="","",IF('Input Nilai Pengetahuan'!$V$1="","",'Input Nilai Pengetahuan'!$V$1))</f>
        <v/>
      </c>
      <c r="AH5" s="90" t="str">
        <f>IF('Input Nilai Pengetahuan'!AC21="","",'Input Nilai Pengetahuan'!AC21)</f>
        <v/>
      </c>
      <c r="AI5" s="90" t="str">
        <f>IF(AH5="","",IF('Input Nilai Pengetahuan'!$V$1="","",'Input Nilai Pengetahuan'!$V$1))</f>
        <v/>
      </c>
      <c r="AJ5" s="90" t="str">
        <f>IF('Input Nilai Pengetahuan'!AC22="","",'Input Nilai Pengetahuan'!AC22)</f>
        <v/>
      </c>
      <c r="AK5" s="90" t="str">
        <f>IF(AJ5="","",IF('Input Nilai Pengetahuan'!$V$1="","",'Input Nilai Pengetahuan'!$V$1))</f>
        <v/>
      </c>
      <c r="AL5" s="90" t="str">
        <f>IF('Input Nilai Pengetahuan'!AC23="","",'Input Nilai Pengetahuan'!AC23)</f>
        <v/>
      </c>
      <c r="AM5" s="90" t="str">
        <f>IF(AL5="","",IF('Input Nilai Pengetahuan'!$V$1="","",'Input Nilai Pengetahuan'!$V$1))</f>
        <v/>
      </c>
      <c r="AN5" s="90" t="str">
        <f>IF('Input Nilai Pengetahuan'!AC24="","",'Input Nilai Pengetahuan'!AC24)</f>
        <v/>
      </c>
      <c r="AO5" s="90" t="str">
        <f>IF(AN5="","",IF('Input Nilai Pengetahuan'!$V$1="","",'Input Nilai Pengetahuan'!$V$1))</f>
        <v/>
      </c>
      <c r="AP5" s="90" t="str">
        <f>IF('Input Nilai Pengetahuan'!AC25="","",'Input Nilai Pengetahuan'!AC25)</f>
        <v/>
      </c>
      <c r="AQ5" s="90" t="str">
        <f>IF(AP5="","",IF('Input Nilai Pengetahuan'!$V$1="","",'Input Nilai Pengetahuan'!$V$1))</f>
        <v/>
      </c>
      <c r="AR5" s="90" t="str">
        <f>IF('Input Nilai Pengetahuan'!AC26="","",'Input Nilai Pengetahuan'!AC26)</f>
        <v/>
      </c>
      <c r="AS5" s="90" t="str">
        <f>IF(AR5="","",IF('Input Nilai Pengetahuan'!$V$1="","",'Input Nilai Pengetahuan'!$V$1))</f>
        <v/>
      </c>
      <c r="AT5" s="90" t="str">
        <f>IF('Input Nilai Pengetahuan'!AC27="","",'Input Nilai Pengetahuan'!AC27)</f>
        <v/>
      </c>
      <c r="AU5" s="90" t="str">
        <f>IF(AT5="","",IF('Input Nilai Pengetahuan'!$V$1="","",'Input Nilai Pengetahuan'!$V$1))</f>
        <v/>
      </c>
      <c r="AV5" s="90" t="str">
        <f>IF('Input Nilai Pengetahuan'!AC28="","",'Input Nilai Pengetahuan'!AC28)</f>
        <v/>
      </c>
      <c r="AW5" s="90" t="str">
        <f>IF(AV5="","",IF('Input Nilai Pengetahuan'!$V$1="","",'Input Nilai Pengetahuan'!$V$1))</f>
        <v/>
      </c>
      <c r="AX5" s="90" t="str">
        <f>IF('Input Nilai Pengetahuan'!AC29="","",'Input Nilai Pengetahuan'!AC29)</f>
        <v/>
      </c>
      <c r="AY5" s="90" t="str">
        <f>IF(AX5="","",IF('Input Nilai Pengetahuan'!$V$1="","",'Input Nilai Pengetahuan'!$V$1))</f>
        <v/>
      </c>
      <c r="AZ5" s="90" t="str">
        <f>IF('Input Nilai Pengetahuan'!AC30="","",'Input Nilai Pengetahuan'!AC30)</f>
        <v/>
      </c>
      <c r="BA5" s="90" t="str">
        <f>IF(AZ5="","",IF('Input Nilai Pengetahuan'!$V$1="","",'Input Nilai Pengetahuan'!$V$1))</f>
        <v/>
      </c>
      <c r="BB5" s="90" t="str">
        <f>IF('Input Nilai Pengetahuan'!AC31="","",'Input Nilai Pengetahuan'!AC31)</f>
        <v/>
      </c>
      <c r="BC5" s="90" t="str">
        <f>IF(BB5="","",IF('Input Nilai Pengetahuan'!$V$1="","",'Input Nilai Pengetahuan'!$V$1))</f>
        <v/>
      </c>
      <c r="BD5" s="90" t="str">
        <f>IF('Input Nilai Pengetahuan'!AC32="","",'Input Nilai Pengetahuan'!AC32)</f>
        <v/>
      </c>
      <c r="BE5" s="90" t="str">
        <f>IF(BD5="","",IF('Input Nilai Pengetahuan'!$V$1="","",'Input Nilai Pengetahuan'!$V$1))</f>
        <v/>
      </c>
      <c r="BF5" s="90" t="str">
        <f>IF('Input Nilai Pengetahuan'!AC33="","",'Input Nilai Pengetahuan'!AC33)</f>
        <v/>
      </c>
      <c r="BG5" s="90" t="str">
        <f>IF(BF5="","",IF('Input Nilai Pengetahuan'!$V$1="","",'Input Nilai Pengetahuan'!$V$1))</f>
        <v/>
      </c>
      <c r="BH5" s="90" t="str">
        <f>IF('Input Nilai Pengetahuan'!AC34="","",'Input Nilai Pengetahuan'!AC34)</f>
        <v/>
      </c>
      <c r="BI5" s="90" t="str">
        <f>IF(BH5="","",IF('Input Nilai Pengetahuan'!$V$1="","",'Input Nilai Pengetahuan'!$V$1))</f>
        <v/>
      </c>
      <c r="BJ5" s="90" t="str">
        <f>IF('Input Nilai Pengetahuan'!AC35="","",'Input Nilai Pengetahuan'!AC35)</f>
        <v/>
      </c>
      <c r="BK5" s="90" t="str">
        <f>IF(BJ5="","",IF('Input Nilai Pengetahuan'!$V$1="","",'Input Nilai Pengetahuan'!$V$1))</f>
        <v/>
      </c>
      <c r="BL5" s="90" t="str">
        <f>IF('Input Nilai Pengetahuan'!AC36="","",'Input Nilai Pengetahuan'!AC36)</f>
        <v/>
      </c>
      <c r="BM5" s="90" t="str">
        <f>IF(BL5="","",IF('Input Nilai Pengetahuan'!$V$1="","",'Input Nilai Pengetahuan'!$V$1))</f>
        <v/>
      </c>
      <c r="BN5" s="90" t="str">
        <f>IF('Input Nilai Pengetahuan'!AC37="","",'Input Nilai Pengetahuan'!AC37)</f>
        <v/>
      </c>
      <c r="BO5" s="90" t="str">
        <f>IF(BN5="","",IF('Input Nilai Pengetahuan'!$V$1="","",'Input Nilai Pengetahuan'!$V$1))</f>
        <v/>
      </c>
      <c r="BP5" s="90" t="str">
        <f>IF('Input Nilai Pengetahuan'!AC38="","",'Input Nilai Pengetahuan'!AC38)</f>
        <v/>
      </c>
      <c r="BQ5" s="90" t="str">
        <f>IF(BP5="","",IF('Input Nilai Pengetahuan'!$V$1="","",'Input Nilai Pengetahuan'!$V$1))</f>
        <v/>
      </c>
      <c r="BR5" s="90" t="str">
        <f>IF('Input Nilai Pengetahuan'!AC39="","",'Input Nilai Pengetahuan'!AC39)</f>
        <v/>
      </c>
      <c r="BS5" s="90" t="str">
        <f>IF(BR5="","",IF('Input Nilai Pengetahuan'!$V$1="","",'Input Nilai Pengetahuan'!$V$1))</f>
        <v/>
      </c>
      <c r="BT5" s="90" t="str">
        <f>IF('Input Nilai Pengetahuan'!AC40="","",'Input Nilai Pengetahuan'!AC40)</f>
        <v/>
      </c>
      <c r="BU5" s="90" t="str">
        <f>IF(BT5="","",IF('Input Nilai Pengetahuan'!$V$1="","",'Input Nilai Pengetahuan'!$V$1))</f>
        <v/>
      </c>
      <c r="BV5" s="90" t="str">
        <f>IF('Input Nilai Pengetahuan'!AC41="","",'Input Nilai Pengetahuan'!AC41)</f>
        <v/>
      </c>
      <c r="BW5" s="90" t="str">
        <f>IF(BV5="","",IF('Input Nilai Pengetahuan'!$V$1="","",'Input Nilai Pengetahuan'!$V$1))</f>
        <v/>
      </c>
      <c r="BX5" s="90" t="str">
        <f>IF('Input Nilai Pengetahuan'!AC42="","",'Input Nilai Pengetahuan'!AC42)</f>
        <v/>
      </c>
      <c r="BY5" s="90" t="str">
        <f>IF(BX5="","",IF('Input Nilai Pengetahuan'!$V$1="","",'Input Nilai Pengetahuan'!$V$1))</f>
        <v/>
      </c>
      <c r="BZ5" s="90" t="str">
        <f>IF('Input Nilai Pengetahuan'!AC43="","",'Input Nilai Pengetahuan'!AC43)</f>
        <v/>
      </c>
      <c r="CA5" s="90" t="str">
        <f>IF(BZ5="","",IF('Input Nilai Pengetahuan'!$V$1="","",'Input Nilai Pengetahuan'!$V$1))</f>
        <v/>
      </c>
      <c r="CB5" s="90" t="str">
        <f>IF('Input Nilai Pengetahuan'!AC44="","",'Input Nilai Pengetahuan'!AC44)</f>
        <v/>
      </c>
      <c r="CC5" s="90" t="str">
        <f>IF(CB5="","",IF('Input Nilai Pengetahuan'!$V$1="","",'Input Nilai Pengetahuan'!$V$1))</f>
        <v/>
      </c>
      <c r="CD5" s="90" t="str">
        <f>IF('Input Nilai Pengetahuan'!AC45="","",'Input Nilai Pengetahuan'!AC45)</f>
        <v/>
      </c>
      <c r="CE5" s="90" t="str">
        <f>IF(CD5="","",IF('Input Nilai Pengetahuan'!$V$1="","",'Input Nilai Pengetahuan'!$V$1))</f>
        <v/>
      </c>
      <c r="CF5" s="90" t="str">
        <f>IF('Input Nilai Pengetahuan'!AC46="","",'Input Nilai Pengetahuan'!AC46)</f>
        <v/>
      </c>
      <c r="CG5" s="90" t="str">
        <f>IF(CF5="","",IF('Input Nilai Pengetahuan'!$V$1="","",'Input Nilai Pengetahuan'!$V$1))</f>
        <v/>
      </c>
      <c r="CH5" s="90" t="str">
        <f>IF('Input Nilai Pengetahuan'!AC47="","",'Input Nilai Pengetahuan'!AC47)</f>
        <v/>
      </c>
      <c r="CI5" s="90" t="str">
        <f>IF(CH5="","",IF('Input Nilai Pengetahuan'!$V$1="","",'Input Nilai Pengetahuan'!$V$1))</f>
        <v/>
      </c>
      <c r="CJ5" s="90" t="str">
        <f>IF('Input Nilai Pengetahuan'!AC48="","",'Input Nilai Pengetahuan'!AC48)</f>
        <v/>
      </c>
      <c r="CK5" s="90" t="str">
        <f>IF(CJ5="","",IF('Input Nilai Pengetahuan'!$V$1="","",'Input Nilai Pengetahuan'!$V$1))</f>
        <v/>
      </c>
      <c r="CL5" s="90" t="str">
        <f>IF('Input Nilai Pengetahuan'!AC49="","",'Input Nilai Pengetahuan'!AC49)</f>
        <v/>
      </c>
      <c r="CM5" s="90" t="str">
        <f>IF(CL5="","",IF('Input Nilai Pengetahuan'!$V$1="","",'Input Nilai Pengetahuan'!$V$1))</f>
        <v/>
      </c>
      <c r="CN5" s="90" t="str">
        <f>IF('Input Nilai Pengetahuan'!AC50="","",'Input Nilai Pengetahuan'!AC50)</f>
        <v/>
      </c>
      <c r="CO5" s="90" t="str">
        <f>IF(CN5="","",IF('Input Nilai Pengetahuan'!$V$1="","",'Input Nilai Pengetahuan'!$V$1))</f>
        <v/>
      </c>
      <c r="CP5" s="90" t="str">
        <f>IF('Input Nilai Pengetahuan'!AC51="","",'Input Nilai Pengetahuan'!AC51)</f>
        <v/>
      </c>
      <c r="CQ5" s="90" t="str">
        <f>IF(CP5="","",IF('Input Nilai Pengetahuan'!$V$1="","",'Input Nilai Pengetahuan'!$V$1))</f>
        <v/>
      </c>
      <c r="CR5" s="90" t="str">
        <f>IF('Input Nilai Pengetahuan'!AC52="","",'Input Nilai Pengetahuan'!AC52)</f>
        <v/>
      </c>
      <c r="CS5" s="90" t="str">
        <f>IF(CR5="","",IF('Input Nilai Pengetahuan'!$V$1="","",'Input Nilai Pengetahuan'!$V$1))</f>
        <v/>
      </c>
    </row>
    <row r="6" spans="1:97">
      <c r="A6" s="72">
        <v>4</v>
      </c>
      <c r="B6" s="90" t="str">
        <f>IF('Input Nilai Pengetahuan'!AK5="","",'Input Nilai Pengetahuan'!AK5)</f>
        <v/>
      </c>
      <c r="C6" s="90" t="str">
        <f>IF(B6="","",IF('Input Nilai Pengetahuan'!$AD$1="","",'Input Nilai Pengetahuan'!$AD$1))</f>
        <v/>
      </c>
      <c r="D6" s="90" t="str">
        <f>IF('Input Nilai Pengetahuan'!AK6="","",'Input Nilai Pengetahuan'!AK6)</f>
        <v/>
      </c>
      <c r="E6" s="90" t="str">
        <f>IF(D6="","",IF('Input Nilai Pengetahuan'!$AD$1="","",'Input Nilai Pengetahuan'!$AD$1))</f>
        <v/>
      </c>
      <c r="F6" s="90" t="str">
        <f>IF('Input Nilai Pengetahuan'!AK7="","",'Input Nilai Pengetahuan'!AK7)</f>
        <v/>
      </c>
      <c r="G6" s="90" t="str">
        <f>IF(F6="","",IF('Input Nilai Pengetahuan'!$AD$1="","",'Input Nilai Pengetahuan'!$AD$1))</f>
        <v/>
      </c>
      <c r="H6" s="90" t="str">
        <f>IF('Input Nilai Pengetahuan'!AK8="","",'Input Nilai Pengetahuan'!AK8)</f>
        <v/>
      </c>
      <c r="I6" s="90" t="str">
        <f>IF(H6="","",IF('Input Nilai Pengetahuan'!$AD$1="","",'Input Nilai Pengetahuan'!$AD$1))</f>
        <v/>
      </c>
      <c r="J6" s="90" t="str">
        <f>IF('Input Nilai Pengetahuan'!AK9="","",'Input Nilai Pengetahuan'!AK9)</f>
        <v/>
      </c>
      <c r="K6" s="90" t="str">
        <f>IF(J6="","",IF('Input Nilai Pengetahuan'!$AD$1="","",'Input Nilai Pengetahuan'!$AD$1))</f>
        <v/>
      </c>
      <c r="L6" s="90" t="str">
        <f>IF('Input Nilai Pengetahuan'!AK10="","",'Input Nilai Pengetahuan'!AK10)</f>
        <v/>
      </c>
      <c r="M6" s="90" t="str">
        <f>IF(L6="","",IF('Input Nilai Pengetahuan'!$AD$1="","",'Input Nilai Pengetahuan'!$AD$1))</f>
        <v/>
      </c>
      <c r="N6" s="90" t="str">
        <f>IF('Input Nilai Pengetahuan'!AK11="","",'Input Nilai Pengetahuan'!AK11)</f>
        <v/>
      </c>
      <c r="O6" s="90" t="str">
        <f>IF(N6="","",IF('Input Nilai Pengetahuan'!$AD$1="","",'Input Nilai Pengetahuan'!$AD$1))</f>
        <v/>
      </c>
      <c r="P6" s="90" t="str">
        <f>IF('Input Nilai Pengetahuan'!AK12="","",'Input Nilai Pengetahuan'!AK12)</f>
        <v/>
      </c>
      <c r="Q6" s="90" t="str">
        <f>IF(P6="","",IF('Input Nilai Pengetahuan'!$AD$1="","",'Input Nilai Pengetahuan'!$AD$1))</f>
        <v/>
      </c>
      <c r="R6" s="90" t="str">
        <f>IF('Input Nilai Pengetahuan'!AK13="","",'Input Nilai Pengetahuan'!AK13)</f>
        <v/>
      </c>
      <c r="S6" s="90" t="str">
        <f>IF(R6="","",IF('Input Nilai Pengetahuan'!$AD$1="","",'Input Nilai Pengetahuan'!$AD$1))</f>
        <v/>
      </c>
      <c r="T6" s="90" t="str">
        <f>IF('Input Nilai Pengetahuan'!AK14="","",'Input Nilai Pengetahuan'!AK14)</f>
        <v/>
      </c>
      <c r="U6" s="90" t="str">
        <f>IF(T6="","",IF('Input Nilai Pengetahuan'!$AD$1="","",'Input Nilai Pengetahuan'!$AD$1))</f>
        <v/>
      </c>
      <c r="V6" s="90" t="str">
        <f>IF('Input Nilai Pengetahuan'!AK15="","",'Input Nilai Pengetahuan'!AK15)</f>
        <v/>
      </c>
      <c r="W6" s="90" t="str">
        <f>IF(V6="","",IF('Input Nilai Pengetahuan'!$AD$1="","",'Input Nilai Pengetahuan'!$AD$1))</f>
        <v/>
      </c>
      <c r="X6" s="90" t="str">
        <f>IF('Input Nilai Pengetahuan'!AK16="","",'Input Nilai Pengetahuan'!AK16)</f>
        <v/>
      </c>
      <c r="Y6" s="90" t="str">
        <f>IF(X6="","",IF('Input Nilai Pengetahuan'!$AD$1="","",'Input Nilai Pengetahuan'!$AD$1))</f>
        <v/>
      </c>
      <c r="Z6" s="90" t="str">
        <f>IF('Input Nilai Pengetahuan'!AK17="","",'Input Nilai Pengetahuan'!AK17)</f>
        <v/>
      </c>
      <c r="AA6" s="90" t="str">
        <f>IF(Z6="","",IF('Input Nilai Pengetahuan'!$AD$1="","",'Input Nilai Pengetahuan'!$AD$1))</f>
        <v/>
      </c>
      <c r="AB6" s="90" t="str">
        <f>IF('Input Nilai Pengetahuan'!AK18="","",'Input Nilai Pengetahuan'!AK18)</f>
        <v/>
      </c>
      <c r="AC6" s="90" t="str">
        <f>IF(AB6="","",IF('Input Nilai Pengetahuan'!$AD$1="","",'Input Nilai Pengetahuan'!$AD$1))</f>
        <v/>
      </c>
      <c r="AD6" s="90" t="str">
        <f>IF('Input Nilai Pengetahuan'!AK19="","",'Input Nilai Pengetahuan'!AK19)</f>
        <v/>
      </c>
      <c r="AE6" s="90" t="str">
        <f>IF(AD6="","",IF('Input Nilai Pengetahuan'!$AD$1="","",'Input Nilai Pengetahuan'!$AD$1))</f>
        <v/>
      </c>
      <c r="AF6" s="90" t="str">
        <f>IF('Input Nilai Pengetahuan'!AK20="","",'Input Nilai Pengetahuan'!AK20)</f>
        <v/>
      </c>
      <c r="AG6" s="90" t="str">
        <f>IF(AF6="","",IF('Input Nilai Pengetahuan'!$AD$1="","",'Input Nilai Pengetahuan'!$AD$1))</f>
        <v/>
      </c>
      <c r="AH6" s="90" t="str">
        <f>IF('Input Nilai Pengetahuan'!AK21="","",'Input Nilai Pengetahuan'!AK21)</f>
        <v/>
      </c>
      <c r="AI6" s="90" t="str">
        <f>IF(AH6="","",IF('Input Nilai Pengetahuan'!$AD$1="","",'Input Nilai Pengetahuan'!$AD$1))</f>
        <v/>
      </c>
      <c r="AJ6" s="90" t="str">
        <f>IF('Input Nilai Pengetahuan'!AK22="","",'Input Nilai Pengetahuan'!AK22)</f>
        <v/>
      </c>
      <c r="AK6" s="90" t="str">
        <f>IF(AJ6="","",IF('Input Nilai Pengetahuan'!$AD$1="","",'Input Nilai Pengetahuan'!$AD$1))</f>
        <v/>
      </c>
      <c r="AL6" s="90" t="str">
        <f>IF('Input Nilai Pengetahuan'!AK23="","",'Input Nilai Pengetahuan'!AK23)</f>
        <v/>
      </c>
      <c r="AM6" s="90" t="str">
        <f>IF(AL6="","",IF('Input Nilai Pengetahuan'!$AD$1="","",'Input Nilai Pengetahuan'!$AD$1))</f>
        <v/>
      </c>
      <c r="AN6" s="90" t="str">
        <f>IF('Input Nilai Pengetahuan'!AK24="","",'Input Nilai Pengetahuan'!AK24)</f>
        <v/>
      </c>
      <c r="AO6" s="90" t="str">
        <f>IF(AN6="","",IF('Input Nilai Pengetahuan'!$AD$1="","",'Input Nilai Pengetahuan'!$AD$1))</f>
        <v/>
      </c>
      <c r="AP6" s="90" t="str">
        <f>IF('Input Nilai Pengetahuan'!AK25="","",'Input Nilai Pengetahuan'!AK25)</f>
        <v/>
      </c>
      <c r="AQ6" s="90" t="str">
        <f>IF(AP6="","",IF('Input Nilai Pengetahuan'!$AD$1="","",'Input Nilai Pengetahuan'!$AD$1))</f>
        <v/>
      </c>
      <c r="AR6" s="90" t="str">
        <f>IF('Input Nilai Pengetahuan'!AK26="","",'Input Nilai Pengetahuan'!AK26)</f>
        <v/>
      </c>
      <c r="AS6" s="90" t="str">
        <f>IF(AR6="","",IF('Input Nilai Pengetahuan'!$AD$1="","",'Input Nilai Pengetahuan'!$AD$1))</f>
        <v/>
      </c>
      <c r="AT6" s="90" t="str">
        <f>IF('Input Nilai Pengetahuan'!AK27="","",'Input Nilai Pengetahuan'!AK27)</f>
        <v/>
      </c>
      <c r="AU6" s="90" t="str">
        <f>IF(AT6="","",IF('Input Nilai Pengetahuan'!$AD$1="","",'Input Nilai Pengetahuan'!$AD$1))</f>
        <v/>
      </c>
      <c r="AV6" s="90" t="str">
        <f>IF('Input Nilai Pengetahuan'!AK28="","",'Input Nilai Pengetahuan'!AK28)</f>
        <v/>
      </c>
      <c r="AW6" s="90" t="str">
        <f>IF(AV6="","",IF('Input Nilai Pengetahuan'!$AD$1="","",'Input Nilai Pengetahuan'!$AD$1))</f>
        <v/>
      </c>
      <c r="AX6" s="90" t="str">
        <f>IF('Input Nilai Pengetahuan'!AK29="","",'Input Nilai Pengetahuan'!AK29)</f>
        <v/>
      </c>
      <c r="AY6" s="90" t="str">
        <f>IF(AX6="","",IF('Input Nilai Pengetahuan'!$AD$1="","",'Input Nilai Pengetahuan'!$AD$1))</f>
        <v/>
      </c>
      <c r="AZ6" s="90" t="str">
        <f>IF('Input Nilai Pengetahuan'!AK30="","",'Input Nilai Pengetahuan'!AK30)</f>
        <v/>
      </c>
      <c r="BA6" s="90" t="str">
        <f>IF(AZ6="","",IF('Input Nilai Pengetahuan'!$AD$1="","",'Input Nilai Pengetahuan'!$AD$1))</f>
        <v/>
      </c>
      <c r="BB6" s="90" t="str">
        <f>IF('Input Nilai Pengetahuan'!AK31="","",'Input Nilai Pengetahuan'!AK31)</f>
        <v/>
      </c>
      <c r="BC6" s="90" t="str">
        <f>IF(BB6="","",IF('Input Nilai Pengetahuan'!$AD$1="","",'Input Nilai Pengetahuan'!$AD$1))</f>
        <v/>
      </c>
      <c r="BD6" s="90" t="str">
        <f>IF('Input Nilai Pengetahuan'!AK32="","",'Input Nilai Pengetahuan'!AK32)</f>
        <v/>
      </c>
      <c r="BE6" s="90" t="str">
        <f>IF(BD6="","",IF('Input Nilai Pengetahuan'!$AD$1="","",'Input Nilai Pengetahuan'!$AD$1))</f>
        <v/>
      </c>
      <c r="BF6" s="90" t="str">
        <f>IF('Input Nilai Pengetahuan'!AK33="","",'Input Nilai Pengetahuan'!AK33)</f>
        <v/>
      </c>
      <c r="BG6" s="90" t="str">
        <f>IF(BF6="","",IF('Input Nilai Pengetahuan'!$AD$1="","",'Input Nilai Pengetahuan'!$AD$1))</f>
        <v/>
      </c>
      <c r="BH6" s="90" t="str">
        <f>IF('Input Nilai Pengetahuan'!AK34="","",'Input Nilai Pengetahuan'!AK34)</f>
        <v/>
      </c>
      <c r="BI6" s="90" t="str">
        <f>IF(BH6="","",IF('Input Nilai Pengetahuan'!$AD$1="","",'Input Nilai Pengetahuan'!$AD$1))</f>
        <v/>
      </c>
      <c r="BJ6" s="90" t="str">
        <f>IF('Input Nilai Pengetahuan'!AK35="","",'Input Nilai Pengetahuan'!AK35)</f>
        <v/>
      </c>
      <c r="BK6" s="90" t="str">
        <f>IF(BJ6="","",IF('Input Nilai Pengetahuan'!$AD$1="","",'Input Nilai Pengetahuan'!$AD$1))</f>
        <v/>
      </c>
      <c r="BL6" s="90" t="str">
        <f>IF('Input Nilai Pengetahuan'!AK36="","",'Input Nilai Pengetahuan'!AK36)</f>
        <v/>
      </c>
      <c r="BM6" s="90" t="str">
        <f>IF(BL6="","",IF('Input Nilai Pengetahuan'!$AD$1="","",'Input Nilai Pengetahuan'!$AD$1))</f>
        <v/>
      </c>
      <c r="BN6" s="90" t="str">
        <f>IF('Input Nilai Pengetahuan'!AK37="","",'Input Nilai Pengetahuan'!AK37)</f>
        <v/>
      </c>
      <c r="BO6" s="90" t="str">
        <f>IF(BN6="","",IF('Input Nilai Pengetahuan'!$AD$1="","",'Input Nilai Pengetahuan'!$AD$1))</f>
        <v/>
      </c>
      <c r="BP6" s="90" t="str">
        <f>IF('Input Nilai Pengetahuan'!AK38="","",'Input Nilai Pengetahuan'!AK38)</f>
        <v/>
      </c>
      <c r="BQ6" s="90" t="str">
        <f>IF(BP6="","",IF('Input Nilai Pengetahuan'!$AD$1="","",'Input Nilai Pengetahuan'!$AD$1))</f>
        <v/>
      </c>
      <c r="BR6" s="90" t="str">
        <f>IF('Input Nilai Pengetahuan'!AK39="","",'Input Nilai Pengetahuan'!AK39)</f>
        <v/>
      </c>
      <c r="BS6" s="90" t="str">
        <f>IF(BR6="","",IF('Input Nilai Pengetahuan'!$AD$1="","",'Input Nilai Pengetahuan'!$AD$1))</f>
        <v/>
      </c>
      <c r="BT6" s="90" t="str">
        <f>IF('Input Nilai Pengetahuan'!AK40="","",'Input Nilai Pengetahuan'!AK40)</f>
        <v/>
      </c>
      <c r="BU6" s="90" t="str">
        <f>IF(BT6="","",IF('Input Nilai Pengetahuan'!$AD$1="","",'Input Nilai Pengetahuan'!$AD$1))</f>
        <v/>
      </c>
      <c r="BV6" s="90" t="str">
        <f>IF('Input Nilai Pengetahuan'!AK41="","",'Input Nilai Pengetahuan'!AK41)</f>
        <v/>
      </c>
      <c r="BW6" s="90" t="str">
        <f>IF(BV6="","",IF('Input Nilai Pengetahuan'!$AD$1="","",'Input Nilai Pengetahuan'!$AD$1))</f>
        <v/>
      </c>
      <c r="BX6" s="90" t="str">
        <f>IF('Input Nilai Pengetahuan'!AK42="","",'Input Nilai Pengetahuan'!AK42)</f>
        <v/>
      </c>
      <c r="BY6" s="90" t="str">
        <f>IF(BX6="","",IF('Input Nilai Pengetahuan'!$AD$1="","",'Input Nilai Pengetahuan'!$AD$1))</f>
        <v/>
      </c>
      <c r="BZ6" s="90" t="str">
        <f>IF('Input Nilai Pengetahuan'!AK43="","",'Input Nilai Pengetahuan'!AK43)</f>
        <v/>
      </c>
      <c r="CA6" s="90" t="str">
        <f>IF(BZ6="","",IF('Input Nilai Pengetahuan'!$AD$1="","",'Input Nilai Pengetahuan'!$AD$1))</f>
        <v/>
      </c>
      <c r="CB6" s="90" t="str">
        <f>IF('Input Nilai Pengetahuan'!AK44="","",'Input Nilai Pengetahuan'!AK44)</f>
        <v/>
      </c>
      <c r="CC6" s="90" t="str">
        <f>IF(CB6="","",IF('Input Nilai Pengetahuan'!$AD$1="","",'Input Nilai Pengetahuan'!$AD$1))</f>
        <v/>
      </c>
      <c r="CD6" s="90" t="str">
        <f>IF('Input Nilai Pengetahuan'!AK45="","",'Input Nilai Pengetahuan'!AK45)</f>
        <v/>
      </c>
      <c r="CE6" s="90" t="str">
        <f>IF(CD6="","",IF('Input Nilai Pengetahuan'!$AD$1="","",'Input Nilai Pengetahuan'!$AD$1))</f>
        <v/>
      </c>
      <c r="CF6" s="90" t="str">
        <f>IF('Input Nilai Pengetahuan'!AK46="","",'Input Nilai Pengetahuan'!AK46)</f>
        <v/>
      </c>
      <c r="CG6" s="90" t="str">
        <f>IF(CF6="","",IF('Input Nilai Pengetahuan'!$AD$1="","",'Input Nilai Pengetahuan'!$AD$1))</f>
        <v/>
      </c>
      <c r="CH6" s="90" t="str">
        <f>IF('Input Nilai Pengetahuan'!AK47="","",'Input Nilai Pengetahuan'!AK47)</f>
        <v/>
      </c>
      <c r="CI6" s="90" t="str">
        <f>IF(CH6="","",IF('Input Nilai Pengetahuan'!$AD$1="","",'Input Nilai Pengetahuan'!$AD$1))</f>
        <v/>
      </c>
      <c r="CJ6" s="90" t="str">
        <f>IF('Input Nilai Pengetahuan'!AK48="","",'Input Nilai Pengetahuan'!AK48)</f>
        <v/>
      </c>
      <c r="CK6" s="90" t="str">
        <f>IF(CJ6="","",IF('Input Nilai Pengetahuan'!$AD$1="","",'Input Nilai Pengetahuan'!$AD$1))</f>
        <v/>
      </c>
      <c r="CL6" s="90" t="str">
        <f>IF('Input Nilai Pengetahuan'!AK49="","",'Input Nilai Pengetahuan'!AK49)</f>
        <v/>
      </c>
      <c r="CM6" s="90" t="str">
        <f>IF(CL6="","",IF('Input Nilai Pengetahuan'!$AD$1="","",'Input Nilai Pengetahuan'!$AD$1))</f>
        <v/>
      </c>
      <c r="CN6" s="90" t="str">
        <f>IF('Input Nilai Pengetahuan'!AK50="","",'Input Nilai Pengetahuan'!AK50)</f>
        <v/>
      </c>
      <c r="CO6" s="90" t="str">
        <f>IF(CN6="","",IF('Input Nilai Pengetahuan'!$AD$1="","",'Input Nilai Pengetahuan'!$AD$1))</f>
        <v/>
      </c>
      <c r="CP6" s="90" t="str">
        <f>IF('Input Nilai Pengetahuan'!AK51="","",'Input Nilai Pengetahuan'!AK51)</f>
        <v/>
      </c>
      <c r="CQ6" s="90" t="str">
        <f>IF(CP6="","",IF('Input Nilai Pengetahuan'!$AD$1="","",'Input Nilai Pengetahuan'!$AD$1))</f>
        <v/>
      </c>
      <c r="CR6" s="90" t="str">
        <f>IF('Input Nilai Pengetahuan'!AK52="","",'Input Nilai Pengetahuan'!AK52)</f>
        <v/>
      </c>
      <c r="CS6" s="90" t="str">
        <f>IF(CR6="","",IF('Input Nilai Pengetahuan'!$AD$1="","",'Input Nilai Pengetahuan'!$AD$1))</f>
        <v/>
      </c>
    </row>
    <row r="7" spans="1:97">
      <c r="A7" s="72">
        <v>5</v>
      </c>
      <c r="B7" s="90" t="str">
        <f>IF('Input Nilai Pengetahuan'!AS5="","",'Input Nilai Pengetahuan'!AS5)</f>
        <v/>
      </c>
      <c r="C7" s="90" t="str">
        <f>IF(B3="","",IF('Input Nilai Pengetahuan'!$AL$1="","",'Input Nilai Pengetahuan'!$AL$1))</f>
        <v>Mengidentifikasi informasi (kabar, keperluan, permintaan, atau permohonan) dari surat pribadi dan surat dinas yang dibaca dan didengar</v>
      </c>
      <c r="D7" s="90" t="str">
        <f>IF('Input Nilai Pengetahuan'!AS6="","",'Input Nilai Pengetahuan'!AS6)</f>
        <v/>
      </c>
      <c r="E7" s="90" t="str">
        <f>IF(D3="","",IF('Input Nilai Pengetahuan'!$AL$1="","",'Input Nilai Pengetahuan'!$AL$1))</f>
        <v/>
      </c>
      <c r="F7" s="90" t="str">
        <f>IF('Input Nilai Pengetahuan'!AS7="","",'Input Nilai Pengetahuan'!AS7)</f>
        <v/>
      </c>
      <c r="G7" s="90" t="str">
        <f>IF(F3="","",IF('Input Nilai Pengetahuan'!$AL$1="","",'Input Nilai Pengetahuan'!$AL$1))</f>
        <v>Mengidentifikasi informasi (kabar, keperluan, permintaan, atau permohonan) dari surat pribadi dan surat dinas yang dibaca dan didengar</v>
      </c>
      <c r="H7" s="90" t="str">
        <f>IF('Input Nilai Pengetahuan'!AS8="","",'Input Nilai Pengetahuan'!AS8)</f>
        <v/>
      </c>
      <c r="I7" s="90" t="str">
        <f>IF(H3="","",IF('Input Nilai Pengetahuan'!$AL$1="","",'Input Nilai Pengetahuan'!$AL$1))</f>
        <v>Mengidentifikasi informasi (kabar, keperluan, permintaan, atau permohonan) dari surat pribadi dan surat dinas yang dibaca dan didengar</v>
      </c>
      <c r="J7" s="90" t="str">
        <f>IF('Input Nilai Pengetahuan'!AS9="","",'Input Nilai Pengetahuan'!AS9)</f>
        <v/>
      </c>
      <c r="K7" s="90" t="str">
        <f>IF(J3="","",IF('Input Nilai Pengetahuan'!$AL$1="","",'Input Nilai Pengetahuan'!$AL$1))</f>
        <v>Mengidentifikasi informasi (kabar, keperluan, permintaan, atau permohonan) dari surat pribadi dan surat dinas yang dibaca dan didengar</v>
      </c>
      <c r="L7" s="90" t="str">
        <f>IF('Input Nilai Pengetahuan'!AS10="","",'Input Nilai Pengetahuan'!AS10)</f>
        <v/>
      </c>
      <c r="M7" s="90" t="str">
        <f>IF(L3="","",IF('Input Nilai Pengetahuan'!$AL$1="","",'Input Nilai Pengetahuan'!$AL$1))</f>
        <v>Mengidentifikasi informasi (kabar, keperluan, permintaan, atau permohonan) dari surat pribadi dan surat dinas yang dibaca dan didengar</v>
      </c>
      <c r="N7" s="90" t="str">
        <f>IF('Input Nilai Pengetahuan'!AS11="","",'Input Nilai Pengetahuan'!AS11)</f>
        <v/>
      </c>
      <c r="O7" s="90" t="str">
        <f>IF(N3="","",IF('Input Nilai Pengetahuan'!$AL$1="","",'Input Nilai Pengetahuan'!$AL$1))</f>
        <v>Mengidentifikasi informasi (kabar, keperluan, permintaan, atau permohonan) dari surat pribadi dan surat dinas yang dibaca dan didengar</v>
      </c>
      <c r="P7" s="90" t="str">
        <f>IF('Input Nilai Pengetahuan'!AS12="","",'Input Nilai Pengetahuan'!AS12)</f>
        <v/>
      </c>
      <c r="Q7" s="90" t="str">
        <f>IF(P3="","",IF('Input Nilai Pengetahuan'!$AL$1="","",'Input Nilai Pengetahuan'!$AL$1))</f>
        <v>Mengidentifikasi informasi (kabar, keperluan, permintaan, atau permohonan) dari surat pribadi dan surat dinas yang dibaca dan didengar</v>
      </c>
      <c r="R7" s="90" t="str">
        <f>IF('Input Nilai Pengetahuan'!AS13="","",'Input Nilai Pengetahuan'!AS13)</f>
        <v/>
      </c>
      <c r="S7" s="90" t="str">
        <f>IF(R3="","",IF('Input Nilai Pengetahuan'!$AL$1="","",'Input Nilai Pengetahuan'!$AL$1))</f>
        <v>Mengidentifikasi informasi (kabar, keperluan, permintaan, atau permohonan) dari surat pribadi dan surat dinas yang dibaca dan didengar</v>
      </c>
      <c r="T7" s="90" t="str">
        <f>IF('Input Nilai Pengetahuan'!AS14="","",'Input Nilai Pengetahuan'!AS14)</f>
        <v/>
      </c>
      <c r="U7" s="90" t="str">
        <f>IF(T3="","",IF('Input Nilai Pengetahuan'!$AL$1="","",'Input Nilai Pengetahuan'!$AL$1))</f>
        <v>Mengidentifikasi informasi (kabar, keperluan, permintaan, atau permohonan) dari surat pribadi dan surat dinas yang dibaca dan didengar</v>
      </c>
      <c r="V7" s="90" t="str">
        <f>IF('Input Nilai Pengetahuan'!AS15="","",'Input Nilai Pengetahuan'!AS15)</f>
        <v/>
      </c>
      <c r="W7" s="90" t="str">
        <f>IF(V3="","",IF('Input Nilai Pengetahuan'!$AL$1="","",'Input Nilai Pengetahuan'!$AL$1))</f>
        <v>Mengidentifikasi informasi (kabar, keperluan, permintaan, atau permohonan) dari surat pribadi dan surat dinas yang dibaca dan didengar</v>
      </c>
      <c r="X7" s="90" t="str">
        <f>IF('Input Nilai Pengetahuan'!AS16="","",'Input Nilai Pengetahuan'!AS16)</f>
        <v/>
      </c>
      <c r="Y7" s="90" t="str">
        <f>IF(X3="","",IF('Input Nilai Pengetahuan'!$AL$1="","",'Input Nilai Pengetahuan'!$AL$1))</f>
        <v>Mengidentifikasi informasi (kabar, keperluan, permintaan, atau permohonan) dari surat pribadi dan surat dinas yang dibaca dan didengar</v>
      </c>
      <c r="Z7" s="90" t="str">
        <f>IF('Input Nilai Pengetahuan'!AS17="","",'Input Nilai Pengetahuan'!AS17)</f>
        <v/>
      </c>
      <c r="AA7" s="90" t="str">
        <f>IF(Z3="","",IF('Input Nilai Pengetahuan'!$AL$1="","",'Input Nilai Pengetahuan'!$AL$1))</f>
        <v>Mengidentifikasi informasi (kabar, keperluan, permintaan, atau permohonan) dari surat pribadi dan surat dinas yang dibaca dan didengar</v>
      </c>
      <c r="AB7" s="90" t="str">
        <f>IF('Input Nilai Pengetahuan'!AS18="","",'Input Nilai Pengetahuan'!AS18)</f>
        <v/>
      </c>
      <c r="AC7" s="90" t="str">
        <f>IF(AB3="","",IF('Input Nilai Pengetahuan'!$AL$1="","",'Input Nilai Pengetahuan'!$AL$1))</f>
        <v>Mengidentifikasi informasi (kabar, keperluan, permintaan, atau permohonan) dari surat pribadi dan surat dinas yang dibaca dan didengar</v>
      </c>
      <c r="AD7" s="90" t="str">
        <f>IF('Input Nilai Pengetahuan'!AS19="","",'Input Nilai Pengetahuan'!AS19)</f>
        <v/>
      </c>
      <c r="AE7" s="90" t="str">
        <f>IF(AD3="","",IF('Input Nilai Pengetahuan'!$AL$1="","",'Input Nilai Pengetahuan'!$AL$1))</f>
        <v>Mengidentifikasi informasi (kabar, keperluan, permintaan, atau permohonan) dari surat pribadi dan surat dinas yang dibaca dan didengar</v>
      </c>
      <c r="AF7" s="90" t="str">
        <f>IF('Input Nilai Pengetahuan'!AS20="","",'Input Nilai Pengetahuan'!AS20)</f>
        <v/>
      </c>
      <c r="AG7" s="90" t="str">
        <f>IF(AF3="","",IF('Input Nilai Pengetahuan'!$AL$1="","",'Input Nilai Pengetahuan'!$AL$1))</f>
        <v>Mengidentifikasi informasi (kabar, keperluan, permintaan, atau permohonan) dari surat pribadi dan surat dinas yang dibaca dan didengar</v>
      </c>
      <c r="AH7" s="90" t="str">
        <f>IF('Input Nilai Pengetahuan'!AS21="","",'Input Nilai Pengetahuan'!AS21)</f>
        <v/>
      </c>
      <c r="AI7" s="90" t="str">
        <f>IF(AH3="","",IF('Input Nilai Pengetahuan'!$AL$1="","",'Input Nilai Pengetahuan'!$AL$1))</f>
        <v>Mengidentifikasi informasi (kabar, keperluan, permintaan, atau permohonan) dari surat pribadi dan surat dinas yang dibaca dan didengar</v>
      </c>
      <c r="AJ7" s="90" t="str">
        <f>IF('Input Nilai Pengetahuan'!AS22="","",'Input Nilai Pengetahuan'!AS22)</f>
        <v/>
      </c>
      <c r="AK7" s="90" t="str">
        <f>IF(AJ3="","",IF('Input Nilai Pengetahuan'!$AL$1="","",'Input Nilai Pengetahuan'!$AL$1))</f>
        <v>Mengidentifikasi informasi (kabar, keperluan, permintaan, atau permohonan) dari surat pribadi dan surat dinas yang dibaca dan didengar</v>
      </c>
      <c r="AL7" s="90" t="str">
        <f>IF('Input Nilai Pengetahuan'!AS23="","",'Input Nilai Pengetahuan'!AS23)</f>
        <v/>
      </c>
      <c r="AM7" s="90" t="str">
        <f>IF(AL3="","",IF('Input Nilai Pengetahuan'!$AL$1="","",'Input Nilai Pengetahuan'!$AL$1))</f>
        <v>Mengidentifikasi informasi (kabar, keperluan, permintaan, atau permohonan) dari surat pribadi dan surat dinas yang dibaca dan didengar</v>
      </c>
      <c r="AN7" s="90" t="str">
        <f>IF('Input Nilai Pengetahuan'!AS24="","",'Input Nilai Pengetahuan'!AS24)</f>
        <v/>
      </c>
      <c r="AO7" s="90" t="str">
        <f>IF(AN3="","",IF('Input Nilai Pengetahuan'!$AL$1="","",'Input Nilai Pengetahuan'!$AL$1))</f>
        <v>Mengidentifikasi informasi (kabar, keperluan, permintaan, atau permohonan) dari surat pribadi dan surat dinas yang dibaca dan didengar</v>
      </c>
      <c r="AP7" s="90" t="str">
        <f>IF('Input Nilai Pengetahuan'!AS25="","",'Input Nilai Pengetahuan'!AS25)</f>
        <v/>
      </c>
      <c r="AQ7" s="90" t="str">
        <f>IF(AP3="","",IF('Input Nilai Pengetahuan'!$AL$1="","",'Input Nilai Pengetahuan'!$AL$1))</f>
        <v>Mengidentifikasi informasi (kabar, keperluan, permintaan, atau permohonan) dari surat pribadi dan surat dinas yang dibaca dan didengar</v>
      </c>
      <c r="AR7" s="90" t="str">
        <f>IF('Input Nilai Pengetahuan'!AS26="","",'Input Nilai Pengetahuan'!AS26)</f>
        <v/>
      </c>
      <c r="AS7" s="90" t="str">
        <f>IF(AR3="","",IF('Input Nilai Pengetahuan'!$AL$1="","",'Input Nilai Pengetahuan'!$AL$1))</f>
        <v>Mengidentifikasi informasi (kabar, keperluan, permintaan, atau permohonan) dari surat pribadi dan surat dinas yang dibaca dan didengar</v>
      </c>
      <c r="AT7" s="90" t="str">
        <f>IF('Input Nilai Pengetahuan'!AS27="","",'Input Nilai Pengetahuan'!AS27)</f>
        <v/>
      </c>
      <c r="AU7" s="90" t="str">
        <f>IF(AT3="","",IF('Input Nilai Pengetahuan'!$AL$1="","",'Input Nilai Pengetahuan'!$AL$1))</f>
        <v>Mengidentifikasi informasi (kabar, keperluan, permintaan, atau permohonan) dari surat pribadi dan surat dinas yang dibaca dan didengar</v>
      </c>
      <c r="AV7" s="90" t="str">
        <f>IF('Input Nilai Pengetahuan'!AS28="","",'Input Nilai Pengetahuan'!AS28)</f>
        <v/>
      </c>
      <c r="AW7" s="90" t="str">
        <f>IF(AV3="","",IF('Input Nilai Pengetahuan'!$AL$1="","",'Input Nilai Pengetahuan'!$AL$1))</f>
        <v>Mengidentifikasi informasi (kabar, keperluan, permintaan, atau permohonan) dari surat pribadi dan surat dinas yang dibaca dan didengar</v>
      </c>
      <c r="AX7" s="90" t="str">
        <f>IF('Input Nilai Pengetahuan'!AS29="","",'Input Nilai Pengetahuan'!AS29)</f>
        <v/>
      </c>
      <c r="AY7" s="90" t="str">
        <f>IF(AX3="","",IF('Input Nilai Pengetahuan'!$AL$1="","",'Input Nilai Pengetahuan'!$AL$1))</f>
        <v>Mengidentifikasi informasi (kabar, keperluan, permintaan, atau permohonan) dari surat pribadi dan surat dinas yang dibaca dan didengar</v>
      </c>
      <c r="AZ7" s="90" t="str">
        <f>IF('Input Nilai Pengetahuan'!AS30="","",'Input Nilai Pengetahuan'!AS30)</f>
        <v/>
      </c>
      <c r="BA7" s="90" t="str">
        <f>IF(AZ3="","",IF('Input Nilai Pengetahuan'!$AL$1="","",'Input Nilai Pengetahuan'!$AL$1))</f>
        <v>Mengidentifikasi informasi (kabar, keperluan, permintaan, atau permohonan) dari surat pribadi dan surat dinas yang dibaca dan didengar</v>
      </c>
      <c r="BB7" s="90" t="str">
        <f>IF('Input Nilai Pengetahuan'!AS31="","",'Input Nilai Pengetahuan'!AS31)</f>
        <v/>
      </c>
      <c r="BC7" s="90" t="str">
        <f>IF(BB3="","",IF('Input Nilai Pengetahuan'!$AL$1="","",'Input Nilai Pengetahuan'!$AL$1))</f>
        <v>Mengidentifikasi informasi (kabar, keperluan, permintaan, atau permohonan) dari surat pribadi dan surat dinas yang dibaca dan didengar</v>
      </c>
      <c r="BD7" s="90" t="str">
        <f>IF('Input Nilai Pengetahuan'!AS32="","",'Input Nilai Pengetahuan'!AS32)</f>
        <v/>
      </c>
      <c r="BE7" s="90" t="str">
        <f>IF(BD3="","",IF('Input Nilai Pengetahuan'!$AL$1="","",'Input Nilai Pengetahuan'!$AL$1))</f>
        <v>Mengidentifikasi informasi (kabar, keperluan, permintaan, atau permohonan) dari surat pribadi dan surat dinas yang dibaca dan didengar</v>
      </c>
      <c r="BF7" s="90" t="str">
        <f>IF('Input Nilai Pengetahuan'!AS33="","",'Input Nilai Pengetahuan'!AS33)</f>
        <v/>
      </c>
      <c r="BG7" s="90" t="str">
        <f>IF(BF3="","",IF('Input Nilai Pengetahuan'!$AL$1="","",'Input Nilai Pengetahuan'!$AL$1))</f>
        <v>Mengidentifikasi informasi (kabar, keperluan, permintaan, atau permohonan) dari surat pribadi dan surat dinas yang dibaca dan didengar</v>
      </c>
      <c r="BH7" s="90" t="str">
        <f>IF('Input Nilai Pengetahuan'!AS34="","",'Input Nilai Pengetahuan'!AS34)</f>
        <v/>
      </c>
      <c r="BI7" s="90" t="str">
        <f>IF(BH3="","",IF('Input Nilai Pengetahuan'!$AL$1="","",'Input Nilai Pengetahuan'!$AL$1))</f>
        <v>Mengidentifikasi informasi (kabar, keperluan, permintaan, atau permohonan) dari surat pribadi dan surat dinas yang dibaca dan didengar</v>
      </c>
      <c r="BJ7" s="90" t="str">
        <f>IF('Input Nilai Pengetahuan'!AS35="","",'Input Nilai Pengetahuan'!AS35)</f>
        <v/>
      </c>
      <c r="BK7" s="90" t="str">
        <f>IF(BJ3="","",IF('Input Nilai Pengetahuan'!$AL$1="","",'Input Nilai Pengetahuan'!$AL$1))</f>
        <v>Mengidentifikasi informasi (kabar, keperluan, permintaan, atau permohonan) dari surat pribadi dan surat dinas yang dibaca dan didengar</v>
      </c>
      <c r="BL7" s="90" t="str">
        <f>IF('Input Nilai Pengetahuan'!AS36="","",'Input Nilai Pengetahuan'!AS36)</f>
        <v/>
      </c>
      <c r="BM7" s="90" t="str">
        <f>IF(BL3="","",IF('Input Nilai Pengetahuan'!$AL$1="","",'Input Nilai Pengetahuan'!$AL$1))</f>
        <v>Mengidentifikasi informasi (kabar, keperluan, permintaan, atau permohonan) dari surat pribadi dan surat dinas yang dibaca dan didengar</v>
      </c>
      <c r="BN7" s="90" t="str">
        <f>IF('Input Nilai Pengetahuan'!AS37="","",'Input Nilai Pengetahuan'!AS37)</f>
        <v/>
      </c>
      <c r="BO7" s="90" t="str">
        <f>IF(BN3="","",IF('Input Nilai Pengetahuan'!$AL$1="","",'Input Nilai Pengetahuan'!$AL$1))</f>
        <v>Mengidentifikasi informasi (kabar, keperluan, permintaan, atau permohonan) dari surat pribadi dan surat dinas yang dibaca dan didengar</v>
      </c>
      <c r="BP7" s="90" t="str">
        <f>IF('Input Nilai Pengetahuan'!AS38="","",'Input Nilai Pengetahuan'!AS38)</f>
        <v/>
      </c>
      <c r="BQ7" s="90" t="str">
        <f>IF(BP3="","",IF('Input Nilai Pengetahuan'!$AL$1="","",'Input Nilai Pengetahuan'!$AL$1))</f>
        <v>Mengidentifikasi informasi (kabar, keperluan, permintaan, atau permohonan) dari surat pribadi dan surat dinas yang dibaca dan didengar</v>
      </c>
      <c r="BR7" s="90" t="str">
        <f>IF('Input Nilai Pengetahuan'!AS39="","",'Input Nilai Pengetahuan'!AS39)</f>
        <v/>
      </c>
      <c r="BS7" s="90" t="str">
        <f>IF(BR3="","",IF('Input Nilai Pengetahuan'!$AL$1="","",'Input Nilai Pengetahuan'!$AL$1))</f>
        <v>Mengidentifikasi informasi (kabar, keperluan, permintaan, atau permohonan) dari surat pribadi dan surat dinas yang dibaca dan didengar</v>
      </c>
      <c r="BT7" s="90" t="str">
        <f>IF('Input Nilai Pengetahuan'!AS40="","",'Input Nilai Pengetahuan'!AS40)</f>
        <v/>
      </c>
      <c r="BU7" s="90" t="str">
        <f>IF(BT3="","",IF('Input Nilai Pengetahuan'!$AL$1="","",'Input Nilai Pengetahuan'!$AL$1))</f>
        <v/>
      </c>
      <c r="BV7" s="90" t="str">
        <f>IF('Input Nilai Pengetahuan'!AS41="","",'Input Nilai Pengetahuan'!AS41)</f>
        <v/>
      </c>
      <c r="BW7" s="90" t="str">
        <f>IF(BV3="","",IF('Input Nilai Pengetahuan'!$AL$1="","",'Input Nilai Pengetahuan'!$AL$1))</f>
        <v/>
      </c>
      <c r="BX7" s="90" t="str">
        <f>IF('Input Nilai Pengetahuan'!AS42="","",'Input Nilai Pengetahuan'!AS42)</f>
        <v/>
      </c>
      <c r="BY7" s="90" t="str">
        <f>IF(BX3="","",IF('Input Nilai Pengetahuan'!$AL$1="","",'Input Nilai Pengetahuan'!$AL$1))</f>
        <v/>
      </c>
      <c r="BZ7" s="90" t="str">
        <f>IF('Input Nilai Pengetahuan'!AS43="","",'Input Nilai Pengetahuan'!AS43)</f>
        <v/>
      </c>
      <c r="CA7" s="90" t="str">
        <f>IF(BZ3="","",IF('Input Nilai Pengetahuan'!$AL$1="","",'Input Nilai Pengetahuan'!$AL$1))</f>
        <v/>
      </c>
      <c r="CB7" s="90" t="str">
        <f>IF('Input Nilai Pengetahuan'!AS44="","",'Input Nilai Pengetahuan'!AS44)</f>
        <v/>
      </c>
      <c r="CC7" s="90" t="str">
        <f>IF(CB3="","",IF('Input Nilai Pengetahuan'!$AL$1="","",'Input Nilai Pengetahuan'!$AL$1))</f>
        <v/>
      </c>
      <c r="CD7" s="90" t="str">
        <f>IF('Input Nilai Pengetahuan'!AS45="","",'Input Nilai Pengetahuan'!AS45)</f>
        <v/>
      </c>
      <c r="CE7" s="90" t="str">
        <f>IF(CD3="","",IF('Input Nilai Pengetahuan'!$AL$1="","",'Input Nilai Pengetahuan'!$AL$1))</f>
        <v/>
      </c>
      <c r="CF7" s="90" t="str">
        <f>IF('Input Nilai Pengetahuan'!AS46="","",'Input Nilai Pengetahuan'!AS46)</f>
        <v/>
      </c>
      <c r="CG7" s="90" t="str">
        <f>IF(CF3="","",IF('Input Nilai Pengetahuan'!$AL$1="","",'Input Nilai Pengetahuan'!$AL$1))</f>
        <v/>
      </c>
      <c r="CH7" s="90" t="str">
        <f>IF('Input Nilai Pengetahuan'!AS47="","",'Input Nilai Pengetahuan'!AS47)</f>
        <v/>
      </c>
      <c r="CI7" s="90" t="str">
        <f>IF(CH3="","",IF('Input Nilai Pengetahuan'!$AL$1="","",'Input Nilai Pengetahuan'!$AL$1))</f>
        <v/>
      </c>
      <c r="CJ7" s="90" t="str">
        <f>IF('Input Nilai Pengetahuan'!AS48="","",'Input Nilai Pengetahuan'!AS48)</f>
        <v/>
      </c>
      <c r="CK7" s="90" t="str">
        <f>IF(CJ3="","",IF('Input Nilai Pengetahuan'!$AL$1="","",'Input Nilai Pengetahuan'!$AL$1))</f>
        <v/>
      </c>
      <c r="CL7" s="90" t="str">
        <f>IF('Input Nilai Pengetahuan'!AS49="","",'Input Nilai Pengetahuan'!AS49)</f>
        <v/>
      </c>
      <c r="CM7" s="90" t="str">
        <f>IF(CL3="","",IF('Input Nilai Pengetahuan'!$AL$1="","",'Input Nilai Pengetahuan'!$AL$1))</f>
        <v/>
      </c>
      <c r="CN7" s="90" t="str">
        <f>IF('Input Nilai Pengetahuan'!AS50="","",'Input Nilai Pengetahuan'!AS50)</f>
        <v/>
      </c>
      <c r="CO7" s="90" t="str">
        <f>IF(CN3="","",IF('Input Nilai Pengetahuan'!$AL$1="","",'Input Nilai Pengetahuan'!$AL$1))</f>
        <v/>
      </c>
      <c r="CP7" s="90" t="str">
        <f>IF('Input Nilai Pengetahuan'!AS51="","",'Input Nilai Pengetahuan'!AS51)</f>
        <v/>
      </c>
      <c r="CQ7" s="90" t="str">
        <f>IF(CP3="","",IF('Input Nilai Pengetahuan'!$AL$1="","",'Input Nilai Pengetahuan'!$AL$1))</f>
        <v/>
      </c>
      <c r="CR7" s="90" t="str">
        <f>IF('Input Nilai Pengetahuan'!AS52="","",'Input Nilai Pengetahuan'!AS52)</f>
        <v/>
      </c>
      <c r="CS7" s="90" t="str">
        <f>IF(CR3="","",IF('Input Nilai Pengetahuan'!$AL$1="","",'Input Nilai Pengetahuan'!$AL$1))</f>
        <v/>
      </c>
    </row>
    <row r="8" spans="1:97">
      <c r="A8" s="72">
        <v>6</v>
      </c>
      <c r="B8" s="90" t="str">
        <f>IF('Input Nilai Pengetahuan'!BA5="","",'Input Nilai Pengetahuan'!BA5)</f>
        <v/>
      </c>
      <c r="C8" s="90" t="str">
        <f>IF(B3="","",IF('Input Nilai Pengetahuan'!$AT$1="","",'Input Nilai Pengetahuan'!$AT$1))</f>
        <v>Menelaah unsur-unsur dan kebahasaan dari surat pribadi dan surat dinas yang dibaca dan didengar</v>
      </c>
      <c r="D8" s="90" t="str">
        <f>IF('Input Nilai Pengetahuan'!BA6="","",'Input Nilai Pengetahuan'!BA6)</f>
        <v/>
      </c>
      <c r="E8" s="90" t="str">
        <f>IF(D3="","",IF('Input Nilai Pengetahuan'!$AT$1="","",'Input Nilai Pengetahuan'!$AT$1))</f>
        <v/>
      </c>
      <c r="F8" s="90" t="str">
        <f>IF('Input Nilai Pengetahuan'!BA7="","",'Input Nilai Pengetahuan'!BA7)</f>
        <v/>
      </c>
      <c r="G8" s="90" t="str">
        <f>IF(F3="","",IF('Input Nilai Pengetahuan'!$AT$1="","",'Input Nilai Pengetahuan'!$AT$1))</f>
        <v>Menelaah unsur-unsur dan kebahasaan dari surat pribadi dan surat dinas yang dibaca dan didengar</v>
      </c>
      <c r="H8" s="90" t="str">
        <f>IF('Input Nilai Pengetahuan'!BA8="","",'Input Nilai Pengetahuan'!BA8)</f>
        <v/>
      </c>
      <c r="I8" s="90" t="str">
        <f>IF(H3="","",IF('Input Nilai Pengetahuan'!$AT$1="","",'Input Nilai Pengetahuan'!$AT$1))</f>
        <v>Menelaah unsur-unsur dan kebahasaan dari surat pribadi dan surat dinas yang dibaca dan didengar</v>
      </c>
      <c r="J8" s="90" t="str">
        <f>IF('Input Nilai Pengetahuan'!BA9="","",'Input Nilai Pengetahuan'!BA9)</f>
        <v/>
      </c>
      <c r="K8" s="90" t="str">
        <f>IF(J3="","",IF('Input Nilai Pengetahuan'!$AT$1="","",'Input Nilai Pengetahuan'!$AT$1))</f>
        <v>Menelaah unsur-unsur dan kebahasaan dari surat pribadi dan surat dinas yang dibaca dan didengar</v>
      </c>
      <c r="L8" s="90" t="str">
        <f>IF('Input Nilai Pengetahuan'!BA10="","",'Input Nilai Pengetahuan'!BA10)</f>
        <v/>
      </c>
      <c r="M8" s="90" t="str">
        <f>IF(L3="","",IF('Input Nilai Pengetahuan'!$AT$1="","",'Input Nilai Pengetahuan'!$AT$1))</f>
        <v>Menelaah unsur-unsur dan kebahasaan dari surat pribadi dan surat dinas yang dibaca dan didengar</v>
      </c>
      <c r="N8" s="90" t="str">
        <f>IF('Input Nilai Pengetahuan'!BA11="","",'Input Nilai Pengetahuan'!BA11)</f>
        <v/>
      </c>
      <c r="O8" s="90" t="str">
        <f>IF(N3="","",IF('Input Nilai Pengetahuan'!$AT$1="","",'Input Nilai Pengetahuan'!$AT$1))</f>
        <v>Menelaah unsur-unsur dan kebahasaan dari surat pribadi dan surat dinas yang dibaca dan didengar</v>
      </c>
      <c r="P8" s="90" t="str">
        <f>IF('Input Nilai Pengetahuan'!BA12="","",'Input Nilai Pengetahuan'!BA12)</f>
        <v/>
      </c>
      <c r="Q8" s="90" t="str">
        <f>IF(P3="","",IF('Input Nilai Pengetahuan'!$AT$1="","",'Input Nilai Pengetahuan'!$AT$1))</f>
        <v>Menelaah unsur-unsur dan kebahasaan dari surat pribadi dan surat dinas yang dibaca dan didengar</v>
      </c>
      <c r="R8" s="90" t="str">
        <f>IF('Input Nilai Pengetahuan'!BA13="","",'Input Nilai Pengetahuan'!BA13)</f>
        <v/>
      </c>
      <c r="S8" s="90" t="str">
        <f>IF(R3="","",IF('Input Nilai Pengetahuan'!$AT$1="","",'Input Nilai Pengetahuan'!$AT$1))</f>
        <v>Menelaah unsur-unsur dan kebahasaan dari surat pribadi dan surat dinas yang dibaca dan didengar</v>
      </c>
      <c r="T8" s="90" t="str">
        <f>IF('Input Nilai Pengetahuan'!BA14="","",'Input Nilai Pengetahuan'!BA14)</f>
        <v/>
      </c>
      <c r="U8" s="90" t="str">
        <f>IF(T3="","",IF('Input Nilai Pengetahuan'!$AT$1="","",'Input Nilai Pengetahuan'!$AT$1))</f>
        <v>Menelaah unsur-unsur dan kebahasaan dari surat pribadi dan surat dinas yang dibaca dan didengar</v>
      </c>
      <c r="V8" s="90" t="str">
        <f>IF('Input Nilai Pengetahuan'!BA15="","",'Input Nilai Pengetahuan'!BA15)</f>
        <v/>
      </c>
      <c r="W8" s="90" t="str">
        <f>IF(V3="","",IF('Input Nilai Pengetahuan'!$AT$1="","",'Input Nilai Pengetahuan'!$AT$1))</f>
        <v>Menelaah unsur-unsur dan kebahasaan dari surat pribadi dan surat dinas yang dibaca dan didengar</v>
      </c>
      <c r="X8" s="90" t="str">
        <f>IF('Input Nilai Pengetahuan'!BA16="","",'Input Nilai Pengetahuan'!BA16)</f>
        <v/>
      </c>
      <c r="Y8" s="90" t="str">
        <f>IF(X3="","",IF('Input Nilai Pengetahuan'!$AT$1="","",'Input Nilai Pengetahuan'!$AT$1))</f>
        <v>Menelaah unsur-unsur dan kebahasaan dari surat pribadi dan surat dinas yang dibaca dan didengar</v>
      </c>
      <c r="Z8" s="90" t="str">
        <f>IF('Input Nilai Pengetahuan'!BA17="","",'Input Nilai Pengetahuan'!BA17)</f>
        <v/>
      </c>
      <c r="AA8" s="90" t="str">
        <f>IF(Z3="","",IF('Input Nilai Pengetahuan'!$AT$1="","",'Input Nilai Pengetahuan'!$AT$1))</f>
        <v>Menelaah unsur-unsur dan kebahasaan dari surat pribadi dan surat dinas yang dibaca dan didengar</v>
      </c>
      <c r="AB8" s="90" t="str">
        <f>IF('Input Nilai Pengetahuan'!BA18="","",'Input Nilai Pengetahuan'!BA18)</f>
        <v/>
      </c>
      <c r="AC8" s="90" t="str">
        <f>IF(AB3="","",IF('Input Nilai Pengetahuan'!$AT$1="","",'Input Nilai Pengetahuan'!$AT$1))</f>
        <v>Menelaah unsur-unsur dan kebahasaan dari surat pribadi dan surat dinas yang dibaca dan didengar</v>
      </c>
      <c r="AD8" s="90" t="str">
        <f>IF('Input Nilai Pengetahuan'!BA19="","",'Input Nilai Pengetahuan'!BA19)</f>
        <v/>
      </c>
      <c r="AE8" s="90" t="str">
        <f>IF(AD3="","",IF('Input Nilai Pengetahuan'!$AT$1="","",'Input Nilai Pengetahuan'!$AT$1))</f>
        <v>Menelaah unsur-unsur dan kebahasaan dari surat pribadi dan surat dinas yang dibaca dan didengar</v>
      </c>
      <c r="AF8" s="90" t="str">
        <f>IF('Input Nilai Pengetahuan'!BA20="","",'Input Nilai Pengetahuan'!BA20)</f>
        <v/>
      </c>
      <c r="AG8" s="90" t="str">
        <f>IF(AF3="","",IF('Input Nilai Pengetahuan'!$AT$1="","",'Input Nilai Pengetahuan'!$AT$1))</f>
        <v>Menelaah unsur-unsur dan kebahasaan dari surat pribadi dan surat dinas yang dibaca dan didengar</v>
      </c>
      <c r="AH8" s="90" t="str">
        <f>IF('Input Nilai Pengetahuan'!BA21="","",'Input Nilai Pengetahuan'!BA21)</f>
        <v/>
      </c>
      <c r="AI8" s="90" t="str">
        <f>IF(AH3="","",IF('Input Nilai Pengetahuan'!$AT$1="","",'Input Nilai Pengetahuan'!$AT$1))</f>
        <v>Menelaah unsur-unsur dan kebahasaan dari surat pribadi dan surat dinas yang dibaca dan didengar</v>
      </c>
      <c r="AJ8" s="90" t="str">
        <f>IF('Input Nilai Pengetahuan'!BA22="","",'Input Nilai Pengetahuan'!BA22)</f>
        <v/>
      </c>
      <c r="AK8" s="90" t="str">
        <f>IF(AJ3="","",IF('Input Nilai Pengetahuan'!$AT$1="","",'Input Nilai Pengetahuan'!$AT$1))</f>
        <v>Menelaah unsur-unsur dan kebahasaan dari surat pribadi dan surat dinas yang dibaca dan didengar</v>
      </c>
      <c r="AL8" s="90" t="str">
        <f>IF('Input Nilai Pengetahuan'!BA23="","",'Input Nilai Pengetahuan'!BA23)</f>
        <v/>
      </c>
      <c r="AM8" s="90" t="str">
        <f>IF(AL3="","",IF('Input Nilai Pengetahuan'!$AT$1="","",'Input Nilai Pengetahuan'!$AT$1))</f>
        <v>Menelaah unsur-unsur dan kebahasaan dari surat pribadi dan surat dinas yang dibaca dan didengar</v>
      </c>
      <c r="AN8" s="90" t="str">
        <f>IF('Input Nilai Pengetahuan'!BA24="","",'Input Nilai Pengetahuan'!BA24)</f>
        <v/>
      </c>
      <c r="AO8" s="90" t="str">
        <f>IF(AN3="","",IF('Input Nilai Pengetahuan'!$AT$1="","",'Input Nilai Pengetahuan'!$AT$1))</f>
        <v>Menelaah unsur-unsur dan kebahasaan dari surat pribadi dan surat dinas yang dibaca dan didengar</v>
      </c>
      <c r="AP8" s="90" t="str">
        <f>IF('Input Nilai Pengetahuan'!BA25="","",'Input Nilai Pengetahuan'!BA25)</f>
        <v/>
      </c>
      <c r="AQ8" s="90" t="str">
        <f>IF(AP3="","",IF('Input Nilai Pengetahuan'!$AT$1="","",'Input Nilai Pengetahuan'!$AT$1))</f>
        <v>Menelaah unsur-unsur dan kebahasaan dari surat pribadi dan surat dinas yang dibaca dan didengar</v>
      </c>
      <c r="AR8" s="90" t="str">
        <f>IF('Input Nilai Pengetahuan'!BA26="","",'Input Nilai Pengetahuan'!BA26)</f>
        <v/>
      </c>
      <c r="AS8" s="90" t="str">
        <f>IF(AR3="","",IF('Input Nilai Pengetahuan'!$AT$1="","",'Input Nilai Pengetahuan'!$AT$1))</f>
        <v>Menelaah unsur-unsur dan kebahasaan dari surat pribadi dan surat dinas yang dibaca dan didengar</v>
      </c>
      <c r="AT8" s="90" t="str">
        <f>IF('Input Nilai Pengetahuan'!BA27="","",'Input Nilai Pengetahuan'!BA27)</f>
        <v/>
      </c>
      <c r="AU8" s="90" t="str">
        <f>IF(AT3="","",IF('Input Nilai Pengetahuan'!$AT$1="","",'Input Nilai Pengetahuan'!$AT$1))</f>
        <v>Menelaah unsur-unsur dan kebahasaan dari surat pribadi dan surat dinas yang dibaca dan didengar</v>
      </c>
      <c r="AV8" s="90" t="str">
        <f>IF('Input Nilai Pengetahuan'!BA28="","",'Input Nilai Pengetahuan'!BA28)</f>
        <v/>
      </c>
      <c r="AW8" s="90" t="str">
        <f>IF(AV3="","",IF('Input Nilai Pengetahuan'!$AT$1="","",'Input Nilai Pengetahuan'!$AT$1))</f>
        <v>Menelaah unsur-unsur dan kebahasaan dari surat pribadi dan surat dinas yang dibaca dan didengar</v>
      </c>
      <c r="AX8" s="90" t="str">
        <f>IF('Input Nilai Pengetahuan'!BA29="","",'Input Nilai Pengetahuan'!BA29)</f>
        <v/>
      </c>
      <c r="AY8" s="90" t="str">
        <f>IF(AX3="","",IF('Input Nilai Pengetahuan'!$AT$1="","",'Input Nilai Pengetahuan'!$AT$1))</f>
        <v>Menelaah unsur-unsur dan kebahasaan dari surat pribadi dan surat dinas yang dibaca dan didengar</v>
      </c>
      <c r="AZ8" s="90" t="str">
        <f>IF('Input Nilai Pengetahuan'!BA30="","",'Input Nilai Pengetahuan'!BA30)</f>
        <v/>
      </c>
      <c r="BA8" s="90" t="str">
        <f>IF(AZ3="","",IF('Input Nilai Pengetahuan'!$AT$1="","",'Input Nilai Pengetahuan'!$AT$1))</f>
        <v>Menelaah unsur-unsur dan kebahasaan dari surat pribadi dan surat dinas yang dibaca dan didengar</v>
      </c>
      <c r="BB8" s="90" t="str">
        <f>IF('Input Nilai Pengetahuan'!BA31="","",'Input Nilai Pengetahuan'!BA31)</f>
        <v/>
      </c>
      <c r="BC8" s="90" t="str">
        <f>IF(BB3="","",IF('Input Nilai Pengetahuan'!$AT$1="","",'Input Nilai Pengetahuan'!$AT$1))</f>
        <v>Menelaah unsur-unsur dan kebahasaan dari surat pribadi dan surat dinas yang dibaca dan didengar</v>
      </c>
      <c r="BD8" s="90" t="str">
        <f>IF('Input Nilai Pengetahuan'!BA32="","",'Input Nilai Pengetahuan'!BA32)</f>
        <v/>
      </c>
      <c r="BE8" s="90" t="str">
        <f>IF(BD3="","",IF('Input Nilai Pengetahuan'!$AT$1="","",'Input Nilai Pengetahuan'!$AT$1))</f>
        <v>Menelaah unsur-unsur dan kebahasaan dari surat pribadi dan surat dinas yang dibaca dan didengar</v>
      </c>
      <c r="BF8" s="90" t="str">
        <f>IF('Input Nilai Pengetahuan'!BA33="","",'Input Nilai Pengetahuan'!BA33)</f>
        <v/>
      </c>
      <c r="BG8" s="90" t="str">
        <f>IF(BF3="","",IF('Input Nilai Pengetahuan'!$AT$1="","",'Input Nilai Pengetahuan'!$AT$1))</f>
        <v>Menelaah unsur-unsur dan kebahasaan dari surat pribadi dan surat dinas yang dibaca dan didengar</v>
      </c>
      <c r="BH8" s="90" t="str">
        <f>IF('Input Nilai Pengetahuan'!BA34="","",'Input Nilai Pengetahuan'!BA34)</f>
        <v/>
      </c>
      <c r="BI8" s="90" t="str">
        <f>IF(BH3="","",IF('Input Nilai Pengetahuan'!$AT$1="","",'Input Nilai Pengetahuan'!$AT$1))</f>
        <v>Menelaah unsur-unsur dan kebahasaan dari surat pribadi dan surat dinas yang dibaca dan didengar</v>
      </c>
      <c r="BJ8" s="90" t="str">
        <f>IF('Input Nilai Pengetahuan'!BA35="","",'Input Nilai Pengetahuan'!BA35)</f>
        <v/>
      </c>
      <c r="BK8" s="90" t="str">
        <f>IF(BJ3="","",IF('Input Nilai Pengetahuan'!$AT$1="","",'Input Nilai Pengetahuan'!$AT$1))</f>
        <v>Menelaah unsur-unsur dan kebahasaan dari surat pribadi dan surat dinas yang dibaca dan didengar</v>
      </c>
      <c r="BL8" s="90" t="str">
        <f>IF('Input Nilai Pengetahuan'!BA36="","",'Input Nilai Pengetahuan'!BA36)</f>
        <v/>
      </c>
      <c r="BM8" s="90" t="str">
        <f>IF(BL3="","",IF('Input Nilai Pengetahuan'!$AT$1="","",'Input Nilai Pengetahuan'!$AT$1))</f>
        <v>Menelaah unsur-unsur dan kebahasaan dari surat pribadi dan surat dinas yang dibaca dan didengar</v>
      </c>
      <c r="BN8" s="90" t="str">
        <f>IF('Input Nilai Pengetahuan'!BA37="","",'Input Nilai Pengetahuan'!BA37)</f>
        <v/>
      </c>
      <c r="BO8" s="90" t="str">
        <f>IF(BN3="","",IF('Input Nilai Pengetahuan'!$AT$1="","",'Input Nilai Pengetahuan'!$AT$1))</f>
        <v>Menelaah unsur-unsur dan kebahasaan dari surat pribadi dan surat dinas yang dibaca dan didengar</v>
      </c>
      <c r="BP8" s="90" t="str">
        <f>IF('Input Nilai Pengetahuan'!BA38="","",'Input Nilai Pengetahuan'!BA38)</f>
        <v/>
      </c>
      <c r="BQ8" s="90" t="str">
        <f>IF(BP3="","",IF('Input Nilai Pengetahuan'!$AT$1="","",'Input Nilai Pengetahuan'!$AT$1))</f>
        <v>Menelaah unsur-unsur dan kebahasaan dari surat pribadi dan surat dinas yang dibaca dan didengar</v>
      </c>
      <c r="BR8" s="90" t="str">
        <f>IF('Input Nilai Pengetahuan'!BA39="","",'Input Nilai Pengetahuan'!BA39)</f>
        <v/>
      </c>
      <c r="BS8" s="90" t="str">
        <f>IF(BR3="","",IF('Input Nilai Pengetahuan'!$AT$1="","",'Input Nilai Pengetahuan'!$AT$1))</f>
        <v>Menelaah unsur-unsur dan kebahasaan dari surat pribadi dan surat dinas yang dibaca dan didengar</v>
      </c>
      <c r="BT8" s="90" t="str">
        <f>IF('Input Nilai Pengetahuan'!BA40="","",'Input Nilai Pengetahuan'!BA40)</f>
        <v/>
      </c>
      <c r="BU8" s="90" t="str">
        <f>IF(BT3="","",IF('Input Nilai Pengetahuan'!$AT$1="","",'Input Nilai Pengetahuan'!$AT$1))</f>
        <v/>
      </c>
      <c r="BV8" s="90" t="str">
        <f>IF('Input Nilai Pengetahuan'!BA41="","",'Input Nilai Pengetahuan'!BA41)</f>
        <v/>
      </c>
      <c r="BW8" s="90" t="str">
        <f>IF(BV3="","",IF('Input Nilai Pengetahuan'!$AT$1="","",'Input Nilai Pengetahuan'!$AT$1))</f>
        <v/>
      </c>
      <c r="BX8" s="90" t="str">
        <f>IF('Input Nilai Pengetahuan'!BA42="","",'Input Nilai Pengetahuan'!BA42)</f>
        <v/>
      </c>
      <c r="BY8" s="90" t="str">
        <f>IF(BX3="","",IF('Input Nilai Pengetahuan'!$AT$1="","",'Input Nilai Pengetahuan'!$AT$1))</f>
        <v/>
      </c>
      <c r="BZ8" s="90" t="str">
        <f>IF('Input Nilai Pengetahuan'!BA43="","",'Input Nilai Pengetahuan'!BA43)</f>
        <v/>
      </c>
      <c r="CA8" s="90" t="str">
        <f>IF(BZ3="","",IF('Input Nilai Pengetahuan'!$AT$1="","",'Input Nilai Pengetahuan'!$AT$1))</f>
        <v/>
      </c>
      <c r="CB8" s="90" t="str">
        <f>IF('Input Nilai Pengetahuan'!BA44="","",'Input Nilai Pengetahuan'!BA44)</f>
        <v/>
      </c>
      <c r="CC8" s="90" t="str">
        <f>IF(CB3="","",IF('Input Nilai Pengetahuan'!$AT$1="","",'Input Nilai Pengetahuan'!$AT$1))</f>
        <v/>
      </c>
      <c r="CD8" s="90" t="str">
        <f>IF('Input Nilai Pengetahuan'!BA45="","",'Input Nilai Pengetahuan'!BA45)</f>
        <v/>
      </c>
      <c r="CE8" s="90" t="str">
        <f>IF(CD3="","",IF('Input Nilai Pengetahuan'!$AT$1="","",'Input Nilai Pengetahuan'!$AT$1))</f>
        <v/>
      </c>
      <c r="CF8" s="90" t="str">
        <f>IF('Input Nilai Pengetahuan'!BA46="","",'Input Nilai Pengetahuan'!BA46)</f>
        <v/>
      </c>
      <c r="CG8" s="90" t="str">
        <f>IF(CF3="","",IF('Input Nilai Pengetahuan'!$AT$1="","",'Input Nilai Pengetahuan'!$AT$1))</f>
        <v/>
      </c>
      <c r="CH8" s="90" t="str">
        <f>IF('Input Nilai Pengetahuan'!BA47="","",'Input Nilai Pengetahuan'!BA47)</f>
        <v/>
      </c>
      <c r="CI8" s="90" t="str">
        <f>IF(CH3="","",IF('Input Nilai Pengetahuan'!$AT$1="","",'Input Nilai Pengetahuan'!$AT$1))</f>
        <v/>
      </c>
      <c r="CJ8" s="90" t="str">
        <f>IF('Input Nilai Pengetahuan'!BA48="","",'Input Nilai Pengetahuan'!BA48)</f>
        <v/>
      </c>
      <c r="CK8" s="90" t="str">
        <f>IF(CJ3="","",IF('Input Nilai Pengetahuan'!$AT$1="","",'Input Nilai Pengetahuan'!$AT$1))</f>
        <v/>
      </c>
      <c r="CL8" s="90" t="str">
        <f>IF('Input Nilai Pengetahuan'!BA49="","",'Input Nilai Pengetahuan'!BA49)</f>
        <v/>
      </c>
      <c r="CM8" s="90" t="str">
        <f>IF(CL3="","",IF('Input Nilai Pengetahuan'!$AT$1="","",'Input Nilai Pengetahuan'!$AT$1))</f>
        <v/>
      </c>
      <c r="CN8" s="90" t="str">
        <f>IF('Input Nilai Pengetahuan'!BA50="","",'Input Nilai Pengetahuan'!BA50)</f>
        <v/>
      </c>
      <c r="CO8" s="90" t="str">
        <f>IF(CN3="","",IF('Input Nilai Pengetahuan'!$AT$1="","",'Input Nilai Pengetahuan'!$AT$1))</f>
        <v/>
      </c>
      <c r="CP8" s="90" t="str">
        <f>IF('Input Nilai Pengetahuan'!BA51="","",'Input Nilai Pengetahuan'!BA51)</f>
        <v/>
      </c>
      <c r="CQ8" s="90" t="str">
        <f>IF(CP3="","",IF('Input Nilai Pengetahuan'!$AT$1="","",'Input Nilai Pengetahuan'!$AT$1))</f>
        <v/>
      </c>
      <c r="CR8" s="90" t="str">
        <f>IF('Input Nilai Pengetahuan'!BA52="","",'Input Nilai Pengetahuan'!BA52)</f>
        <v/>
      </c>
      <c r="CS8" s="90" t="str">
        <f>IF(CR3="","",IF('Input Nilai Pengetahuan'!$AT$1="","",'Input Nilai Pengetahuan'!$AT$1))</f>
        <v/>
      </c>
    </row>
    <row r="9" spans="1:97">
      <c r="A9" s="72">
        <v>7</v>
      </c>
      <c r="B9" s="90" t="str">
        <f>IF('Input Nilai Pengetahuan'!BI5="","",'Input Nilai Pengetahuan'!BI5)</f>
        <v/>
      </c>
      <c r="C9" s="90" t="str">
        <f>IF(B3="","",IF('Input Nilai Pengetahuan'!$BB$1="","",'Input Nilai Pengetahuan'!$BB$1))</f>
        <v>Menemukan unsur-unsur dari buku fiksi dan nonfiksi yang dibca</v>
      </c>
      <c r="D9" s="90" t="str">
        <f>IF('Input Nilai Pengetahuan'!BI6="","",'Input Nilai Pengetahuan'!BI6)</f>
        <v/>
      </c>
      <c r="E9" s="90" t="str">
        <f>IF(D3="","",IF('Input Nilai Pengetahuan'!$BB$1="","",'Input Nilai Pengetahuan'!$BB$1))</f>
        <v/>
      </c>
      <c r="F9" s="90" t="str">
        <f>IF('Input Nilai Pengetahuan'!BI7="","",'Input Nilai Pengetahuan'!BI7)</f>
        <v/>
      </c>
      <c r="G9" s="90" t="str">
        <f>IF(F3="","",IF('Input Nilai Pengetahuan'!$BB$1="","",'Input Nilai Pengetahuan'!$BB$1))</f>
        <v>Menemukan unsur-unsur dari buku fiksi dan nonfiksi yang dibca</v>
      </c>
      <c r="H9" s="90" t="str">
        <f>IF('Input Nilai Pengetahuan'!BI8="","",'Input Nilai Pengetahuan'!BI8)</f>
        <v/>
      </c>
      <c r="I9" s="90" t="str">
        <f>IF(H3="","",IF('Input Nilai Pengetahuan'!$BB$1="","",'Input Nilai Pengetahuan'!$BB$1))</f>
        <v>Menemukan unsur-unsur dari buku fiksi dan nonfiksi yang dibca</v>
      </c>
      <c r="J9" s="90" t="str">
        <f>IF('Input Nilai Pengetahuan'!BI9="","",'Input Nilai Pengetahuan'!BI9)</f>
        <v/>
      </c>
      <c r="K9" s="90" t="str">
        <f>IF(J3="","",IF('Input Nilai Pengetahuan'!$BB$1="","",'Input Nilai Pengetahuan'!$BB$1))</f>
        <v>Menemukan unsur-unsur dari buku fiksi dan nonfiksi yang dibca</v>
      </c>
      <c r="L9" s="90" t="str">
        <f>IF('Input Nilai Pengetahuan'!BI10="","",'Input Nilai Pengetahuan'!BI10)</f>
        <v/>
      </c>
      <c r="M9" s="90" t="str">
        <f>IF(L3="","",IF('Input Nilai Pengetahuan'!$BB$1="","",'Input Nilai Pengetahuan'!$BB$1))</f>
        <v>Menemukan unsur-unsur dari buku fiksi dan nonfiksi yang dibca</v>
      </c>
      <c r="N9" s="90" t="str">
        <f>IF('Input Nilai Pengetahuan'!BI11="","",'Input Nilai Pengetahuan'!BI11)</f>
        <v/>
      </c>
      <c r="O9" s="90" t="str">
        <f>IF(N3="","",IF('Input Nilai Pengetahuan'!$BB$1="","",'Input Nilai Pengetahuan'!$BB$1))</f>
        <v>Menemukan unsur-unsur dari buku fiksi dan nonfiksi yang dibca</v>
      </c>
      <c r="P9" s="90" t="str">
        <f>IF('Input Nilai Pengetahuan'!BI12="","",'Input Nilai Pengetahuan'!BI12)</f>
        <v/>
      </c>
      <c r="Q9" s="90" t="str">
        <f>IF(P3="","",IF('Input Nilai Pengetahuan'!$BB$1="","",'Input Nilai Pengetahuan'!$BB$1))</f>
        <v>Menemukan unsur-unsur dari buku fiksi dan nonfiksi yang dibca</v>
      </c>
      <c r="R9" s="90" t="str">
        <f>IF('Input Nilai Pengetahuan'!BI13="","",'Input Nilai Pengetahuan'!BI13)</f>
        <v/>
      </c>
      <c r="S9" s="90" t="str">
        <f>IF(R3="","",IF('Input Nilai Pengetahuan'!$BB$1="","",'Input Nilai Pengetahuan'!$BB$1))</f>
        <v>Menemukan unsur-unsur dari buku fiksi dan nonfiksi yang dibca</v>
      </c>
      <c r="T9" s="90" t="str">
        <f>IF('Input Nilai Pengetahuan'!BI14="","",'Input Nilai Pengetahuan'!BI14)</f>
        <v/>
      </c>
      <c r="U9" s="90" t="str">
        <f>IF(T3="","",IF('Input Nilai Pengetahuan'!$BB$1="","",'Input Nilai Pengetahuan'!$BB$1))</f>
        <v>Menemukan unsur-unsur dari buku fiksi dan nonfiksi yang dibca</v>
      </c>
      <c r="V9" s="90" t="str">
        <f>IF('Input Nilai Pengetahuan'!BI15="","",'Input Nilai Pengetahuan'!BI15)</f>
        <v/>
      </c>
      <c r="W9" s="90" t="str">
        <f>IF(V3="","",IF('Input Nilai Pengetahuan'!$BB$1="","",'Input Nilai Pengetahuan'!$BB$1))</f>
        <v>Menemukan unsur-unsur dari buku fiksi dan nonfiksi yang dibca</v>
      </c>
      <c r="X9" s="90" t="str">
        <f>IF('Input Nilai Pengetahuan'!BI16="","",'Input Nilai Pengetahuan'!BI16)</f>
        <v/>
      </c>
      <c r="Y9" s="90" t="str">
        <f>IF(X3="","",IF('Input Nilai Pengetahuan'!$BB$1="","",'Input Nilai Pengetahuan'!$BB$1))</f>
        <v>Menemukan unsur-unsur dari buku fiksi dan nonfiksi yang dibca</v>
      </c>
      <c r="Z9" s="90" t="str">
        <f>IF('Input Nilai Pengetahuan'!BI17="","",'Input Nilai Pengetahuan'!BI17)</f>
        <v/>
      </c>
      <c r="AA9" s="90" t="str">
        <f>IF(Z3="","",IF('Input Nilai Pengetahuan'!$BB$1="","",'Input Nilai Pengetahuan'!$BB$1))</f>
        <v>Menemukan unsur-unsur dari buku fiksi dan nonfiksi yang dibca</v>
      </c>
      <c r="AB9" s="90" t="str">
        <f>IF('Input Nilai Pengetahuan'!BI18="","",'Input Nilai Pengetahuan'!BI18)</f>
        <v/>
      </c>
      <c r="AC9" s="90" t="str">
        <f>IF(AB3="","",IF('Input Nilai Pengetahuan'!$BB$1="","",'Input Nilai Pengetahuan'!$BB$1))</f>
        <v>Menemukan unsur-unsur dari buku fiksi dan nonfiksi yang dibca</v>
      </c>
      <c r="AD9" s="90" t="str">
        <f>IF('Input Nilai Pengetahuan'!BI19="","",'Input Nilai Pengetahuan'!BI19)</f>
        <v/>
      </c>
      <c r="AE9" s="90" t="str">
        <f>IF(AD3="","",IF('Input Nilai Pengetahuan'!$BB$1="","",'Input Nilai Pengetahuan'!$BB$1))</f>
        <v>Menemukan unsur-unsur dari buku fiksi dan nonfiksi yang dibca</v>
      </c>
      <c r="AF9" s="90" t="str">
        <f>IF('Input Nilai Pengetahuan'!BI20="","",'Input Nilai Pengetahuan'!BI20)</f>
        <v/>
      </c>
      <c r="AG9" s="90" t="str">
        <f>IF(AF3="","",IF('Input Nilai Pengetahuan'!$BB$1="","",'Input Nilai Pengetahuan'!$BB$1))</f>
        <v>Menemukan unsur-unsur dari buku fiksi dan nonfiksi yang dibca</v>
      </c>
      <c r="AH9" s="90" t="str">
        <f>IF('Input Nilai Pengetahuan'!BI21="","",'Input Nilai Pengetahuan'!BI21)</f>
        <v/>
      </c>
      <c r="AI9" s="90" t="str">
        <f>IF(AH3="","",IF('Input Nilai Pengetahuan'!$BB$1="","",'Input Nilai Pengetahuan'!$BB$1))</f>
        <v>Menemukan unsur-unsur dari buku fiksi dan nonfiksi yang dibca</v>
      </c>
      <c r="AJ9" s="90" t="str">
        <f>IF('Input Nilai Pengetahuan'!BI22="","",'Input Nilai Pengetahuan'!BI22)</f>
        <v/>
      </c>
      <c r="AK9" s="90" t="str">
        <f>IF(AJ3="","",IF('Input Nilai Pengetahuan'!$BB$1="","",'Input Nilai Pengetahuan'!$BB$1))</f>
        <v>Menemukan unsur-unsur dari buku fiksi dan nonfiksi yang dibca</v>
      </c>
      <c r="AL9" s="90" t="str">
        <f>IF('Input Nilai Pengetahuan'!BI23="","",'Input Nilai Pengetahuan'!BI23)</f>
        <v/>
      </c>
      <c r="AM9" s="90" t="str">
        <f>IF(AL3="","",IF('Input Nilai Pengetahuan'!$BB$1="","",'Input Nilai Pengetahuan'!$BB$1))</f>
        <v>Menemukan unsur-unsur dari buku fiksi dan nonfiksi yang dibca</v>
      </c>
      <c r="AN9" s="90" t="str">
        <f>IF('Input Nilai Pengetahuan'!BI24="","",'Input Nilai Pengetahuan'!BI24)</f>
        <v/>
      </c>
      <c r="AO9" s="90" t="str">
        <f>IF(AN3="","",IF('Input Nilai Pengetahuan'!$BB$1="","",'Input Nilai Pengetahuan'!$BB$1))</f>
        <v>Menemukan unsur-unsur dari buku fiksi dan nonfiksi yang dibca</v>
      </c>
      <c r="AP9" s="90" t="str">
        <f>IF('Input Nilai Pengetahuan'!BI25="","",'Input Nilai Pengetahuan'!BI25)</f>
        <v/>
      </c>
      <c r="AQ9" s="90" t="str">
        <f>IF(AP3="","",IF('Input Nilai Pengetahuan'!$BB$1="","",'Input Nilai Pengetahuan'!$BB$1))</f>
        <v>Menemukan unsur-unsur dari buku fiksi dan nonfiksi yang dibca</v>
      </c>
      <c r="AR9" s="90" t="str">
        <f>IF('Input Nilai Pengetahuan'!BI26="","",'Input Nilai Pengetahuan'!BI26)</f>
        <v/>
      </c>
      <c r="AS9" s="90" t="str">
        <f>IF(AR3="","",IF('Input Nilai Pengetahuan'!$BB$1="","",'Input Nilai Pengetahuan'!$BB$1))</f>
        <v>Menemukan unsur-unsur dari buku fiksi dan nonfiksi yang dibca</v>
      </c>
      <c r="AT9" s="90" t="str">
        <f>IF('Input Nilai Pengetahuan'!BI27="","",'Input Nilai Pengetahuan'!BI27)</f>
        <v/>
      </c>
      <c r="AU9" s="90" t="str">
        <f>IF(AT3="","",IF('Input Nilai Pengetahuan'!$BB$1="","",'Input Nilai Pengetahuan'!$BB$1))</f>
        <v>Menemukan unsur-unsur dari buku fiksi dan nonfiksi yang dibca</v>
      </c>
      <c r="AV9" s="90" t="str">
        <f>IF('Input Nilai Pengetahuan'!BI28="","",'Input Nilai Pengetahuan'!BI28)</f>
        <v/>
      </c>
      <c r="AW9" s="90" t="str">
        <f>IF(AV3="","",IF('Input Nilai Pengetahuan'!$BB$1="","",'Input Nilai Pengetahuan'!$BB$1))</f>
        <v>Menemukan unsur-unsur dari buku fiksi dan nonfiksi yang dibca</v>
      </c>
      <c r="AX9" s="90" t="str">
        <f>IF('Input Nilai Pengetahuan'!BI29="","",'Input Nilai Pengetahuan'!BI29)</f>
        <v/>
      </c>
      <c r="AY9" s="90" t="str">
        <f>IF(AX3="","",IF('Input Nilai Pengetahuan'!$BB$1="","",'Input Nilai Pengetahuan'!$BB$1))</f>
        <v>Menemukan unsur-unsur dari buku fiksi dan nonfiksi yang dibca</v>
      </c>
      <c r="AZ9" s="90" t="str">
        <f>IF('Input Nilai Pengetahuan'!BI30="","",'Input Nilai Pengetahuan'!BI30)</f>
        <v/>
      </c>
      <c r="BA9" s="90" t="str">
        <f>IF(AZ3="","",IF('Input Nilai Pengetahuan'!$BB$1="","",'Input Nilai Pengetahuan'!$BB$1))</f>
        <v>Menemukan unsur-unsur dari buku fiksi dan nonfiksi yang dibca</v>
      </c>
      <c r="BB9" s="90" t="str">
        <f>IF('Input Nilai Pengetahuan'!BI31="","",'Input Nilai Pengetahuan'!BI31)</f>
        <v/>
      </c>
      <c r="BC9" s="90" t="str">
        <f>IF(BB3="","",IF('Input Nilai Pengetahuan'!$BB$1="","",'Input Nilai Pengetahuan'!$BB$1))</f>
        <v>Menemukan unsur-unsur dari buku fiksi dan nonfiksi yang dibca</v>
      </c>
      <c r="BD9" s="90" t="str">
        <f>IF('Input Nilai Pengetahuan'!BI32="","",'Input Nilai Pengetahuan'!BI32)</f>
        <v/>
      </c>
      <c r="BE9" s="90" t="str">
        <f>IF(BD3="","",IF('Input Nilai Pengetahuan'!$BB$1="","",'Input Nilai Pengetahuan'!$BB$1))</f>
        <v>Menemukan unsur-unsur dari buku fiksi dan nonfiksi yang dibca</v>
      </c>
      <c r="BF9" s="90" t="str">
        <f>IF('Input Nilai Pengetahuan'!BI33="","",'Input Nilai Pengetahuan'!BI33)</f>
        <v/>
      </c>
      <c r="BG9" s="90" t="str">
        <f>IF(BF3="","",IF('Input Nilai Pengetahuan'!$BB$1="","",'Input Nilai Pengetahuan'!$BB$1))</f>
        <v>Menemukan unsur-unsur dari buku fiksi dan nonfiksi yang dibca</v>
      </c>
      <c r="BH9" s="90" t="str">
        <f>IF('Input Nilai Pengetahuan'!BI34="","",'Input Nilai Pengetahuan'!BI34)</f>
        <v/>
      </c>
      <c r="BI9" s="90" t="str">
        <f>IF(BH3="","",IF('Input Nilai Pengetahuan'!$BB$1="","",'Input Nilai Pengetahuan'!$BB$1))</f>
        <v>Menemukan unsur-unsur dari buku fiksi dan nonfiksi yang dibca</v>
      </c>
      <c r="BJ9" s="90" t="str">
        <f>IF('Input Nilai Pengetahuan'!BI35="","",'Input Nilai Pengetahuan'!BI35)</f>
        <v/>
      </c>
      <c r="BK9" s="90" t="str">
        <f>IF(BJ3="","",IF('Input Nilai Pengetahuan'!$BB$1="","",'Input Nilai Pengetahuan'!$BB$1))</f>
        <v>Menemukan unsur-unsur dari buku fiksi dan nonfiksi yang dibca</v>
      </c>
      <c r="BL9" s="90" t="str">
        <f>IF('Input Nilai Pengetahuan'!BI36="","",'Input Nilai Pengetahuan'!BI36)</f>
        <v/>
      </c>
      <c r="BM9" s="90" t="str">
        <f>IF(BL3="","",IF('Input Nilai Pengetahuan'!$BB$1="","",'Input Nilai Pengetahuan'!$BB$1))</f>
        <v>Menemukan unsur-unsur dari buku fiksi dan nonfiksi yang dibca</v>
      </c>
      <c r="BN9" s="90" t="str">
        <f>IF('Input Nilai Pengetahuan'!BI37="","",'Input Nilai Pengetahuan'!BI37)</f>
        <v/>
      </c>
      <c r="BO9" s="90" t="str">
        <f>IF(BN3="","",IF('Input Nilai Pengetahuan'!$BB$1="","",'Input Nilai Pengetahuan'!$BB$1))</f>
        <v>Menemukan unsur-unsur dari buku fiksi dan nonfiksi yang dibca</v>
      </c>
      <c r="BP9" s="90" t="str">
        <f>IF('Input Nilai Pengetahuan'!BI38="","",'Input Nilai Pengetahuan'!BI38)</f>
        <v/>
      </c>
      <c r="BQ9" s="90" t="str">
        <f>IF(BP3="","",IF('Input Nilai Pengetahuan'!$BB$1="","",'Input Nilai Pengetahuan'!$BB$1))</f>
        <v>Menemukan unsur-unsur dari buku fiksi dan nonfiksi yang dibca</v>
      </c>
      <c r="BR9" s="90" t="str">
        <f>IF('Input Nilai Pengetahuan'!BI39="","",'Input Nilai Pengetahuan'!BI39)</f>
        <v/>
      </c>
      <c r="BS9" s="90" t="str">
        <f>IF(BR3="","",IF('Input Nilai Pengetahuan'!$BB$1="","",'Input Nilai Pengetahuan'!$BB$1))</f>
        <v>Menemukan unsur-unsur dari buku fiksi dan nonfiksi yang dibca</v>
      </c>
      <c r="BT9" s="90" t="str">
        <f>IF('Input Nilai Pengetahuan'!BI40="","",'Input Nilai Pengetahuan'!BI40)</f>
        <v/>
      </c>
      <c r="BU9" s="90" t="str">
        <f>IF(BT3="","",IF('Input Nilai Pengetahuan'!$BB$1="","",'Input Nilai Pengetahuan'!$BB$1))</f>
        <v/>
      </c>
      <c r="BV9" s="90" t="str">
        <f>IF('Input Nilai Pengetahuan'!BI41="","",'Input Nilai Pengetahuan'!BI41)</f>
        <v/>
      </c>
      <c r="BW9" s="90" t="str">
        <f>IF(BV3="","",IF('Input Nilai Pengetahuan'!$BB$1="","",'Input Nilai Pengetahuan'!$BB$1))</f>
        <v/>
      </c>
      <c r="BX9" s="90" t="str">
        <f>IF('Input Nilai Pengetahuan'!BI42="","",'Input Nilai Pengetahuan'!BI42)</f>
        <v/>
      </c>
      <c r="BY9" s="90" t="str">
        <f>IF(BX3="","",IF('Input Nilai Pengetahuan'!$BB$1="","",'Input Nilai Pengetahuan'!$BB$1))</f>
        <v/>
      </c>
      <c r="BZ9" s="90" t="str">
        <f>IF('Input Nilai Pengetahuan'!BI43="","",'Input Nilai Pengetahuan'!BI43)</f>
        <v/>
      </c>
      <c r="CA9" s="90" t="str">
        <f>IF(BZ3="","",IF('Input Nilai Pengetahuan'!$BB$1="","",'Input Nilai Pengetahuan'!$BB$1))</f>
        <v/>
      </c>
      <c r="CB9" s="90" t="str">
        <f>IF('Input Nilai Pengetahuan'!BI44="","",'Input Nilai Pengetahuan'!BI44)</f>
        <v/>
      </c>
      <c r="CC9" s="90" t="str">
        <f>IF(CB3="","",IF('Input Nilai Pengetahuan'!$BB$1="","",'Input Nilai Pengetahuan'!$BB$1))</f>
        <v/>
      </c>
      <c r="CD9" s="90" t="str">
        <f>IF('Input Nilai Pengetahuan'!BI45="","",'Input Nilai Pengetahuan'!BI45)</f>
        <v/>
      </c>
      <c r="CE9" s="90" t="str">
        <f>IF(CD3="","",IF('Input Nilai Pengetahuan'!$BB$1="","",'Input Nilai Pengetahuan'!$BB$1))</f>
        <v/>
      </c>
      <c r="CF9" s="90" t="str">
        <f>IF('Input Nilai Pengetahuan'!BI46="","",'Input Nilai Pengetahuan'!BI46)</f>
        <v/>
      </c>
      <c r="CG9" s="90" t="str">
        <f>IF(CF3="","",IF('Input Nilai Pengetahuan'!$BB$1="","",'Input Nilai Pengetahuan'!$BB$1))</f>
        <v/>
      </c>
      <c r="CH9" s="90" t="str">
        <f>IF('Input Nilai Pengetahuan'!BI47="","",'Input Nilai Pengetahuan'!BI47)</f>
        <v/>
      </c>
      <c r="CI9" s="90" t="str">
        <f>IF(CH3="","",IF('Input Nilai Pengetahuan'!$BB$1="","",'Input Nilai Pengetahuan'!$BB$1))</f>
        <v/>
      </c>
      <c r="CJ9" s="90" t="str">
        <f>IF('Input Nilai Pengetahuan'!BI48="","",'Input Nilai Pengetahuan'!BI48)</f>
        <v/>
      </c>
      <c r="CK9" s="90" t="str">
        <f>IF(CJ3="","",IF('Input Nilai Pengetahuan'!$BB$1="","",'Input Nilai Pengetahuan'!$BB$1))</f>
        <v/>
      </c>
      <c r="CL9" s="90" t="str">
        <f>IF('Input Nilai Pengetahuan'!BI49="","",'Input Nilai Pengetahuan'!BI49)</f>
        <v/>
      </c>
      <c r="CM9" s="90" t="str">
        <f>IF(CL3="","",IF('Input Nilai Pengetahuan'!$BB$1="","",'Input Nilai Pengetahuan'!$BB$1))</f>
        <v/>
      </c>
      <c r="CN9" s="90" t="str">
        <f>IF('Input Nilai Pengetahuan'!BI50="","",'Input Nilai Pengetahuan'!BI50)</f>
        <v/>
      </c>
      <c r="CO9" s="90" t="str">
        <f>IF(CN3="","",IF('Input Nilai Pengetahuan'!$BB$1="","",'Input Nilai Pengetahuan'!$BB$1))</f>
        <v/>
      </c>
      <c r="CP9" s="90" t="str">
        <f>IF('Input Nilai Pengetahuan'!BI51="","",'Input Nilai Pengetahuan'!BI51)</f>
        <v/>
      </c>
      <c r="CQ9" s="90" t="str">
        <f>IF(CP3="","",IF('Input Nilai Pengetahuan'!$BB$1="","",'Input Nilai Pengetahuan'!$BB$1))</f>
        <v/>
      </c>
      <c r="CR9" s="90" t="str">
        <f>IF('Input Nilai Pengetahuan'!BI52="","",'Input Nilai Pengetahuan'!BI52)</f>
        <v/>
      </c>
      <c r="CS9" s="90" t="str">
        <f>IF(CR3="","",IF('Input Nilai Pengetahuan'!$BB$1="","",'Input Nilai Pengetahuan'!$BB$1))</f>
        <v/>
      </c>
    </row>
    <row r="10" spans="1:97">
      <c r="A10" s="72">
        <v>8</v>
      </c>
      <c r="B10" s="90" t="str">
        <f>IF('Input Nilai Pengetahuan'!BQ5="","",'Input Nilai Pengetahuan'!BQ5)</f>
        <v/>
      </c>
      <c r="C10" s="90" t="str">
        <f>IF(B3="","",IF('Input Nilai Pengetahuan'!$BJ$1="","",'Input Nilai Pengetahuan'!$BJ$1))</f>
        <v>Menelaah hubungan unsur-unsur dalam buku fiksi dan nonfiksi</v>
      </c>
      <c r="D10" s="90" t="str">
        <f>IF('Input Nilai Pengetahuan'!BQ6="","",'Input Nilai Pengetahuan'!BQ6)</f>
        <v/>
      </c>
      <c r="E10" s="90" t="str">
        <f>IF(D3="","",IF('Input Nilai Pengetahuan'!$BJ$1="","",'Input Nilai Pengetahuan'!$BJ$1))</f>
        <v/>
      </c>
      <c r="F10" s="90" t="str">
        <f>IF('Input Nilai Pengetahuan'!BQ7="","",'Input Nilai Pengetahuan'!BQ7)</f>
        <v/>
      </c>
      <c r="G10" s="90" t="str">
        <f>IF(F3="","",IF('Input Nilai Pengetahuan'!$BJ$1="","",'Input Nilai Pengetahuan'!$BJ$1))</f>
        <v>Menelaah hubungan unsur-unsur dalam buku fiksi dan nonfiksi</v>
      </c>
      <c r="H10" s="90" t="str">
        <f>IF('Input Nilai Pengetahuan'!BQ8="","",'Input Nilai Pengetahuan'!BQ8)</f>
        <v/>
      </c>
      <c r="I10" s="90" t="str">
        <f>IF(H3="","",IF('Input Nilai Pengetahuan'!$BJ$1="","",'Input Nilai Pengetahuan'!$BJ$1))</f>
        <v>Menelaah hubungan unsur-unsur dalam buku fiksi dan nonfiksi</v>
      </c>
      <c r="J10" s="90" t="str">
        <f>IF('Input Nilai Pengetahuan'!BQ9="","",'Input Nilai Pengetahuan'!BQ9)</f>
        <v/>
      </c>
      <c r="K10" s="90" t="str">
        <f>IF(J3="","",IF('Input Nilai Pengetahuan'!$BJ$1="","",'Input Nilai Pengetahuan'!$BJ$1))</f>
        <v>Menelaah hubungan unsur-unsur dalam buku fiksi dan nonfiksi</v>
      </c>
      <c r="L10" s="90" t="str">
        <f>IF('Input Nilai Pengetahuan'!BQ10="","",'Input Nilai Pengetahuan'!BQ10)</f>
        <v/>
      </c>
      <c r="M10" s="90" t="str">
        <f>IF(L3="","",IF('Input Nilai Pengetahuan'!$BJ$1="","",'Input Nilai Pengetahuan'!$BJ$1))</f>
        <v>Menelaah hubungan unsur-unsur dalam buku fiksi dan nonfiksi</v>
      </c>
      <c r="N10" s="90" t="str">
        <f>IF('Input Nilai Pengetahuan'!BQ11="","",'Input Nilai Pengetahuan'!BQ11)</f>
        <v/>
      </c>
      <c r="O10" s="90" t="str">
        <f>IF(N3="","",IF('Input Nilai Pengetahuan'!$BJ$1="","",'Input Nilai Pengetahuan'!$BJ$1))</f>
        <v>Menelaah hubungan unsur-unsur dalam buku fiksi dan nonfiksi</v>
      </c>
      <c r="P10" s="90" t="str">
        <f>IF('Input Nilai Pengetahuan'!BQ12="","",'Input Nilai Pengetahuan'!BQ12)</f>
        <v/>
      </c>
      <c r="Q10" s="90" t="str">
        <f>IF(P3="","",IF('Input Nilai Pengetahuan'!$BJ$1="","",'Input Nilai Pengetahuan'!$BJ$1))</f>
        <v>Menelaah hubungan unsur-unsur dalam buku fiksi dan nonfiksi</v>
      </c>
      <c r="R10" s="90" t="str">
        <f>IF('Input Nilai Pengetahuan'!BQ13="","",'Input Nilai Pengetahuan'!BQ13)</f>
        <v/>
      </c>
      <c r="S10" s="90" t="str">
        <f>IF(R3="","",IF('Input Nilai Pengetahuan'!$BJ$1="","",'Input Nilai Pengetahuan'!$BJ$1))</f>
        <v>Menelaah hubungan unsur-unsur dalam buku fiksi dan nonfiksi</v>
      </c>
      <c r="T10" s="90" t="str">
        <f>IF('Input Nilai Pengetahuan'!BQ14="","",'Input Nilai Pengetahuan'!BQ14)</f>
        <v/>
      </c>
      <c r="U10" s="90" t="str">
        <f>IF(T3="","",IF('Input Nilai Pengetahuan'!$BJ$1="","",'Input Nilai Pengetahuan'!$BJ$1))</f>
        <v>Menelaah hubungan unsur-unsur dalam buku fiksi dan nonfiksi</v>
      </c>
      <c r="V10" s="90" t="str">
        <f>IF('Input Nilai Pengetahuan'!BQ15="","",'Input Nilai Pengetahuan'!BQ15)</f>
        <v/>
      </c>
      <c r="W10" s="90" t="str">
        <f>IF(V3="","",IF('Input Nilai Pengetahuan'!$BJ$1="","",'Input Nilai Pengetahuan'!$BJ$1))</f>
        <v>Menelaah hubungan unsur-unsur dalam buku fiksi dan nonfiksi</v>
      </c>
      <c r="X10" s="90" t="str">
        <f>IF('Input Nilai Pengetahuan'!BQ16="","",'Input Nilai Pengetahuan'!BQ16)</f>
        <v/>
      </c>
      <c r="Y10" s="90" t="str">
        <f>IF(X3="","",IF('Input Nilai Pengetahuan'!$BJ$1="","",'Input Nilai Pengetahuan'!$BJ$1))</f>
        <v>Menelaah hubungan unsur-unsur dalam buku fiksi dan nonfiksi</v>
      </c>
      <c r="Z10" s="90" t="str">
        <f>IF('Input Nilai Pengetahuan'!BQ17="","",'Input Nilai Pengetahuan'!BQ17)</f>
        <v/>
      </c>
      <c r="AA10" s="90" t="str">
        <f>IF(Z3="","",IF('Input Nilai Pengetahuan'!$BJ$1="","",'Input Nilai Pengetahuan'!$BJ$1))</f>
        <v>Menelaah hubungan unsur-unsur dalam buku fiksi dan nonfiksi</v>
      </c>
      <c r="AB10" s="90" t="str">
        <f>IF('Input Nilai Pengetahuan'!BQ18="","",'Input Nilai Pengetahuan'!BQ18)</f>
        <v/>
      </c>
      <c r="AC10" s="90" t="str">
        <f>IF(AB3="","",IF('Input Nilai Pengetahuan'!$BJ$1="","",'Input Nilai Pengetahuan'!$BJ$1))</f>
        <v>Menelaah hubungan unsur-unsur dalam buku fiksi dan nonfiksi</v>
      </c>
      <c r="AD10" s="90" t="str">
        <f>IF('Input Nilai Pengetahuan'!BQ19="","",'Input Nilai Pengetahuan'!BQ19)</f>
        <v/>
      </c>
      <c r="AE10" s="90" t="str">
        <f>IF(AD3="","",IF('Input Nilai Pengetahuan'!$BJ$1="","",'Input Nilai Pengetahuan'!$BJ$1))</f>
        <v>Menelaah hubungan unsur-unsur dalam buku fiksi dan nonfiksi</v>
      </c>
      <c r="AF10" s="90" t="str">
        <f>IF('Input Nilai Pengetahuan'!BQ20="","",'Input Nilai Pengetahuan'!BQ20)</f>
        <v/>
      </c>
      <c r="AG10" s="90" t="str">
        <f>IF(AF3="","",IF('Input Nilai Pengetahuan'!$BJ$1="","",'Input Nilai Pengetahuan'!$BJ$1))</f>
        <v>Menelaah hubungan unsur-unsur dalam buku fiksi dan nonfiksi</v>
      </c>
      <c r="AH10" s="90" t="str">
        <f>IF('Input Nilai Pengetahuan'!BQ21="","",'Input Nilai Pengetahuan'!BQ21)</f>
        <v/>
      </c>
      <c r="AI10" s="90" t="str">
        <f>IF(AH3="","",IF('Input Nilai Pengetahuan'!$BJ$1="","",'Input Nilai Pengetahuan'!$BJ$1))</f>
        <v>Menelaah hubungan unsur-unsur dalam buku fiksi dan nonfiksi</v>
      </c>
      <c r="AJ10" s="90" t="str">
        <f>IF('Input Nilai Pengetahuan'!BQ22="","",'Input Nilai Pengetahuan'!BQ22)</f>
        <v/>
      </c>
      <c r="AK10" s="90" t="str">
        <f>IF(AJ3="","",IF('Input Nilai Pengetahuan'!$BJ$1="","",'Input Nilai Pengetahuan'!$BJ$1))</f>
        <v>Menelaah hubungan unsur-unsur dalam buku fiksi dan nonfiksi</v>
      </c>
      <c r="AL10" s="90" t="str">
        <f>IF('Input Nilai Pengetahuan'!BQ23="","",'Input Nilai Pengetahuan'!BQ23)</f>
        <v/>
      </c>
      <c r="AM10" s="90" t="str">
        <f>IF(AL3="","",IF('Input Nilai Pengetahuan'!$BJ$1="","",'Input Nilai Pengetahuan'!$BJ$1))</f>
        <v>Menelaah hubungan unsur-unsur dalam buku fiksi dan nonfiksi</v>
      </c>
      <c r="AN10" s="90" t="str">
        <f>IF('Input Nilai Pengetahuan'!BQ24="","",'Input Nilai Pengetahuan'!BQ24)</f>
        <v/>
      </c>
      <c r="AO10" s="90" t="str">
        <f>IF(AN3="","",IF('Input Nilai Pengetahuan'!$BJ$1="","",'Input Nilai Pengetahuan'!$BJ$1))</f>
        <v>Menelaah hubungan unsur-unsur dalam buku fiksi dan nonfiksi</v>
      </c>
      <c r="AP10" s="90" t="str">
        <f>IF('Input Nilai Pengetahuan'!BQ25="","",'Input Nilai Pengetahuan'!BQ25)</f>
        <v/>
      </c>
      <c r="AQ10" s="90" t="str">
        <f>IF(AP3="","",IF('Input Nilai Pengetahuan'!$BJ$1="","",'Input Nilai Pengetahuan'!$BJ$1))</f>
        <v>Menelaah hubungan unsur-unsur dalam buku fiksi dan nonfiksi</v>
      </c>
      <c r="AR10" s="90" t="str">
        <f>IF('Input Nilai Pengetahuan'!BQ26="","",'Input Nilai Pengetahuan'!BQ26)</f>
        <v/>
      </c>
      <c r="AS10" s="90" t="str">
        <f>IF(AR3="","",IF('Input Nilai Pengetahuan'!$BJ$1="","",'Input Nilai Pengetahuan'!$BJ$1))</f>
        <v>Menelaah hubungan unsur-unsur dalam buku fiksi dan nonfiksi</v>
      </c>
      <c r="AT10" s="90" t="str">
        <f>IF('Input Nilai Pengetahuan'!BQ27="","",'Input Nilai Pengetahuan'!BQ27)</f>
        <v/>
      </c>
      <c r="AU10" s="90" t="str">
        <f>IF(AT3="","",IF('Input Nilai Pengetahuan'!$BJ$1="","",'Input Nilai Pengetahuan'!$BJ$1))</f>
        <v>Menelaah hubungan unsur-unsur dalam buku fiksi dan nonfiksi</v>
      </c>
      <c r="AV10" s="90" t="str">
        <f>IF('Input Nilai Pengetahuan'!BQ28="","",'Input Nilai Pengetahuan'!BQ28)</f>
        <v/>
      </c>
      <c r="AW10" s="90" t="str">
        <f>IF(AV3="","",IF('Input Nilai Pengetahuan'!$BJ$1="","",'Input Nilai Pengetahuan'!$BJ$1))</f>
        <v>Menelaah hubungan unsur-unsur dalam buku fiksi dan nonfiksi</v>
      </c>
      <c r="AX10" s="90" t="str">
        <f>IF('Input Nilai Pengetahuan'!BQ29="","",'Input Nilai Pengetahuan'!BQ29)</f>
        <v/>
      </c>
      <c r="AY10" s="90" t="str">
        <f>IF(AX3="","",IF('Input Nilai Pengetahuan'!$BJ$1="","",'Input Nilai Pengetahuan'!$BJ$1))</f>
        <v>Menelaah hubungan unsur-unsur dalam buku fiksi dan nonfiksi</v>
      </c>
      <c r="AZ10" s="90" t="str">
        <f>IF('Input Nilai Pengetahuan'!BQ30="","",'Input Nilai Pengetahuan'!BQ30)</f>
        <v/>
      </c>
      <c r="BA10" s="90" t="str">
        <f>IF(AZ3="","",IF('Input Nilai Pengetahuan'!$BJ$1="","",'Input Nilai Pengetahuan'!$BJ$1))</f>
        <v>Menelaah hubungan unsur-unsur dalam buku fiksi dan nonfiksi</v>
      </c>
      <c r="BB10" s="90" t="str">
        <f>IF('Input Nilai Pengetahuan'!BQ31="","",'Input Nilai Pengetahuan'!BQ31)</f>
        <v/>
      </c>
      <c r="BC10" s="90" t="str">
        <f>IF(BB3="","",IF('Input Nilai Pengetahuan'!$BJ$1="","",'Input Nilai Pengetahuan'!$BJ$1))</f>
        <v>Menelaah hubungan unsur-unsur dalam buku fiksi dan nonfiksi</v>
      </c>
      <c r="BD10" s="90" t="str">
        <f>IF('Input Nilai Pengetahuan'!BQ32="","",'Input Nilai Pengetahuan'!BQ32)</f>
        <v/>
      </c>
      <c r="BE10" s="90" t="str">
        <f>IF(BD3="","",IF('Input Nilai Pengetahuan'!$BJ$1="","",'Input Nilai Pengetahuan'!$BJ$1))</f>
        <v>Menelaah hubungan unsur-unsur dalam buku fiksi dan nonfiksi</v>
      </c>
      <c r="BF10" s="90" t="str">
        <f>IF('Input Nilai Pengetahuan'!BQ33="","",'Input Nilai Pengetahuan'!BQ33)</f>
        <v/>
      </c>
      <c r="BG10" s="90" t="str">
        <f>IF(BF3="","",IF('Input Nilai Pengetahuan'!$BJ$1="","",'Input Nilai Pengetahuan'!$BJ$1))</f>
        <v>Menelaah hubungan unsur-unsur dalam buku fiksi dan nonfiksi</v>
      </c>
      <c r="BH10" s="90" t="str">
        <f>IF('Input Nilai Pengetahuan'!BQ34="","",'Input Nilai Pengetahuan'!BQ34)</f>
        <v/>
      </c>
      <c r="BI10" s="90" t="str">
        <f>IF(BH3="","",IF('Input Nilai Pengetahuan'!$BJ$1="","",'Input Nilai Pengetahuan'!$BJ$1))</f>
        <v>Menelaah hubungan unsur-unsur dalam buku fiksi dan nonfiksi</v>
      </c>
      <c r="BJ10" s="90" t="str">
        <f>IF('Input Nilai Pengetahuan'!BQ35="","",'Input Nilai Pengetahuan'!BQ35)</f>
        <v/>
      </c>
      <c r="BK10" s="90" t="str">
        <f>IF(BJ3="","",IF('Input Nilai Pengetahuan'!$BJ$1="","",'Input Nilai Pengetahuan'!$BJ$1))</f>
        <v>Menelaah hubungan unsur-unsur dalam buku fiksi dan nonfiksi</v>
      </c>
      <c r="BL10" s="90" t="str">
        <f>IF('Input Nilai Pengetahuan'!BQ36="","",'Input Nilai Pengetahuan'!BQ36)</f>
        <v/>
      </c>
      <c r="BM10" s="90" t="str">
        <f>IF(BL3="","",IF('Input Nilai Pengetahuan'!$BJ$1="","",'Input Nilai Pengetahuan'!$BJ$1))</f>
        <v>Menelaah hubungan unsur-unsur dalam buku fiksi dan nonfiksi</v>
      </c>
      <c r="BN10" s="90" t="str">
        <f>IF('Input Nilai Pengetahuan'!BQ37="","",'Input Nilai Pengetahuan'!BQ37)</f>
        <v/>
      </c>
      <c r="BO10" s="90" t="str">
        <f>IF(BN3="","",IF('Input Nilai Pengetahuan'!$BJ$1="","",'Input Nilai Pengetahuan'!$BJ$1))</f>
        <v>Menelaah hubungan unsur-unsur dalam buku fiksi dan nonfiksi</v>
      </c>
      <c r="BP10" s="90" t="str">
        <f>IF('Input Nilai Pengetahuan'!BQ38="","",'Input Nilai Pengetahuan'!BQ38)</f>
        <v/>
      </c>
      <c r="BQ10" s="90" t="str">
        <f>IF(BP3="","",IF('Input Nilai Pengetahuan'!$BJ$1="","",'Input Nilai Pengetahuan'!$BJ$1))</f>
        <v>Menelaah hubungan unsur-unsur dalam buku fiksi dan nonfiksi</v>
      </c>
      <c r="BR10" s="90" t="str">
        <f>IF('Input Nilai Pengetahuan'!BQ39="","",'Input Nilai Pengetahuan'!BQ39)</f>
        <v/>
      </c>
      <c r="BS10" s="90" t="str">
        <f>IF(BR3="","",IF('Input Nilai Pengetahuan'!$BJ$1="","",'Input Nilai Pengetahuan'!$BJ$1))</f>
        <v>Menelaah hubungan unsur-unsur dalam buku fiksi dan nonfiksi</v>
      </c>
      <c r="BT10" s="90" t="str">
        <f>IF('Input Nilai Pengetahuan'!BQ40="","",'Input Nilai Pengetahuan'!BQ40)</f>
        <v/>
      </c>
      <c r="BU10" s="90" t="str">
        <f>IF(BT3="","",IF('Input Nilai Pengetahuan'!$BJ$1="","",'Input Nilai Pengetahuan'!$BJ$1))</f>
        <v/>
      </c>
      <c r="BV10" s="90" t="str">
        <f>IF('Input Nilai Pengetahuan'!BQ41="","",'Input Nilai Pengetahuan'!BQ41)</f>
        <v/>
      </c>
      <c r="BW10" s="90" t="str">
        <f>IF(BV3="","",IF('Input Nilai Pengetahuan'!$BJ$1="","",'Input Nilai Pengetahuan'!$BJ$1))</f>
        <v/>
      </c>
      <c r="BX10" s="90" t="str">
        <f>IF('Input Nilai Pengetahuan'!BQ42="","",'Input Nilai Pengetahuan'!BQ42)</f>
        <v/>
      </c>
      <c r="BY10" s="90" t="str">
        <f>IF(BX3="","",IF('Input Nilai Pengetahuan'!$BJ$1="","",'Input Nilai Pengetahuan'!$BJ$1))</f>
        <v/>
      </c>
      <c r="BZ10" s="90" t="str">
        <f>IF('Input Nilai Pengetahuan'!BQ43="","",'Input Nilai Pengetahuan'!BQ43)</f>
        <v/>
      </c>
      <c r="CA10" s="90" t="str">
        <f>IF(BZ3="","",IF('Input Nilai Pengetahuan'!$BJ$1="","",'Input Nilai Pengetahuan'!$BJ$1))</f>
        <v/>
      </c>
      <c r="CB10" s="90" t="str">
        <f>IF('Input Nilai Pengetahuan'!BQ44="","",'Input Nilai Pengetahuan'!BQ44)</f>
        <v/>
      </c>
      <c r="CC10" s="90" t="str">
        <f>IF(CB3="","",IF('Input Nilai Pengetahuan'!$BJ$1="","",'Input Nilai Pengetahuan'!$BJ$1))</f>
        <v/>
      </c>
      <c r="CD10" s="90" t="str">
        <f>IF('Input Nilai Pengetahuan'!BQ45="","",'Input Nilai Pengetahuan'!BQ45)</f>
        <v/>
      </c>
      <c r="CE10" s="90" t="str">
        <f>IF(CD3="","",IF('Input Nilai Pengetahuan'!$BJ$1="","",'Input Nilai Pengetahuan'!$BJ$1))</f>
        <v/>
      </c>
      <c r="CF10" s="90" t="str">
        <f>IF('Input Nilai Pengetahuan'!BQ46="","",'Input Nilai Pengetahuan'!BQ46)</f>
        <v/>
      </c>
      <c r="CG10" s="90" t="str">
        <f>IF(CF3="","",IF('Input Nilai Pengetahuan'!$BJ$1="","",'Input Nilai Pengetahuan'!$BJ$1))</f>
        <v/>
      </c>
      <c r="CH10" s="90" t="str">
        <f>IF('Input Nilai Pengetahuan'!BQ47="","",'Input Nilai Pengetahuan'!BQ47)</f>
        <v/>
      </c>
      <c r="CI10" s="90" t="str">
        <f>IF(CH3="","",IF('Input Nilai Pengetahuan'!$BJ$1="","",'Input Nilai Pengetahuan'!$BJ$1))</f>
        <v/>
      </c>
      <c r="CJ10" s="90" t="str">
        <f>IF('Input Nilai Pengetahuan'!BQ48="","",'Input Nilai Pengetahuan'!BQ48)</f>
        <v/>
      </c>
      <c r="CK10" s="90" t="str">
        <f>IF(CJ3="","",IF('Input Nilai Pengetahuan'!$BJ$1="","",'Input Nilai Pengetahuan'!$BJ$1))</f>
        <v/>
      </c>
      <c r="CL10" s="90" t="str">
        <f>IF('Input Nilai Pengetahuan'!BQ49="","",'Input Nilai Pengetahuan'!BQ49)</f>
        <v/>
      </c>
      <c r="CM10" s="90" t="str">
        <f>IF(CL3="","",IF('Input Nilai Pengetahuan'!$BJ$1="","",'Input Nilai Pengetahuan'!$BJ$1))</f>
        <v/>
      </c>
      <c r="CN10" s="90" t="str">
        <f>IF('Input Nilai Pengetahuan'!BQ50="","",'Input Nilai Pengetahuan'!BQ50)</f>
        <v/>
      </c>
      <c r="CO10" s="90" t="str">
        <f>IF(CN3="","",IF('Input Nilai Pengetahuan'!$BJ$1="","",'Input Nilai Pengetahuan'!$BJ$1))</f>
        <v/>
      </c>
      <c r="CP10" s="90" t="str">
        <f>IF('Input Nilai Pengetahuan'!BQ51="","",'Input Nilai Pengetahuan'!BQ51)</f>
        <v/>
      </c>
      <c r="CQ10" s="90" t="str">
        <f>IF(CP3="","",IF('Input Nilai Pengetahuan'!$BJ$1="","",'Input Nilai Pengetahuan'!$BJ$1))</f>
        <v/>
      </c>
      <c r="CR10" s="90" t="str">
        <f>IF('Input Nilai Pengetahuan'!BQ52="","",'Input Nilai Pengetahuan'!BQ52)</f>
        <v/>
      </c>
      <c r="CS10" s="90" t="str">
        <f>IF(CR3="","",IF('Input Nilai Pengetahuan'!$BJ$1="","",'Input Nilai Pengetahuan'!$BJ$1))</f>
        <v/>
      </c>
    </row>
    <row r="11" spans="1:97">
      <c r="A11" s="72">
        <v>9</v>
      </c>
      <c r="B11" s="90" t="str">
        <f>IF('Input Nilai Pengetahuan'!BY5="","",'Input Nilai Pengetahuan'!BY5)</f>
        <v/>
      </c>
      <c r="C11" s="90" t="str">
        <f>IF(B3="","",IF('Input Nilai Pengetahuan'!$BR$1="","",'Input Nilai Pengetahuan'!$BR$1))</f>
        <v/>
      </c>
      <c r="D11" s="90" t="str">
        <f>IF('Input Nilai Pengetahuan'!BY6="","",'Input Nilai Pengetahuan'!BY6)</f>
        <v/>
      </c>
      <c r="E11" s="90" t="str">
        <f>IF(D3="","",IF('Input Nilai Pengetahuan'!$BR$1="","",'Input Nilai Pengetahuan'!$BR$1))</f>
        <v/>
      </c>
      <c r="F11" s="90" t="str">
        <f>IF('Input Nilai Pengetahuan'!BY7="","",'Input Nilai Pengetahuan'!BY7)</f>
        <v/>
      </c>
      <c r="G11" s="90" t="str">
        <f>IF(F3="","",IF('Input Nilai Pengetahuan'!$BR$1="","",'Input Nilai Pengetahuan'!$BR$1))</f>
        <v/>
      </c>
      <c r="H11" s="90" t="str">
        <f>IF('Input Nilai Pengetahuan'!BY8="","",'Input Nilai Pengetahuan'!BY8)</f>
        <v/>
      </c>
      <c r="I11" s="90" t="str">
        <f>IF(H3="","",IF('Input Nilai Pengetahuan'!$BR$1="","",'Input Nilai Pengetahuan'!$BR$1))</f>
        <v/>
      </c>
      <c r="J11" s="90" t="str">
        <f>IF('Input Nilai Pengetahuan'!BY9="","",'Input Nilai Pengetahuan'!BY9)</f>
        <v/>
      </c>
      <c r="K11" s="90" t="str">
        <f>IF(J3="","",IF('Input Nilai Pengetahuan'!$BR$1="","",'Input Nilai Pengetahuan'!$BR$1))</f>
        <v/>
      </c>
      <c r="L11" s="90" t="str">
        <f>IF('Input Nilai Pengetahuan'!BY10="","",'Input Nilai Pengetahuan'!BY10)</f>
        <v/>
      </c>
      <c r="M11" s="90" t="str">
        <f>IF(L3="","",IF('Input Nilai Pengetahuan'!$BR$1="","",'Input Nilai Pengetahuan'!$BR$1))</f>
        <v/>
      </c>
      <c r="N11" s="90" t="str">
        <f>IF('Input Nilai Pengetahuan'!BY11="","",'Input Nilai Pengetahuan'!BY11)</f>
        <v/>
      </c>
      <c r="O11" s="90" t="str">
        <f>IF(N3="","",IF('Input Nilai Pengetahuan'!$BR$1="","",'Input Nilai Pengetahuan'!$BR$1))</f>
        <v/>
      </c>
      <c r="P11" s="90" t="str">
        <f>IF('Input Nilai Pengetahuan'!BY12="","",'Input Nilai Pengetahuan'!BY12)</f>
        <v/>
      </c>
      <c r="Q11" s="90" t="str">
        <f>IF(P3="","",IF('Input Nilai Pengetahuan'!$BR$1="","",'Input Nilai Pengetahuan'!$BR$1))</f>
        <v/>
      </c>
      <c r="R11" s="90" t="str">
        <f>IF('Input Nilai Pengetahuan'!BY13="","",'Input Nilai Pengetahuan'!BY13)</f>
        <v/>
      </c>
      <c r="S11" s="90" t="str">
        <f>IF(R3="","",IF('Input Nilai Pengetahuan'!$BR$1="","",'Input Nilai Pengetahuan'!$BR$1))</f>
        <v/>
      </c>
      <c r="T11" s="90" t="str">
        <f>IF('Input Nilai Pengetahuan'!BY14="","",'Input Nilai Pengetahuan'!BY14)</f>
        <v/>
      </c>
      <c r="U11" s="90" t="str">
        <f>IF(T3="","",IF('Input Nilai Pengetahuan'!$BR$1="","",'Input Nilai Pengetahuan'!$BR$1))</f>
        <v/>
      </c>
      <c r="V11" s="90" t="str">
        <f>IF('Input Nilai Pengetahuan'!BY15="","",'Input Nilai Pengetahuan'!BY15)</f>
        <v/>
      </c>
      <c r="W11" s="90" t="str">
        <f>IF(V3="","",IF('Input Nilai Pengetahuan'!$BR$1="","",'Input Nilai Pengetahuan'!$BR$1))</f>
        <v/>
      </c>
      <c r="X11" s="90" t="str">
        <f>IF('Input Nilai Pengetahuan'!BY16="","",'Input Nilai Pengetahuan'!BY16)</f>
        <v/>
      </c>
      <c r="Y11" s="90" t="str">
        <f>IF(X3="","",IF('Input Nilai Pengetahuan'!$BR$1="","",'Input Nilai Pengetahuan'!$BR$1))</f>
        <v/>
      </c>
      <c r="Z11" s="90" t="str">
        <f>IF('Input Nilai Pengetahuan'!BY17="","",'Input Nilai Pengetahuan'!BY17)</f>
        <v/>
      </c>
      <c r="AA11" s="90" t="str">
        <f>IF(Z3="","",IF('Input Nilai Pengetahuan'!$BR$1="","",'Input Nilai Pengetahuan'!$BR$1))</f>
        <v/>
      </c>
      <c r="AB11" s="90" t="str">
        <f>IF('Input Nilai Pengetahuan'!BY18="","",'Input Nilai Pengetahuan'!BY18)</f>
        <v/>
      </c>
      <c r="AC11" s="90" t="str">
        <f>IF(AB3="","",IF('Input Nilai Pengetahuan'!$BR$1="","",'Input Nilai Pengetahuan'!$BR$1))</f>
        <v/>
      </c>
      <c r="AD11" s="90" t="str">
        <f>IF('Input Nilai Pengetahuan'!BY19="","",'Input Nilai Pengetahuan'!BY19)</f>
        <v/>
      </c>
      <c r="AE11" s="90" t="str">
        <f>IF(AD3="","",IF('Input Nilai Pengetahuan'!$BR$1="","",'Input Nilai Pengetahuan'!$BR$1))</f>
        <v/>
      </c>
      <c r="AF11" s="90" t="str">
        <f>IF('Input Nilai Pengetahuan'!BY20="","",'Input Nilai Pengetahuan'!BY20)</f>
        <v/>
      </c>
      <c r="AG11" s="90" t="str">
        <f>IF(AF3="","",IF('Input Nilai Pengetahuan'!$BR$1="","",'Input Nilai Pengetahuan'!$BR$1))</f>
        <v/>
      </c>
      <c r="AH11" s="90" t="str">
        <f>IF('Input Nilai Pengetahuan'!BY21="","",'Input Nilai Pengetahuan'!BY21)</f>
        <v/>
      </c>
      <c r="AI11" s="90" t="str">
        <f>IF(AH3="","",IF('Input Nilai Pengetahuan'!$BR$1="","",'Input Nilai Pengetahuan'!$BR$1))</f>
        <v/>
      </c>
      <c r="AJ11" s="90" t="str">
        <f>IF('Input Nilai Pengetahuan'!BY22="","",'Input Nilai Pengetahuan'!BY22)</f>
        <v/>
      </c>
      <c r="AK11" s="90" t="str">
        <f>IF(AJ3="","",IF('Input Nilai Pengetahuan'!$BR$1="","",'Input Nilai Pengetahuan'!$BR$1))</f>
        <v/>
      </c>
      <c r="AL11" s="90" t="str">
        <f>IF('Input Nilai Pengetahuan'!BY23="","",'Input Nilai Pengetahuan'!BY23)</f>
        <v/>
      </c>
      <c r="AM11" s="90" t="str">
        <f>IF(AL3="","",IF('Input Nilai Pengetahuan'!$BR$1="","",'Input Nilai Pengetahuan'!$BR$1))</f>
        <v/>
      </c>
      <c r="AN11" s="90" t="str">
        <f>IF('Input Nilai Pengetahuan'!BY24="","",'Input Nilai Pengetahuan'!BY24)</f>
        <v/>
      </c>
      <c r="AO11" s="90" t="str">
        <f>IF(AN3="","",IF('Input Nilai Pengetahuan'!$BR$1="","",'Input Nilai Pengetahuan'!$BR$1))</f>
        <v/>
      </c>
      <c r="AP11" s="90" t="str">
        <f>IF('Input Nilai Pengetahuan'!BY25="","",'Input Nilai Pengetahuan'!BY25)</f>
        <v/>
      </c>
      <c r="AQ11" s="90" t="str">
        <f>IF(AP3="","",IF('Input Nilai Pengetahuan'!$BR$1="","",'Input Nilai Pengetahuan'!$BR$1))</f>
        <v/>
      </c>
      <c r="AR11" s="90" t="str">
        <f>IF('Input Nilai Pengetahuan'!BY26="","",'Input Nilai Pengetahuan'!BY26)</f>
        <v/>
      </c>
      <c r="AS11" s="90" t="str">
        <f>IF(AR3="","",IF('Input Nilai Pengetahuan'!$BR$1="","",'Input Nilai Pengetahuan'!$BR$1))</f>
        <v/>
      </c>
      <c r="AT11" s="90" t="str">
        <f>IF('Input Nilai Pengetahuan'!BY27="","",'Input Nilai Pengetahuan'!BY27)</f>
        <v/>
      </c>
      <c r="AU11" s="90" t="str">
        <f>IF(AT3="","",IF('Input Nilai Pengetahuan'!$BR$1="","",'Input Nilai Pengetahuan'!$BR$1))</f>
        <v/>
      </c>
      <c r="AV11" s="90" t="str">
        <f>IF('Input Nilai Pengetahuan'!BY28="","",'Input Nilai Pengetahuan'!BY28)</f>
        <v/>
      </c>
      <c r="AW11" s="90" t="str">
        <f>IF(AV3="","",IF('Input Nilai Pengetahuan'!$BR$1="","",'Input Nilai Pengetahuan'!$BR$1))</f>
        <v/>
      </c>
      <c r="AX11" s="90" t="str">
        <f>IF('Input Nilai Pengetahuan'!BY29="","",'Input Nilai Pengetahuan'!BY29)</f>
        <v/>
      </c>
      <c r="AY11" s="90" t="str">
        <f>IF(AX3="","",IF('Input Nilai Pengetahuan'!$BR$1="","",'Input Nilai Pengetahuan'!$BR$1))</f>
        <v/>
      </c>
      <c r="AZ11" s="90" t="str">
        <f>IF('Input Nilai Pengetahuan'!BY30="","",'Input Nilai Pengetahuan'!BY30)</f>
        <v/>
      </c>
      <c r="BA11" s="90" t="str">
        <f>IF(AZ3="","",IF('Input Nilai Pengetahuan'!$BR$1="","",'Input Nilai Pengetahuan'!$BR$1))</f>
        <v/>
      </c>
      <c r="BB11" s="90" t="str">
        <f>IF('Input Nilai Pengetahuan'!BY31="","",'Input Nilai Pengetahuan'!BY31)</f>
        <v/>
      </c>
      <c r="BC11" s="90" t="str">
        <f>IF(BB3="","",IF('Input Nilai Pengetahuan'!$BR$1="","",'Input Nilai Pengetahuan'!$BR$1))</f>
        <v/>
      </c>
      <c r="BD11" s="90" t="str">
        <f>IF('Input Nilai Pengetahuan'!BY32="","",'Input Nilai Pengetahuan'!BY32)</f>
        <v/>
      </c>
      <c r="BE11" s="90" t="str">
        <f>IF(BD3="","",IF('Input Nilai Pengetahuan'!$BR$1="","",'Input Nilai Pengetahuan'!$BR$1))</f>
        <v/>
      </c>
      <c r="BF11" s="90" t="str">
        <f>IF('Input Nilai Pengetahuan'!BY33="","",'Input Nilai Pengetahuan'!BY33)</f>
        <v/>
      </c>
      <c r="BG11" s="90" t="str">
        <f>IF(BF3="","",IF('Input Nilai Pengetahuan'!$BR$1="","",'Input Nilai Pengetahuan'!$BR$1))</f>
        <v/>
      </c>
      <c r="BH11" s="90" t="str">
        <f>IF('Input Nilai Pengetahuan'!BY34="","",'Input Nilai Pengetahuan'!BY34)</f>
        <v/>
      </c>
      <c r="BI11" s="90" t="str">
        <f>IF(BH3="","",IF('Input Nilai Pengetahuan'!$BR$1="","",'Input Nilai Pengetahuan'!$BR$1))</f>
        <v/>
      </c>
      <c r="BJ11" s="90" t="str">
        <f>IF('Input Nilai Pengetahuan'!BY35="","",'Input Nilai Pengetahuan'!BY35)</f>
        <v/>
      </c>
      <c r="BK11" s="90" t="str">
        <f>IF(BJ3="","",IF('Input Nilai Pengetahuan'!$BR$1="","",'Input Nilai Pengetahuan'!$BR$1))</f>
        <v/>
      </c>
      <c r="BL11" s="90" t="str">
        <f>IF('Input Nilai Pengetahuan'!BY36="","",'Input Nilai Pengetahuan'!BY36)</f>
        <v/>
      </c>
      <c r="BM11" s="90" t="str">
        <f>IF(BL3="","",IF('Input Nilai Pengetahuan'!$BR$1="","",'Input Nilai Pengetahuan'!$BR$1))</f>
        <v/>
      </c>
      <c r="BN11" s="90" t="str">
        <f>IF('Input Nilai Pengetahuan'!BY37="","",'Input Nilai Pengetahuan'!BY37)</f>
        <v/>
      </c>
      <c r="BO11" s="90" t="str">
        <f>IF(BN3="","",IF('Input Nilai Pengetahuan'!$BR$1="","",'Input Nilai Pengetahuan'!$BR$1))</f>
        <v/>
      </c>
      <c r="BP11" s="90" t="str">
        <f>IF('Input Nilai Pengetahuan'!BY38="","",'Input Nilai Pengetahuan'!BY38)</f>
        <v/>
      </c>
      <c r="BQ11" s="90" t="str">
        <f>IF(BP3="","",IF('Input Nilai Pengetahuan'!$BR$1="","",'Input Nilai Pengetahuan'!$BR$1))</f>
        <v/>
      </c>
      <c r="BR11" s="90" t="str">
        <f>IF('Input Nilai Pengetahuan'!BY39="","",'Input Nilai Pengetahuan'!BY39)</f>
        <v/>
      </c>
      <c r="BS11" s="90" t="str">
        <f>IF(BR3="","",IF('Input Nilai Pengetahuan'!$BR$1="","",'Input Nilai Pengetahuan'!$BR$1))</f>
        <v/>
      </c>
      <c r="BT11" s="90" t="str">
        <f>IF('Input Nilai Pengetahuan'!BY40="","",'Input Nilai Pengetahuan'!BY40)</f>
        <v/>
      </c>
      <c r="BU11" s="90" t="str">
        <f>IF(BT3="","",IF('Input Nilai Pengetahuan'!$BR$1="","",'Input Nilai Pengetahuan'!$BR$1))</f>
        <v/>
      </c>
      <c r="BV11" s="90" t="str">
        <f>IF('Input Nilai Pengetahuan'!BY41="","",'Input Nilai Pengetahuan'!BY41)</f>
        <v/>
      </c>
      <c r="BW11" s="90" t="str">
        <f>IF(BV3="","",IF('Input Nilai Pengetahuan'!$BR$1="","",'Input Nilai Pengetahuan'!$BR$1))</f>
        <v/>
      </c>
      <c r="BX11" s="90" t="str">
        <f>IF('Input Nilai Pengetahuan'!BY42="","",'Input Nilai Pengetahuan'!BY42)</f>
        <v/>
      </c>
      <c r="BY11" s="90" t="str">
        <f>IF(BX3="","",IF('Input Nilai Pengetahuan'!$BR$1="","",'Input Nilai Pengetahuan'!$BR$1))</f>
        <v/>
      </c>
      <c r="BZ11" s="90" t="str">
        <f>IF('Input Nilai Pengetahuan'!BY43="","",'Input Nilai Pengetahuan'!BY43)</f>
        <v/>
      </c>
      <c r="CA11" s="90" t="str">
        <f>IF(BZ3="","",IF('Input Nilai Pengetahuan'!$BR$1="","",'Input Nilai Pengetahuan'!$BR$1))</f>
        <v/>
      </c>
      <c r="CB11" s="90" t="str">
        <f>IF('Input Nilai Pengetahuan'!BY44="","",'Input Nilai Pengetahuan'!BY44)</f>
        <v/>
      </c>
      <c r="CC11" s="90" t="str">
        <f>IF(CB3="","",IF('Input Nilai Pengetahuan'!$BR$1="","",'Input Nilai Pengetahuan'!$BR$1))</f>
        <v/>
      </c>
      <c r="CD11" s="90" t="str">
        <f>IF('Input Nilai Pengetahuan'!BY45="","",'Input Nilai Pengetahuan'!BY45)</f>
        <v/>
      </c>
      <c r="CE11" s="90" t="str">
        <f>IF(CD3="","",IF('Input Nilai Pengetahuan'!$BR$1="","",'Input Nilai Pengetahuan'!$BR$1))</f>
        <v/>
      </c>
      <c r="CF11" s="90" t="str">
        <f>IF('Input Nilai Pengetahuan'!BY46="","",'Input Nilai Pengetahuan'!BY46)</f>
        <v/>
      </c>
      <c r="CG11" s="90" t="str">
        <f>IF(CF3="","",IF('Input Nilai Pengetahuan'!$BR$1="","",'Input Nilai Pengetahuan'!$BR$1))</f>
        <v/>
      </c>
      <c r="CH11" s="90" t="str">
        <f>IF('Input Nilai Pengetahuan'!BY47="","",'Input Nilai Pengetahuan'!BY47)</f>
        <v/>
      </c>
      <c r="CI11" s="90" t="str">
        <f>IF(CH3="","",IF('Input Nilai Pengetahuan'!$BR$1="","",'Input Nilai Pengetahuan'!$BR$1))</f>
        <v/>
      </c>
      <c r="CJ11" s="90" t="str">
        <f>IF('Input Nilai Pengetahuan'!BY48="","",'Input Nilai Pengetahuan'!BY48)</f>
        <v/>
      </c>
      <c r="CK11" s="90" t="str">
        <f>IF(CJ3="","",IF('Input Nilai Pengetahuan'!$BR$1="","",'Input Nilai Pengetahuan'!$BR$1))</f>
        <v/>
      </c>
      <c r="CL11" s="90" t="str">
        <f>IF('Input Nilai Pengetahuan'!BY49="","",'Input Nilai Pengetahuan'!BY49)</f>
        <v/>
      </c>
      <c r="CM11" s="90" t="str">
        <f>IF(CL3="","",IF('Input Nilai Pengetahuan'!$BR$1="","",'Input Nilai Pengetahuan'!$BR$1))</f>
        <v/>
      </c>
      <c r="CN11" s="90" t="str">
        <f>IF('Input Nilai Pengetahuan'!BY50="","",'Input Nilai Pengetahuan'!BY50)</f>
        <v/>
      </c>
      <c r="CO11" s="90" t="str">
        <f>IF(CN3="","",IF('Input Nilai Pengetahuan'!$BR$1="","",'Input Nilai Pengetahuan'!$BR$1))</f>
        <v/>
      </c>
      <c r="CP11" s="90" t="str">
        <f>IF('Input Nilai Pengetahuan'!BY51="","",'Input Nilai Pengetahuan'!BY51)</f>
        <v/>
      </c>
      <c r="CQ11" s="90" t="str">
        <f>IF(CP3="","",IF('Input Nilai Pengetahuan'!$BR$1="","",'Input Nilai Pengetahuan'!$BR$1))</f>
        <v/>
      </c>
      <c r="CR11" s="90" t="str">
        <f>IF('Input Nilai Pengetahuan'!BY52="","",'Input Nilai Pengetahuan'!BY52)</f>
        <v/>
      </c>
      <c r="CS11" s="90" t="str">
        <f>IF(CR3="","",IF('Input Nilai Pengetahuan'!$BR$1="","",'Input Nilai Pengetahuan'!$BR$1))</f>
        <v/>
      </c>
    </row>
    <row r="12" spans="1:97">
      <c r="A12" s="72">
        <v>10</v>
      </c>
      <c r="B12" s="90" t="str">
        <f>IF('Input Nilai Pengetahuan'!CG5="","",'Input Nilai Pengetahuan'!CG5)</f>
        <v/>
      </c>
      <c r="C12" s="90" t="str">
        <f>IF(B3="","",IF('Input Nilai Pengetahuan'!$BZ$1="","",'Input Nilai Pengetahuan'!$BZ$1))</f>
        <v/>
      </c>
      <c r="D12" s="90" t="str">
        <f>IF('Input Nilai Pengetahuan'!CG6="","",'Input Nilai Pengetahuan'!CG6)</f>
        <v/>
      </c>
      <c r="E12" s="90" t="str">
        <f>IF(D3="","",IF('Input Nilai Pengetahuan'!$BZ$1="","",'Input Nilai Pengetahuan'!$BZ$1))</f>
        <v/>
      </c>
      <c r="F12" s="90" t="str">
        <f>IF('Input Nilai Pengetahuan'!CG7="","",'Input Nilai Pengetahuan'!CG7)</f>
        <v/>
      </c>
      <c r="G12" s="90" t="str">
        <f>IF(F3="","",IF('Input Nilai Pengetahuan'!$BZ$1="","",'Input Nilai Pengetahuan'!$BZ$1))</f>
        <v/>
      </c>
      <c r="H12" s="90" t="str">
        <f>IF('Input Nilai Pengetahuan'!CG8="","",'Input Nilai Pengetahuan'!CG8)</f>
        <v/>
      </c>
      <c r="I12" s="90" t="str">
        <f>IF(H3="","",IF('Input Nilai Pengetahuan'!$BZ$1="","",'Input Nilai Pengetahuan'!$BZ$1))</f>
        <v/>
      </c>
      <c r="J12" s="90" t="str">
        <f>IF('Input Nilai Pengetahuan'!CG9="","",'Input Nilai Pengetahuan'!CG9)</f>
        <v/>
      </c>
      <c r="K12" s="90" t="str">
        <f>IF(J3="","",IF('Input Nilai Pengetahuan'!$BZ$1="","",'Input Nilai Pengetahuan'!$BZ$1))</f>
        <v/>
      </c>
      <c r="L12" s="90" t="str">
        <f>IF('Input Nilai Pengetahuan'!CG10="","",'Input Nilai Pengetahuan'!CG10)</f>
        <v/>
      </c>
      <c r="M12" s="90" t="str">
        <f>IF(L3="","",IF('Input Nilai Pengetahuan'!$BZ$1="","",'Input Nilai Pengetahuan'!$BZ$1))</f>
        <v/>
      </c>
      <c r="N12" s="90" t="str">
        <f>IF('Input Nilai Pengetahuan'!CG11="","",'Input Nilai Pengetahuan'!CG11)</f>
        <v/>
      </c>
      <c r="O12" s="90" t="str">
        <f>IF(N3="","",IF('Input Nilai Pengetahuan'!$BZ$1="","",'Input Nilai Pengetahuan'!$BZ$1))</f>
        <v/>
      </c>
      <c r="P12" s="90" t="str">
        <f>IF('Input Nilai Pengetahuan'!CG12="","",'Input Nilai Pengetahuan'!CG12)</f>
        <v/>
      </c>
      <c r="Q12" s="90" t="str">
        <f>IF(P3="","",IF('Input Nilai Pengetahuan'!$BZ$1="","",'Input Nilai Pengetahuan'!$BZ$1))</f>
        <v/>
      </c>
      <c r="R12" s="90" t="str">
        <f>IF('Input Nilai Pengetahuan'!CG13="","",'Input Nilai Pengetahuan'!CG13)</f>
        <v/>
      </c>
      <c r="S12" s="90" t="str">
        <f>IF(R3="","",IF('Input Nilai Pengetahuan'!$BZ$1="","",'Input Nilai Pengetahuan'!$BZ$1))</f>
        <v/>
      </c>
      <c r="T12" s="90" t="str">
        <f>IF('Input Nilai Pengetahuan'!CG14="","",'Input Nilai Pengetahuan'!CG14)</f>
        <v/>
      </c>
      <c r="U12" s="90" t="str">
        <f>IF(T3="","",IF('Input Nilai Pengetahuan'!$BZ$1="","",'Input Nilai Pengetahuan'!$BZ$1))</f>
        <v/>
      </c>
      <c r="V12" s="90" t="str">
        <f>IF('Input Nilai Pengetahuan'!CG15="","",'Input Nilai Pengetahuan'!CG15)</f>
        <v/>
      </c>
      <c r="W12" s="90" t="str">
        <f>IF(V3="","",IF('Input Nilai Pengetahuan'!$BZ$1="","",'Input Nilai Pengetahuan'!$BZ$1))</f>
        <v/>
      </c>
      <c r="X12" s="90" t="str">
        <f>IF('Input Nilai Pengetahuan'!CG16="","",'Input Nilai Pengetahuan'!CG16)</f>
        <v/>
      </c>
      <c r="Y12" s="90" t="str">
        <f>IF(X3="","",IF('Input Nilai Pengetahuan'!$BZ$1="","",'Input Nilai Pengetahuan'!$BZ$1))</f>
        <v/>
      </c>
      <c r="Z12" s="90" t="str">
        <f>IF('Input Nilai Pengetahuan'!CG17="","",'Input Nilai Pengetahuan'!CG17)</f>
        <v/>
      </c>
      <c r="AA12" s="90" t="str">
        <f>IF(Z3="","",IF('Input Nilai Pengetahuan'!$BZ$1="","",'Input Nilai Pengetahuan'!$BZ$1))</f>
        <v/>
      </c>
      <c r="AB12" s="90" t="str">
        <f>IF('Input Nilai Pengetahuan'!CG18="","",'Input Nilai Pengetahuan'!CG18)</f>
        <v/>
      </c>
      <c r="AC12" s="90" t="str">
        <f>IF(AB3="","",IF('Input Nilai Pengetahuan'!$BZ$1="","",'Input Nilai Pengetahuan'!$BZ$1))</f>
        <v/>
      </c>
      <c r="AD12" s="90" t="str">
        <f>IF('Input Nilai Pengetahuan'!CG19="","",'Input Nilai Pengetahuan'!CG19)</f>
        <v/>
      </c>
      <c r="AE12" s="90" t="str">
        <f>IF(AD3="","",IF('Input Nilai Pengetahuan'!$BZ$1="","",'Input Nilai Pengetahuan'!$BZ$1))</f>
        <v/>
      </c>
      <c r="AF12" s="90" t="str">
        <f>IF('Input Nilai Pengetahuan'!CG20="","",'Input Nilai Pengetahuan'!CG20)</f>
        <v/>
      </c>
      <c r="AG12" s="90" t="str">
        <f>IF(AF3="","",IF('Input Nilai Pengetahuan'!$BZ$1="","",'Input Nilai Pengetahuan'!$BZ$1))</f>
        <v/>
      </c>
      <c r="AH12" s="90" t="str">
        <f>IF('Input Nilai Pengetahuan'!CG21="","",'Input Nilai Pengetahuan'!CG21)</f>
        <v/>
      </c>
      <c r="AI12" s="90" t="str">
        <f>IF(AH3="","",IF('Input Nilai Pengetahuan'!$BZ$1="","",'Input Nilai Pengetahuan'!$BZ$1))</f>
        <v/>
      </c>
      <c r="AJ12" s="90" t="str">
        <f>IF('Input Nilai Pengetahuan'!CG22="","",'Input Nilai Pengetahuan'!CG22)</f>
        <v/>
      </c>
      <c r="AK12" s="90" t="str">
        <f>IF(AJ3="","",IF('Input Nilai Pengetahuan'!$BZ$1="","",'Input Nilai Pengetahuan'!$BZ$1))</f>
        <v/>
      </c>
      <c r="AL12" s="90" t="str">
        <f>IF('Input Nilai Pengetahuan'!CG23="","",'Input Nilai Pengetahuan'!CG23)</f>
        <v/>
      </c>
      <c r="AM12" s="90" t="str">
        <f>IF(AL3="","",IF('Input Nilai Pengetahuan'!$BZ$1="","",'Input Nilai Pengetahuan'!$BZ$1))</f>
        <v/>
      </c>
      <c r="AN12" s="90" t="str">
        <f>IF('Input Nilai Pengetahuan'!CG24="","",'Input Nilai Pengetahuan'!CG24)</f>
        <v/>
      </c>
      <c r="AO12" s="90" t="str">
        <f>IF(AN3="","",IF('Input Nilai Pengetahuan'!$BZ$1="","",'Input Nilai Pengetahuan'!$BZ$1))</f>
        <v/>
      </c>
      <c r="AP12" s="90" t="str">
        <f>IF('Input Nilai Pengetahuan'!CG25="","",'Input Nilai Pengetahuan'!CG25)</f>
        <v/>
      </c>
      <c r="AQ12" s="90" t="str">
        <f>IF(AP3="","",IF('Input Nilai Pengetahuan'!$BZ$1="","",'Input Nilai Pengetahuan'!$BZ$1))</f>
        <v/>
      </c>
      <c r="AR12" s="90" t="str">
        <f>IF('Input Nilai Pengetahuan'!CG26="","",'Input Nilai Pengetahuan'!CG26)</f>
        <v/>
      </c>
      <c r="AS12" s="90" t="str">
        <f>IF(AR3="","",IF('Input Nilai Pengetahuan'!$BZ$1="","",'Input Nilai Pengetahuan'!$BZ$1))</f>
        <v/>
      </c>
      <c r="AT12" s="90" t="str">
        <f>IF('Input Nilai Pengetahuan'!CG27="","",'Input Nilai Pengetahuan'!CG27)</f>
        <v/>
      </c>
      <c r="AU12" s="90" t="str">
        <f>IF(AT3="","",IF('Input Nilai Pengetahuan'!$BZ$1="","",'Input Nilai Pengetahuan'!$BZ$1))</f>
        <v/>
      </c>
      <c r="AV12" s="90" t="str">
        <f>IF('Input Nilai Pengetahuan'!CG28="","",'Input Nilai Pengetahuan'!CG28)</f>
        <v/>
      </c>
      <c r="AW12" s="90" t="str">
        <f>IF(AV3="","",IF('Input Nilai Pengetahuan'!$BZ$1="","",'Input Nilai Pengetahuan'!$BZ$1))</f>
        <v/>
      </c>
      <c r="AX12" s="90" t="str">
        <f>IF('Input Nilai Pengetahuan'!CG29="","",'Input Nilai Pengetahuan'!CG29)</f>
        <v/>
      </c>
      <c r="AY12" s="90" t="str">
        <f>IF(AX3="","",IF('Input Nilai Pengetahuan'!$BZ$1="","",'Input Nilai Pengetahuan'!$BZ$1))</f>
        <v/>
      </c>
      <c r="AZ12" s="90" t="str">
        <f>IF('Input Nilai Pengetahuan'!CG30="","",'Input Nilai Pengetahuan'!CG30)</f>
        <v/>
      </c>
      <c r="BA12" s="90" t="str">
        <f>IF(AZ3="","",IF('Input Nilai Pengetahuan'!$BZ$1="","",'Input Nilai Pengetahuan'!$BZ$1))</f>
        <v/>
      </c>
      <c r="BB12" s="90" t="str">
        <f>IF('Input Nilai Pengetahuan'!CG31="","",'Input Nilai Pengetahuan'!CG31)</f>
        <v/>
      </c>
      <c r="BC12" s="90" t="str">
        <f>IF(BB3="","",IF('Input Nilai Pengetahuan'!$BZ$1="","",'Input Nilai Pengetahuan'!$BZ$1))</f>
        <v/>
      </c>
      <c r="BD12" s="90" t="str">
        <f>IF('Input Nilai Pengetahuan'!CG32="","",'Input Nilai Pengetahuan'!CG32)</f>
        <v/>
      </c>
      <c r="BE12" s="90" t="str">
        <f>IF(BD3="","",IF('Input Nilai Pengetahuan'!$BZ$1="","",'Input Nilai Pengetahuan'!$BZ$1))</f>
        <v/>
      </c>
      <c r="BF12" s="90" t="str">
        <f>IF('Input Nilai Pengetahuan'!CG33="","",'Input Nilai Pengetahuan'!CG33)</f>
        <v/>
      </c>
      <c r="BG12" s="90" t="str">
        <f>IF(BF3="","",IF('Input Nilai Pengetahuan'!$BZ$1="","",'Input Nilai Pengetahuan'!$BZ$1))</f>
        <v/>
      </c>
      <c r="BH12" s="90" t="str">
        <f>IF('Input Nilai Pengetahuan'!CG34="","",'Input Nilai Pengetahuan'!CG34)</f>
        <v/>
      </c>
      <c r="BI12" s="90" t="str">
        <f>IF(BH3="","",IF('Input Nilai Pengetahuan'!$BZ$1="","",'Input Nilai Pengetahuan'!$BZ$1))</f>
        <v/>
      </c>
      <c r="BJ12" s="90" t="str">
        <f>IF('Input Nilai Pengetahuan'!CG35="","",'Input Nilai Pengetahuan'!CG35)</f>
        <v/>
      </c>
      <c r="BK12" s="90" t="str">
        <f>IF(BJ3="","",IF('Input Nilai Pengetahuan'!$BZ$1="","",'Input Nilai Pengetahuan'!$BZ$1))</f>
        <v/>
      </c>
      <c r="BL12" s="90" t="str">
        <f>IF('Input Nilai Pengetahuan'!CG36="","",'Input Nilai Pengetahuan'!CG36)</f>
        <v/>
      </c>
      <c r="BM12" s="90" t="str">
        <f>IF(BL3="","",IF('Input Nilai Pengetahuan'!$BZ$1="","",'Input Nilai Pengetahuan'!$BZ$1))</f>
        <v/>
      </c>
      <c r="BN12" s="90" t="str">
        <f>IF('Input Nilai Pengetahuan'!CG37="","",'Input Nilai Pengetahuan'!CG37)</f>
        <v/>
      </c>
      <c r="BO12" s="90" t="str">
        <f>IF(BN3="","",IF('Input Nilai Pengetahuan'!$BZ$1="","",'Input Nilai Pengetahuan'!$BZ$1))</f>
        <v/>
      </c>
      <c r="BP12" s="90" t="str">
        <f>IF('Input Nilai Pengetahuan'!CG38="","",'Input Nilai Pengetahuan'!CG38)</f>
        <v/>
      </c>
      <c r="BQ12" s="90" t="str">
        <f>IF(BP3="","",IF('Input Nilai Pengetahuan'!$BZ$1="","",'Input Nilai Pengetahuan'!$BZ$1))</f>
        <v/>
      </c>
      <c r="BR12" s="90" t="str">
        <f>IF('Input Nilai Pengetahuan'!CG39="","",'Input Nilai Pengetahuan'!CG39)</f>
        <v/>
      </c>
      <c r="BS12" s="90" t="str">
        <f>IF(BR3="","",IF('Input Nilai Pengetahuan'!$BZ$1="","",'Input Nilai Pengetahuan'!$BZ$1))</f>
        <v/>
      </c>
      <c r="BT12" s="90" t="str">
        <f>IF('Input Nilai Pengetahuan'!CG40="","",'Input Nilai Pengetahuan'!CG40)</f>
        <v/>
      </c>
      <c r="BU12" s="90" t="str">
        <f>IF(BT3="","",IF('Input Nilai Pengetahuan'!$BZ$1="","",'Input Nilai Pengetahuan'!$BZ$1))</f>
        <v/>
      </c>
      <c r="BV12" s="90" t="str">
        <f>IF('Input Nilai Pengetahuan'!CG41="","",'Input Nilai Pengetahuan'!CG41)</f>
        <v/>
      </c>
      <c r="BW12" s="90" t="str">
        <f>IF(BV3="","",IF('Input Nilai Pengetahuan'!$BZ$1="","",'Input Nilai Pengetahuan'!$BZ$1))</f>
        <v/>
      </c>
      <c r="BX12" s="90" t="str">
        <f>IF('Input Nilai Pengetahuan'!CG42="","",'Input Nilai Pengetahuan'!CG42)</f>
        <v/>
      </c>
      <c r="BY12" s="90" t="str">
        <f>IF(BX3="","",IF('Input Nilai Pengetahuan'!$BZ$1="","",'Input Nilai Pengetahuan'!$BZ$1))</f>
        <v/>
      </c>
      <c r="BZ12" s="90" t="str">
        <f>IF('Input Nilai Pengetahuan'!CG43="","",'Input Nilai Pengetahuan'!CG43)</f>
        <v/>
      </c>
      <c r="CA12" s="90" t="str">
        <f>IF(BZ3="","",IF('Input Nilai Pengetahuan'!$BZ$1="","",'Input Nilai Pengetahuan'!$BZ$1))</f>
        <v/>
      </c>
      <c r="CB12" s="90" t="str">
        <f>IF('Input Nilai Pengetahuan'!CG44="","",'Input Nilai Pengetahuan'!CG44)</f>
        <v/>
      </c>
      <c r="CC12" s="90" t="str">
        <f>IF(CB3="","",IF('Input Nilai Pengetahuan'!$BZ$1="","",'Input Nilai Pengetahuan'!$BZ$1))</f>
        <v/>
      </c>
      <c r="CD12" s="90" t="str">
        <f>IF('Input Nilai Pengetahuan'!CG45="","",'Input Nilai Pengetahuan'!CG45)</f>
        <v/>
      </c>
      <c r="CE12" s="90" t="str">
        <f>IF(CD3="","",IF('Input Nilai Pengetahuan'!$BZ$1="","",'Input Nilai Pengetahuan'!$BZ$1))</f>
        <v/>
      </c>
      <c r="CF12" s="90" t="str">
        <f>IF('Input Nilai Pengetahuan'!CG46="","",'Input Nilai Pengetahuan'!CG46)</f>
        <v/>
      </c>
      <c r="CG12" s="90" t="str">
        <f>IF(CF3="","",IF('Input Nilai Pengetahuan'!$BZ$1="","",'Input Nilai Pengetahuan'!$BZ$1))</f>
        <v/>
      </c>
      <c r="CH12" s="90" t="str">
        <f>IF('Input Nilai Pengetahuan'!CG47="","",'Input Nilai Pengetahuan'!CG47)</f>
        <v/>
      </c>
      <c r="CI12" s="90" t="str">
        <f>IF(CH3="","",IF('Input Nilai Pengetahuan'!$BZ$1="","",'Input Nilai Pengetahuan'!$BZ$1))</f>
        <v/>
      </c>
      <c r="CJ12" s="90" t="str">
        <f>IF('Input Nilai Pengetahuan'!CG48="","",'Input Nilai Pengetahuan'!CG48)</f>
        <v/>
      </c>
      <c r="CK12" s="90" t="str">
        <f>IF(CJ3="","",IF('Input Nilai Pengetahuan'!$BZ$1="","",'Input Nilai Pengetahuan'!$BZ$1))</f>
        <v/>
      </c>
      <c r="CL12" s="90" t="str">
        <f>IF('Input Nilai Pengetahuan'!CG49="","",'Input Nilai Pengetahuan'!CG49)</f>
        <v/>
      </c>
      <c r="CM12" s="90" t="str">
        <f>IF(CL3="","",IF('Input Nilai Pengetahuan'!$BZ$1="","",'Input Nilai Pengetahuan'!$BZ$1))</f>
        <v/>
      </c>
      <c r="CN12" s="90" t="str">
        <f>IF('Input Nilai Pengetahuan'!CG50="","",'Input Nilai Pengetahuan'!CG50)</f>
        <v/>
      </c>
      <c r="CO12" s="90" t="str">
        <f>IF(CN3="","",IF('Input Nilai Pengetahuan'!$BZ$1="","",'Input Nilai Pengetahuan'!$BZ$1))</f>
        <v/>
      </c>
      <c r="CP12" s="90" t="str">
        <f>IF('Input Nilai Pengetahuan'!CG51="","",'Input Nilai Pengetahuan'!CG51)</f>
        <v/>
      </c>
      <c r="CQ12" s="90" t="str">
        <f>IF(CP3="","",IF('Input Nilai Pengetahuan'!$BZ$1="","",'Input Nilai Pengetahuan'!$BZ$1))</f>
        <v/>
      </c>
      <c r="CR12" s="90" t="str">
        <f>IF('Input Nilai Pengetahuan'!CG52="","",'Input Nilai Pengetahuan'!CG52)</f>
        <v/>
      </c>
      <c r="CS12" s="90" t="str">
        <f>IF(CR3="","",IF('Input Nilai Pengetahuan'!$BZ$1="","",'Input Nilai Pengetahuan'!$BZ$1))</f>
        <v/>
      </c>
    </row>
    <row r="15" spans="1:97">
      <c r="D15" s="42">
        <v>6</v>
      </c>
      <c r="F15" s="42">
        <v>7</v>
      </c>
      <c r="H15" s="42">
        <v>8</v>
      </c>
      <c r="J15" s="42">
        <f>H15+1</f>
        <v>9</v>
      </c>
      <c r="L15" s="42">
        <f>J15+1</f>
        <v>10</v>
      </c>
      <c r="N15" s="42">
        <f>L15+1</f>
        <v>11</v>
      </c>
      <c r="P15" s="42">
        <f>N15+1</f>
        <v>12</v>
      </c>
      <c r="R15" s="42">
        <f>P15+1</f>
        <v>13</v>
      </c>
      <c r="T15" s="42">
        <f>R15+1</f>
        <v>14</v>
      </c>
      <c r="V15" s="42">
        <f>T15+1</f>
        <v>15</v>
      </c>
      <c r="X15" s="42">
        <f>V15+1</f>
        <v>16</v>
      </c>
      <c r="Z15" s="42">
        <f>X15+1</f>
        <v>17</v>
      </c>
      <c r="AB15" s="42">
        <f>Z15+1</f>
        <v>18</v>
      </c>
      <c r="AD15" s="42">
        <f>AB15+1</f>
        <v>19</v>
      </c>
      <c r="AF15" s="42">
        <f>AD15+1</f>
        <v>20</v>
      </c>
      <c r="AH15" s="42">
        <f>AF15+1</f>
        <v>21</v>
      </c>
      <c r="AJ15" s="42">
        <f>AH15+1</f>
        <v>22</v>
      </c>
      <c r="AL15" s="42">
        <f>AJ15+1</f>
        <v>23</v>
      </c>
      <c r="AN15" s="42">
        <f>AL15+1</f>
        <v>24</v>
      </c>
      <c r="AP15" s="42">
        <f>AN15+1</f>
        <v>25</v>
      </c>
      <c r="AR15" s="42">
        <f>AP15+1</f>
        <v>26</v>
      </c>
      <c r="AT15" s="42">
        <f>AR15+1</f>
        <v>27</v>
      </c>
      <c r="AV15" s="42">
        <f>AT15+1</f>
        <v>28</v>
      </c>
      <c r="AX15" s="42">
        <f>AV15+1</f>
        <v>29</v>
      </c>
      <c r="AZ15" s="42">
        <f>AX15+1</f>
        <v>30</v>
      </c>
      <c r="BB15" s="42">
        <f>AZ15+1</f>
        <v>31</v>
      </c>
      <c r="BD15" s="42">
        <f>BB15+1</f>
        <v>32</v>
      </c>
      <c r="BF15" s="42">
        <f>BD15+1</f>
        <v>33</v>
      </c>
      <c r="BH15" s="42">
        <f>BF15+1</f>
        <v>34</v>
      </c>
      <c r="BJ15" s="42">
        <f>BH15+1</f>
        <v>35</v>
      </c>
      <c r="BL15" s="42">
        <f>BJ15+1</f>
        <v>36</v>
      </c>
      <c r="BN15" s="42">
        <f>BL15+1</f>
        <v>37</v>
      </c>
      <c r="BP15" s="42">
        <f>BN15+1</f>
        <v>38</v>
      </c>
      <c r="BR15" s="42">
        <f>BP15+1</f>
        <v>39</v>
      </c>
      <c r="BT15" s="42">
        <f>BR15+1</f>
        <v>40</v>
      </c>
      <c r="BV15" s="42">
        <f>BT15+1</f>
        <v>41</v>
      </c>
      <c r="BX15" s="42">
        <f>BV15+1</f>
        <v>42</v>
      </c>
      <c r="BZ15" s="42">
        <f>BX15+1</f>
        <v>43</v>
      </c>
      <c r="CB15" s="42">
        <f>BZ15+1</f>
        <v>44</v>
      </c>
      <c r="CD15" s="42">
        <f>CB15+1</f>
        <v>45</v>
      </c>
      <c r="CF15" s="42">
        <f>CD15+1</f>
        <v>46</v>
      </c>
      <c r="CH15" s="42">
        <f>CF15+1</f>
        <v>47</v>
      </c>
      <c r="CJ15" s="42">
        <f>CH15+1</f>
        <v>48</v>
      </c>
      <c r="CL15" s="42">
        <f>CJ15+1</f>
        <v>49</v>
      </c>
      <c r="CN15" s="42">
        <f>CL15+1</f>
        <v>50</v>
      </c>
      <c r="CP15" s="42">
        <f>CN15+1</f>
        <v>51</v>
      </c>
      <c r="CR15" s="42">
        <f>CP15+1</f>
        <v>52</v>
      </c>
    </row>
    <row r="16" spans="1:97">
      <c r="A16" s="72">
        <v>1</v>
      </c>
      <c r="B16" s="42" t="s">
        <v>337</v>
      </c>
      <c r="C16" s="42" t="s">
        <v>346</v>
      </c>
      <c r="D16" s="42" t="str">
        <f>$B$16&amp;D15&amp;"="&amp;$C$16&amp;D15&amp;")"</f>
        <v>IF('Input Nilai Pengetahuan'!L6="";"";'Input Nilai Pengetahuan'!L6)</v>
      </c>
      <c r="F16" s="42" t="str">
        <f>$B$16&amp;F15&amp;"="&amp;$C$16&amp;F15&amp;")"</f>
        <v>IF('Input Nilai Pengetahuan'!L7="";"";'Input Nilai Pengetahuan'!L7)</v>
      </c>
      <c r="H16" s="42" t="str">
        <f>$B$16&amp;H15&amp;"="&amp;$C$16&amp;H15&amp;")"</f>
        <v>IF('Input Nilai Pengetahuan'!L8="";"";'Input Nilai Pengetahuan'!L8)</v>
      </c>
      <c r="J16" s="42" t="str">
        <f>$B$16&amp;J15&amp;"="&amp;$C$16&amp;J15&amp;")"</f>
        <v>IF('Input Nilai Pengetahuan'!L9="";"";'Input Nilai Pengetahuan'!L9)</v>
      </c>
      <c r="L16" s="42" t="str">
        <f>$B$16&amp;L15&amp;"="&amp;$C$16&amp;L15&amp;")"</f>
        <v>IF('Input Nilai Pengetahuan'!L10="";"";'Input Nilai Pengetahuan'!L10)</v>
      </c>
      <c r="N16" s="42" t="str">
        <f>$B$16&amp;N15&amp;"="&amp;$C$16&amp;N15&amp;")"</f>
        <v>IF('Input Nilai Pengetahuan'!L11="";"";'Input Nilai Pengetahuan'!L11)</v>
      </c>
      <c r="P16" s="42" t="str">
        <f>$B$16&amp;P15&amp;"="&amp;$C$16&amp;P15&amp;")"</f>
        <v>IF('Input Nilai Pengetahuan'!L12="";"";'Input Nilai Pengetahuan'!L12)</v>
      </c>
      <c r="R16" s="42" t="str">
        <f>$B$16&amp;R15&amp;"="&amp;$C$16&amp;R15&amp;")"</f>
        <v>IF('Input Nilai Pengetahuan'!L13="";"";'Input Nilai Pengetahuan'!L13)</v>
      </c>
      <c r="T16" s="42" t="str">
        <f>$B$16&amp;T15&amp;"="&amp;$C$16&amp;T15&amp;")"</f>
        <v>IF('Input Nilai Pengetahuan'!L14="";"";'Input Nilai Pengetahuan'!L14)</v>
      </c>
      <c r="V16" s="42" t="str">
        <f>$B$16&amp;V15&amp;"="&amp;$C$16&amp;V15&amp;")"</f>
        <v>IF('Input Nilai Pengetahuan'!L15="";"";'Input Nilai Pengetahuan'!L15)</v>
      </c>
      <c r="X16" s="42" t="str">
        <f>$B$16&amp;X15&amp;"="&amp;$C$16&amp;X15&amp;")"</f>
        <v>IF('Input Nilai Pengetahuan'!L16="";"";'Input Nilai Pengetahuan'!L16)</v>
      </c>
      <c r="Z16" s="42" t="str">
        <f>$B$16&amp;Z15&amp;"="&amp;$C$16&amp;Z15&amp;")"</f>
        <v>IF('Input Nilai Pengetahuan'!L17="";"";'Input Nilai Pengetahuan'!L17)</v>
      </c>
      <c r="AB16" s="42" t="str">
        <f>$B$16&amp;AB15&amp;"="&amp;$C$16&amp;AB15&amp;")"</f>
        <v>IF('Input Nilai Pengetahuan'!L18="";"";'Input Nilai Pengetahuan'!L18)</v>
      </c>
      <c r="AD16" s="42" t="str">
        <f>$B$16&amp;AD15&amp;"="&amp;$C$16&amp;AD15&amp;")"</f>
        <v>IF('Input Nilai Pengetahuan'!L19="";"";'Input Nilai Pengetahuan'!L19)</v>
      </c>
      <c r="AF16" s="42" t="str">
        <f>$B$16&amp;AF15&amp;"="&amp;$C$16&amp;AF15&amp;")"</f>
        <v>IF('Input Nilai Pengetahuan'!L20="";"";'Input Nilai Pengetahuan'!L20)</v>
      </c>
      <c r="AH16" s="42" t="str">
        <f>$B$16&amp;AH15&amp;"="&amp;$C$16&amp;AH15&amp;")"</f>
        <v>IF('Input Nilai Pengetahuan'!L21="";"";'Input Nilai Pengetahuan'!L21)</v>
      </c>
      <c r="AJ16" s="42" t="str">
        <f>$B$16&amp;AJ15&amp;"="&amp;$C$16&amp;AJ15&amp;")"</f>
        <v>IF('Input Nilai Pengetahuan'!L22="";"";'Input Nilai Pengetahuan'!L22)</v>
      </c>
      <c r="AL16" s="42" t="str">
        <f>$B$16&amp;AL15&amp;"="&amp;$C$16&amp;AL15&amp;")"</f>
        <v>IF('Input Nilai Pengetahuan'!L23="";"";'Input Nilai Pengetahuan'!L23)</v>
      </c>
      <c r="AN16" s="42" t="str">
        <f>$B$16&amp;AN15&amp;"="&amp;$C$16&amp;AN15&amp;")"</f>
        <v>IF('Input Nilai Pengetahuan'!L24="";"";'Input Nilai Pengetahuan'!L24)</v>
      </c>
      <c r="AP16" s="42" t="str">
        <f>$B$16&amp;AP15&amp;"="&amp;$C$16&amp;AP15&amp;")"</f>
        <v>IF('Input Nilai Pengetahuan'!L25="";"";'Input Nilai Pengetahuan'!L25)</v>
      </c>
      <c r="AR16" s="42" t="str">
        <f>$B$16&amp;AR15&amp;"="&amp;$C$16&amp;AR15&amp;")"</f>
        <v>IF('Input Nilai Pengetahuan'!L26="";"";'Input Nilai Pengetahuan'!L26)</v>
      </c>
      <c r="AT16" s="42" t="str">
        <f>$B$16&amp;AT15&amp;"="&amp;$C$16&amp;AT15&amp;")"</f>
        <v>IF('Input Nilai Pengetahuan'!L27="";"";'Input Nilai Pengetahuan'!L27)</v>
      </c>
      <c r="AV16" s="42" t="str">
        <f>$B$16&amp;AV15&amp;"="&amp;$C$16&amp;AV15&amp;")"</f>
        <v>IF('Input Nilai Pengetahuan'!L28="";"";'Input Nilai Pengetahuan'!L28)</v>
      </c>
      <c r="AX16" s="42" t="str">
        <f>$B$16&amp;AX15&amp;"="&amp;$C$16&amp;AX15&amp;")"</f>
        <v>IF('Input Nilai Pengetahuan'!L29="";"";'Input Nilai Pengetahuan'!L29)</v>
      </c>
      <c r="AZ16" s="42" t="str">
        <f>$B$16&amp;AZ15&amp;"="&amp;$C$16&amp;AZ15&amp;")"</f>
        <v>IF('Input Nilai Pengetahuan'!L30="";"";'Input Nilai Pengetahuan'!L30)</v>
      </c>
      <c r="BB16" s="42" t="str">
        <f>$B$16&amp;BB15&amp;"="&amp;$C$16&amp;BB15&amp;")"</f>
        <v>IF('Input Nilai Pengetahuan'!L31="";"";'Input Nilai Pengetahuan'!L31)</v>
      </c>
      <c r="BD16" s="42" t="str">
        <f>$B$16&amp;BD15&amp;"="&amp;$C$16&amp;BD15&amp;")"</f>
        <v>IF('Input Nilai Pengetahuan'!L32="";"";'Input Nilai Pengetahuan'!L32)</v>
      </c>
      <c r="BF16" s="42" t="str">
        <f>$B$16&amp;BF15&amp;"="&amp;$C$16&amp;BF15&amp;")"</f>
        <v>IF('Input Nilai Pengetahuan'!L33="";"";'Input Nilai Pengetahuan'!L33)</v>
      </c>
      <c r="BH16" s="42" t="str">
        <f>$B$16&amp;BH15&amp;"="&amp;$C$16&amp;BH15&amp;")"</f>
        <v>IF('Input Nilai Pengetahuan'!L34="";"";'Input Nilai Pengetahuan'!L34)</v>
      </c>
      <c r="BJ16" s="42" t="str">
        <f>$B$16&amp;BJ15&amp;"="&amp;$C$16&amp;BJ15&amp;")"</f>
        <v>IF('Input Nilai Pengetahuan'!L35="";"";'Input Nilai Pengetahuan'!L35)</v>
      </c>
      <c r="BL16" s="42" t="str">
        <f>$B$16&amp;BL15&amp;"="&amp;$C$16&amp;BL15&amp;")"</f>
        <v>IF('Input Nilai Pengetahuan'!L36="";"";'Input Nilai Pengetahuan'!L36)</v>
      </c>
      <c r="BN16" s="42" t="str">
        <f>$B$16&amp;BN15&amp;"="&amp;$C$16&amp;BN15&amp;")"</f>
        <v>IF('Input Nilai Pengetahuan'!L37="";"";'Input Nilai Pengetahuan'!L37)</v>
      </c>
      <c r="BP16" s="42" t="str">
        <f>$B$16&amp;BP15&amp;"="&amp;$C$16&amp;BP15&amp;")"</f>
        <v>IF('Input Nilai Pengetahuan'!L38="";"";'Input Nilai Pengetahuan'!L38)</v>
      </c>
      <c r="BR16" s="42" t="str">
        <f>$B$16&amp;BR15&amp;"="&amp;$C$16&amp;BR15&amp;")"</f>
        <v>IF('Input Nilai Pengetahuan'!L39="";"";'Input Nilai Pengetahuan'!L39)</v>
      </c>
      <c r="BT16" s="42" t="str">
        <f>$B$16&amp;BT15&amp;"="&amp;$C$16&amp;BT15&amp;")"</f>
        <v>IF('Input Nilai Pengetahuan'!L40="";"";'Input Nilai Pengetahuan'!L40)</v>
      </c>
      <c r="BV16" s="42" t="str">
        <f>$B$16&amp;BV15&amp;"="&amp;$C$16&amp;BV15&amp;")"</f>
        <v>IF('Input Nilai Pengetahuan'!L41="";"";'Input Nilai Pengetahuan'!L41)</v>
      </c>
      <c r="BX16" s="42" t="str">
        <f>$B$16&amp;BX15&amp;"="&amp;$C$16&amp;BX15&amp;")"</f>
        <v>IF('Input Nilai Pengetahuan'!L42="";"";'Input Nilai Pengetahuan'!L42)</v>
      </c>
      <c r="BZ16" s="42" t="str">
        <f>$B$16&amp;BZ15&amp;"="&amp;$C$16&amp;BZ15&amp;")"</f>
        <v>IF('Input Nilai Pengetahuan'!L43="";"";'Input Nilai Pengetahuan'!L43)</v>
      </c>
      <c r="CB16" s="42" t="str">
        <f>$B$16&amp;CB15&amp;"="&amp;$C$16&amp;CB15&amp;")"</f>
        <v>IF('Input Nilai Pengetahuan'!L44="";"";'Input Nilai Pengetahuan'!L44)</v>
      </c>
      <c r="CD16" s="42" t="str">
        <f>$B$16&amp;CD15&amp;"="&amp;$C$16&amp;CD15&amp;")"</f>
        <v>IF('Input Nilai Pengetahuan'!L45="";"";'Input Nilai Pengetahuan'!L45)</v>
      </c>
      <c r="CF16" s="42" t="str">
        <f>$B$16&amp;CF15&amp;"="&amp;$C$16&amp;CF15&amp;")"</f>
        <v>IF('Input Nilai Pengetahuan'!L46="";"";'Input Nilai Pengetahuan'!L46)</v>
      </c>
      <c r="CH16" s="42" t="str">
        <f>$B$16&amp;CH15&amp;"="&amp;$C$16&amp;CH15&amp;")"</f>
        <v>IF('Input Nilai Pengetahuan'!L47="";"";'Input Nilai Pengetahuan'!L47)</v>
      </c>
      <c r="CJ16" s="42" t="str">
        <f>$B$16&amp;CJ15&amp;"="&amp;$C$16&amp;CJ15&amp;")"</f>
        <v>IF('Input Nilai Pengetahuan'!L48="";"";'Input Nilai Pengetahuan'!L48)</v>
      </c>
      <c r="CL16" s="42" t="str">
        <f>$B$16&amp;CL15&amp;"="&amp;$C$16&amp;CL15&amp;")"</f>
        <v>IF('Input Nilai Pengetahuan'!L49="";"";'Input Nilai Pengetahuan'!L49)</v>
      </c>
      <c r="CN16" s="42" t="str">
        <f>$B$16&amp;CN15&amp;"="&amp;$C$16&amp;CN15&amp;")"</f>
        <v>IF('Input Nilai Pengetahuan'!L50="";"";'Input Nilai Pengetahuan'!L50)</v>
      </c>
      <c r="CP16" s="42" t="str">
        <f>$B$16&amp;CP15&amp;"="&amp;$C$16&amp;CP15&amp;")"</f>
        <v>IF('Input Nilai Pengetahuan'!L51="";"";'Input Nilai Pengetahuan'!L51)</v>
      </c>
      <c r="CR16" s="42" t="str">
        <f>$B$16&amp;CR15&amp;"="&amp;$C$16&amp;CR15&amp;")"</f>
        <v>IF('Input Nilai Pengetahuan'!L52="";"";'Input Nilai Pengetahuan'!L52)</v>
      </c>
    </row>
    <row r="17" spans="1:96">
      <c r="A17" s="72">
        <v>2</v>
      </c>
      <c r="B17" s="42" t="s">
        <v>338</v>
      </c>
      <c r="C17" s="42" t="s">
        <v>347</v>
      </c>
      <c r="D17" s="42" t="str">
        <f>$B$17&amp;D15&amp;"="&amp;$C$17&amp;D15&amp;")"</f>
        <v>IF('Input Nilai Pengetahuan'!S6="";"";'Input Nilai Pengetahuan'!S6)</v>
      </c>
      <c r="F17" s="42" t="str">
        <f>$B$17&amp;F15&amp;"="&amp;$C$17&amp;F15&amp;")"</f>
        <v>IF('Input Nilai Pengetahuan'!S7="";"";'Input Nilai Pengetahuan'!S7)</v>
      </c>
      <c r="H17" s="42" t="str">
        <f>$B$17&amp;H15&amp;"="&amp;$C$17&amp;H15&amp;")"</f>
        <v>IF('Input Nilai Pengetahuan'!S8="";"";'Input Nilai Pengetahuan'!S8)</v>
      </c>
      <c r="J17" s="42" t="str">
        <f>$B$17&amp;J15&amp;"="&amp;$C$17&amp;J15&amp;")"</f>
        <v>IF('Input Nilai Pengetahuan'!S9="";"";'Input Nilai Pengetahuan'!S9)</v>
      </c>
      <c r="L17" s="42" t="str">
        <f>$B$17&amp;L15&amp;"="&amp;$C$17&amp;L15&amp;")"</f>
        <v>IF('Input Nilai Pengetahuan'!S10="";"";'Input Nilai Pengetahuan'!S10)</v>
      </c>
      <c r="N17" s="42" t="str">
        <f>$B$17&amp;N15&amp;"="&amp;$C$17&amp;N15&amp;")"</f>
        <v>IF('Input Nilai Pengetahuan'!S11="";"";'Input Nilai Pengetahuan'!S11)</v>
      </c>
      <c r="P17" s="42" t="str">
        <f>$B$17&amp;P15&amp;"="&amp;$C$17&amp;P15&amp;")"</f>
        <v>IF('Input Nilai Pengetahuan'!S12="";"";'Input Nilai Pengetahuan'!S12)</v>
      </c>
      <c r="R17" s="42" t="str">
        <f>$B$17&amp;R15&amp;"="&amp;$C$17&amp;R15&amp;")"</f>
        <v>IF('Input Nilai Pengetahuan'!S13="";"";'Input Nilai Pengetahuan'!S13)</v>
      </c>
      <c r="T17" s="42" t="str">
        <f>$B$17&amp;T15&amp;"="&amp;$C$17&amp;T15&amp;")"</f>
        <v>IF('Input Nilai Pengetahuan'!S14="";"";'Input Nilai Pengetahuan'!S14)</v>
      </c>
      <c r="V17" s="42" t="str">
        <f>$B$17&amp;V15&amp;"="&amp;$C$17&amp;V15&amp;")"</f>
        <v>IF('Input Nilai Pengetahuan'!S15="";"";'Input Nilai Pengetahuan'!S15)</v>
      </c>
      <c r="X17" s="42" t="str">
        <f>$B$17&amp;X15&amp;"="&amp;$C$17&amp;X15&amp;")"</f>
        <v>IF('Input Nilai Pengetahuan'!S16="";"";'Input Nilai Pengetahuan'!S16)</v>
      </c>
      <c r="Z17" s="42" t="str">
        <f>$B$17&amp;Z15&amp;"="&amp;$C$17&amp;Z15&amp;")"</f>
        <v>IF('Input Nilai Pengetahuan'!S17="";"";'Input Nilai Pengetahuan'!S17)</v>
      </c>
      <c r="AB17" s="42" t="str">
        <f>$B$17&amp;AB15&amp;"="&amp;$C$17&amp;AB15&amp;")"</f>
        <v>IF('Input Nilai Pengetahuan'!S18="";"";'Input Nilai Pengetahuan'!S18)</v>
      </c>
      <c r="AD17" s="42" t="str">
        <f>$B$17&amp;AD15&amp;"="&amp;$C$17&amp;AD15&amp;")"</f>
        <v>IF('Input Nilai Pengetahuan'!S19="";"";'Input Nilai Pengetahuan'!S19)</v>
      </c>
      <c r="AF17" s="42" t="str">
        <f>$B$17&amp;AF15&amp;"="&amp;$C$17&amp;AF15&amp;")"</f>
        <v>IF('Input Nilai Pengetahuan'!S20="";"";'Input Nilai Pengetahuan'!S20)</v>
      </c>
      <c r="AH17" s="42" t="str">
        <f>$B$17&amp;AH15&amp;"="&amp;$C$17&amp;AH15&amp;")"</f>
        <v>IF('Input Nilai Pengetahuan'!S21="";"";'Input Nilai Pengetahuan'!S21)</v>
      </c>
      <c r="AJ17" s="42" t="str">
        <f>$B$17&amp;AJ15&amp;"="&amp;$C$17&amp;AJ15&amp;")"</f>
        <v>IF('Input Nilai Pengetahuan'!S22="";"";'Input Nilai Pengetahuan'!S22)</v>
      </c>
      <c r="AL17" s="42" t="str">
        <f>$B$17&amp;AL15&amp;"="&amp;$C$17&amp;AL15&amp;")"</f>
        <v>IF('Input Nilai Pengetahuan'!S23="";"";'Input Nilai Pengetahuan'!S23)</v>
      </c>
      <c r="AN17" s="42" t="str">
        <f>$B$17&amp;AN15&amp;"="&amp;$C$17&amp;AN15&amp;")"</f>
        <v>IF('Input Nilai Pengetahuan'!S24="";"";'Input Nilai Pengetahuan'!S24)</v>
      </c>
      <c r="AP17" s="42" t="str">
        <f>$B$17&amp;AP15&amp;"="&amp;$C$17&amp;AP15&amp;")"</f>
        <v>IF('Input Nilai Pengetahuan'!S25="";"";'Input Nilai Pengetahuan'!S25)</v>
      </c>
      <c r="AR17" s="42" t="str">
        <f>$B$17&amp;AR15&amp;"="&amp;$C$17&amp;AR15&amp;")"</f>
        <v>IF('Input Nilai Pengetahuan'!S26="";"";'Input Nilai Pengetahuan'!S26)</v>
      </c>
      <c r="AT17" s="42" t="str">
        <f>$B$17&amp;AT15&amp;"="&amp;$C$17&amp;AT15&amp;")"</f>
        <v>IF('Input Nilai Pengetahuan'!S27="";"";'Input Nilai Pengetahuan'!S27)</v>
      </c>
      <c r="AV17" s="42" t="str">
        <f>$B$17&amp;AV15&amp;"="&amp;$C$17&amp;AV15&amp;")"</f>
        <v>IF('Input Nilai Pengetahuan'!S28="";"";'Input Nilai Pengetahuan'!S28)</v>
      </c>
      <c r="AX17" s="42" t="str">
        <f>$B$17&amp;AX15&amp;"="&amp;$C$17&amp;AX15&amp;")"</f>
        <v>IF('Input Nilai Pengetahuan'!S29="";"";'Input Nilai Pengetahuan'!S29)</v>
      </c>
      <c r="AZ17" s="42" t="str">
        <f>$B$17&amp;AZ15&amp;"="&amp;$C$17&amp;AZ15&amp;")"</f>
        <v>IF('Input Nilai Pengetahuan'!S30="";"";'Input Nilai Pengetahuan'!S30)</v>
      </c>
      <c r="BB17" s="42" t="str">
        <f>$B$17&amp;BB15&amp;"="&amp;$C$17&amp;BB15&amp;")"</f>
        <v>IF('Input Nilai Pengetahuan'!S31="";"";'Input Nilai Pengetahuan'!S31)</v>
      </c>
      <c r="BD17" s="42" t="str">
        <f>$B$17&amp;BD15&amp;"="&amp;$C$17&amp;BD15&amp;")"</f>
        <v>IF('Input Nilai Pengetahuan'!S32="";"";'Input Nilai Pengetahuan'!S32)</v>
      </c>
      <c r="BF17" s="42" t="str">
        <f>$B$17&amp;BF15&amp;"="&amp;$C$17&amp;BF15&amp;")"</f>
        <v>IF('Input Nilai Pengetahuan'!S33="";"";'Input Nilai Pengetahuan'!S33)</v>
      </c>
      <c r="BH17" s="42" t="str">
        <f>$B$17&amp;BH15&amp;"="&amp;$C$17&amp;BH15&amp;")"</f>
        <v>IF('Input Nilai Pengetahuan'!S34="";"";'Input Nilai Pengetahuan'!S34)</v>
      </c>
      <c r="BJ17" s="42" t="str">
        <f>$B$17&amp;BJ15&amp;"="&amp;$C$17&amp;BJ15&amp;")"</f>
        <v>IF('Input Nilai Pengetahuan'!S35="";"";'Input Nilai Pengetahuan'!S35)</v>
      </c>
      <c r="BL17" s="42" t="str">
        <f>$B$17&amp;BL15&amp;"="&amp;$C$17&amp;BL15&amp;")"</f>
        <v>IF('Input Nilai Pengetahuan'!S36="";"";'Input Nilai Pengetahuan'!S36)</v>
      </c>
      <c r="BN17" s="42" t="str">
        <f>$B$17&amp;BN15&amp;"="&amp;$C$17&amp;BN15&amp;")"</f>
        <v>IF('Input Nilai Pengetahuan'!S37="";"";'Input Nilai Pengetahuan'!S37)</v>
      </c>
      <c r="BP17" s="42" t="str">
        <f>$B$17&amp;BP15&amp;"="&amp;$C$17&amp;BP15&amp;")"</f>
        <v>IF('Input Nilai Pengetahuan'!S38="";"";'Input Nilai Pengetahuan'!S38)</v>
      </c>
      <c r="BR17" s="42" t="str">
        <f>$B$17&amp;BR15&amp;"="&amp;$C$17&amp;BR15&amp;")"</f>
        <v>IF('Input Nilai Pengetahuan'!S39="";"";'Input Nilai Pengetahuan'!S39)</v>
      </c>
      <c r="BT17" s="42" t="str">
        <f>$B$17&amp;BT15&amp;"="&amp;$C$17&amp;BT15&amp;")"</f>
        <v>IF('Input Nilai Pengetahuan'!S40="";"";'Input Nilai Pengetahuan'!S40)</v>
      </c>
      <c r="BV17" s="42" t="str">
        <f>$B$17&amp;BV15&amp;"="&amp;$C$17&amp;BV15&amp;")"</f>
        <v>IF('Input Nilai Pengetahuan'!S41="";"";'Input Nilai Pengetahuan'!S41)</v>
      </c>
      <c r="BX17" s="42" t="str">
        <f>$B$17&amp;BX15&amp;"="&amp;$C$17&amp;BX15&amp;")"</f>
        <v>IF('Input Nilai Pengetahuan'!S42="";"";'Input Nilai Pengetahuan'!S42)</v>
      </c>
      <c r="BZ17" s="42" t="str">
        <f>$B$17&amp;BZ15&amp;"="&amp;$C$17&amp;BZ15&amp;")"</f>
        <v>IF('Input Nilai Pengetahuan'!S43="";"";'Input Nilai Pengetahuan'!S43)</v>
      </c>
      <c r="CB17" s="42" t="str">
        <f>$B$17&amp;CB15&amp;"="&amp;$C$17&amp;CB15&amp;")"</f>
        <v>IF('Input Nilai Pengetahuan'!S44="";"";'Input Nilai Pengetahuan'!S44)</v>
      </c>
      <c r="CD17" s="42" t="str">
        <f>$B$17&amp;CD15&amp;"="&amp;$C$17&amp;CD15&amp;")"</f>
        <v>IF('Input Nilai Pengetahuan'!S45="";"";'Input Nilai Pengetahuan'!S45)</v>
      </c>
      <c r="CF17" s="42" t="str">
        <f>$B$17&amp;CF15&amp;"="&amp;$C$17&amp;CF15&amp;")"</f>
        <v>IF('Input Nilai Pengetahuan'!S46="";"";'Input Nilai Pengetahuan'!S46)</v>
      </c>
      <c r="CH17" s="42" t="str">
        <f>$B$17&amp;CH15&amp;"="&amp;$C$17&amp;CH15&amp;")"</f>
        <v>IF('Input Nilai Pengetahuan'!S47="";"";'Input Nilai Pengetahuan'!S47)</v>
      </c>
      <c r="CJ17" s="42" t="str">
        <f>$B$17&amp;CJ15&amp;"="&amp;$C$17&amp;CJ15&amp;")"</f>
        <v>IF('Input Nilai Pengetahuan'!S48="";"";'Input Nilai Pengetahuan'!S48)</v>
      </c>
      <c r="CL17" s="42" t="str">
        <f>$B$17&amp;CL15&amp;"="&amp;$C$17&amp;CL15&amp;")"</f>
        <v>IF('Input Nilai Pengetahuan'!S49="";"";'Input Nilai Pengetahuan'!S49)</v>
      </c>
      <c r="CN17" s="42" t="str">
        <f>$B$17&amp;CN15&amp;"="&amp;$C$17&amp;CN15&amp;")"</f>
        <v>IF('Input Nilai Pengetahuan'!S50="";"";'Input Nilai Pengetahuan'!S50)</v>
      </c>
      <c r="CP17" s="42" t="str">
        <f>$B$17&amp;CP15&amp;"="&amp;$C$17&amp;CP15&amp;")"</f>
        <v>IF('Input Nilai Pengetahuan'!S51="";"";'Input Nilai Pengetahuan'!S51)</v>
      </c>
      <c r="CR17" s="42" t="str">
        <f>$B$17&amp;CR15&amp;"="&amp;$C$17&amp;CR15&amp;")"</f>
        <v>IF('Input Nilai Pengetahuan'!S52="";"";'Input Nilai Pengetahuan'!S52)</v>
      </c>
    </row>
    <row r="18" spans="1:96">
      <c r="A18" s="72">
        <v>3</v>
      </c>
      <c r="B18" s="42" t="s">
        <v>339</v>
      </c>
      <c r="C18" s="42" t="s">
        <v>348</v>
      </c>
      <c r="D18" s="42" t="str">
        <f>$B$18&amp;D15&amp;"="&amp;$C$18&amp;D15&amp;")"</f>
        <v>IF('Input Nilai Pengetahuan'!Z6="";"";'Input Nilai Pengetahuan'!Z6)</v>
      </c>
      <c r="F18" s="42" t="str">
        <f>$B$18&amp;F15&amp;"="&amp;$C$18&amp;F15&amp;")"</f>
        <v>IF('Input Nilai Pengetahuan'!Z7="";"";'Input Nilai Pengetahuan'!Z7)</v>
      </c>
      <c r="H18" s="42" t="str">
        <f>$B$18&amp;H15&amp;"="&amp;$C$18&amp;H15&amp;")"</f>
        <v>IF('Input Nilai Pengetahuan'!Z8="";"";'Input Nilai Pengetahuan'!Z8)</v>
      </c>
      <c r="J18" s="42" t="str">
        <f>$B$18&amp;J15&amp;"="&amp;$C$18&amp;J15&amp;")"</f>
        <v>IF('Input Nilai Pengetahuan'!Z9="";"";'Input Nilai Pengetahuan'!Z9)</v>
      </c>
      <c r="L18" s="42" t="str">
        <f>$B$18&amp;L15&amp;"="&amp;$C$18&amp;L15&amp;")"</f>
        <v>IF('Input Nilai Pengetahuan'!Z10="";"";'Input Nilai Pengetahuan'!Z10)</v>
      </c>
      <c r="N18" s="42" t="str">
        <f>$B$18&amp;N15&amp;"="&amp;$C$18&amp;N15&amp;")"</f>
        <v>IF('Input Nilai Pengetahuan'!Z11="";"";'Input Nilai Pengetahuan'!Z11)</v>
      </c>
      <c r="P18" s="42" t="str">
        <f>$B$18&amp;P15&amp;"="&amp;$C$18&amp;P15&amp;")"</f>
        <v>IF('Input Nilai Pengetahuan'!Z12="";"";'Input Nilai Pengetahuan'!Z12)</v>
      </c>
      <c r="R18" s="42" t="str">
        <f>$B$18&amp;R15&amp;"="&amp;$C$18&amp;R15&amp;")"</f>
        <v>IF('Input Nilai Pengetahuan'!Z13="";"";'Input Nilai Pengetahuan'!Z13)</v>
      </c>
      <c r="T18" s="42" t="str">
        <f>$B$18&amp;T15&amp;"="&amp;$C$18&amp;T15&amp;")"</f>
        <v>IF('Input Nilai Pengetahuan'!Z14="";"";'Input Nilai Pengetahuan'!Z14)</v>
      </c>
      <c r="V18" s="42" t="str">
        <f>$B$18&amp;V15&amp;"="&amp;$C$18&amp;V15&amp;")"</f>
        <v>IF('Input Nilai Pengetahuan'!Z15="";"";'Input Nilai Pengetahuan'!Z15)</v>
      </c>
      <c r="X18" s="42" t="str">
        <f>$B$18&amp;X15&amp;"="&amp;$C$18&amp;X15&amp;")"</f>
        <v>IF('Input Nilai Pengetahuan'!Z16="";"";'Input Nilai Pengetahuan'!Z16)</v>
      </c>
      <c r="Z18" s="42" t="str">
        <f>$B$18&amp;Z15&amp;"="&amp;$C$18&amp;Z15&amp;")"</f>
        <v>IF('Input Nilai Pengetahuan'!Z17="";"";'Input Nilai Pengetahuan'!Z17)</v>
      </c>
      <c r="AB18" s="42" t="str">
        <f>$B$18&amp;AB15&amp;"="&amp;$C$18&amp;AB15&amp;")"</f>
        <v>IF('Input Nilai Pengetahuan'!Z18="";"";'Input Nilai Pengetahuan'!Z18)</v>
      </c>
      <c r="AD18" s="42" t="str">
        <f>$B$18&amp;AD15&amp;"="&amp;$C$18&amp;AD15&amp;")"</f>
        <v>IF('Input Nilai Pengetahuan'!Z19="";"";'Input Nilai Pengetahuan'!Z19)</v>
      </c>
      <c r="AF18" s="42" t="str">
        <f>$B$18&amp;AF15&amp;"="&amp;$C$18&amp;AF15&amp;")"</f>
        <v>IF('Input Nilai Pengetahuan'!Z20="";"";'Input Nilai Pengetahuan'!Z20)</v>
      </c>
      <c r="AH18" s="42" t="str">
        <f>$B$18&amp;AH15&amp;"="&amp;$C$18&amp;AH15&amp;")"</f>
        <v>IF('Input Nilai Pengetahuan'!Z21="";"";'Input Nilai Pengetahuan'!Z21)</v>
      </c>
      <c r="AJ18" s="42" t="str">
        <f>$B$18&amp;AJ15&amp;"="&amp;$C$18&amp;AJ15&amp;")"</f>
        <v>IF('Input Nilai Pengetahuan'!Z22="";"";'Input Nilai Pengetahuan'!Z22)</v>
      </c>
      <c r="AL18" s="42" t="str">
        <f>$B$18&amp;AL15&amp;"="&amp;$C$18&amp;AL15&amp;")"</f>
        <v>IF('Input Nilai Pengetahuan'!Z23="";"";'Input Nilai Pengetahuan'!Z23)</v>
      </c>
      <c r="AN18" s="42" t="str">
        <f>$B$18&amp;AN15&amp;"="&amp;$C$18&amp;AN15&amp;")"</f>
        <v>IF('Input Nilai Pengetahuan'!Z24="";"";'Input Nilai Pengetahuan'!Z24)</v>
      </c>
      <c r="AP18" s="42" t="str">
        <f>$B$18&amp;AP15&amp;"="&amp;$C$18&amp;AP15&amp;")"</f>
        <v>IF('Input Nilai Pengetahuan'!Z25="";"";'Input Nilai Pengetahuan'!Z25)</v>
      </c>
      <c r="AR18" s="42" t="str">
        <f>$B$18&amp;AR15&amp;"="&amp;$C$18&amp;AR15&amp;")"</f>
        <v>IF('Input Nilai Pengetahuan'!Z26="";"";'Input Nilai Pengetahuan'!Z26)</v>
      </c>
      <c r="AT18" s="42" t="str">
        <f>$B$18&amp;AT15&amp;"="&amp;$C$18&amp;AT15&amp;")"</f>
        <v>IF('Input Nilai Pengetahuan'!Z27="";"";'Input Nilai Pengetahuan'!Z27)</v>
      </c>
      <c r="AV18" s="42" t="str">
        <f>$B$18&amp;AV15&amp;"="&amp;$C$18&amp;AV15&amp;")"</f>
        <v>IF('Input Nilai Pengetahuan'!Z28="";"";'Input Nilai Pengetahuan'!Z28)</v>
      </c>
      <c r="AX18" s="42" t="str">
        <f>$B$18&amp;AX15&amp;"="&amp;$C$18&amp;AX15&amp;")"</f>
        <v>IF('Input Nilai Pengetahuan'!Z29="";"";'Input Nilai Pengetahuan'!Z29)</v>
      </c>
      <c r="AZ18" s="42" t="str">
        <f>$B$18&amp;AZ15&amp;"="&amp;$C$18&amp;AZ15&amp;")"</f>
        <v>IF('Input Nilai Pengetahuan'!Z30="";"";'Input Nilai Pengetahuan'!Z30)</v>
      </c>
      <c r="BB18" s="42" t="str">
        <f>$B$18&amp;BB15&amp;"="&amp;$C$18&amp;BB15&amp;")"</f>
        <v>IF('Input Nilai Pengetahuan'!Z31="";"";'Input Nilai Pengetahuan'!Z31)</v>
      </c>
      <c r="BD18" s="42" t="str">
        <f>$B$18&amp;BD15&amp;"="&amp;$C$18&amp;BD15&amp;")"</f>
        <v>IF('Input Nilai Pengetahuan'!Z32="";"";'Input Nilai Pengetahuan'!Z32)</v>
      </c>
      <c r="BF18" s="42" t="str">
        <f>$B$18&amp;BF15&amp;"="&amp;$C$18&amp;BF15&amp;")"</f>
        <v>IF('Input Nilai Pengetahuan'!Z33="";"";'Input Nilai Pengetahuan'!Z33)</v>
      </c>
      <c r="BH18" s="42" t="str">
        <f>$B$18&amp;BH15&amp;"="&amp;$C$18&amp;BH15&amp;")"</f>
        <v>IF('Input Nilai Pengetahuan'!Z34="";"";'Input Nilai Pengetahuan'!Z34)</v>
      </c>
      <c r="BJ18" s="42" t="str">
        <f>$B$18&amp;BJ15&amp;"="&amp;$C$18&amp;BJ15&amp;")"</f>
        <v>IF('Input Nilai Pengetahuan'!Z35="";"";'Input Nilai Pengetahuan'!Z35)</v>
      </c>
      <c r="BL18" s="42" t="str">
        <f>$B$18&amp;BL15&amp;"="&amp;$C$18&amp;BL15&amp;")"</f>
        <v>IF('Input Nilai Pengetahuan'!Z36="";"";'Input Nilai Pengetahuan'!Z36)</v>
      </c>
      <c r="BN18" s="42" t="str">
        <f>$B$18&amp;BN15&amp;"="&amp;$C$18&amp;BN15&amp;")"</f>
        <v>IF('Input Nilai Pengetahuan'!Z37="";"";'Input Nilai Pengetahuan'!Z37)</v>
      </c>
      <c r="BP18" s="42" t="str">
        <f>$B$18&amp;BP15&amp;"="&amp;$C$18&amp;BP15&amp;")"</f>
        <v>IF('Input Nilai Pengetahuan'!Z38="";"";'Input Nilai Pengetahuan'!Z38)</v>
      </c>
      <c r="BR18" s="42" t="str">
        <f>$B$18&amp;BR15&amp;"="&amp;$C$18&amp;BR15&amp;")"</f>
        <v>IF('Input Nilai Pengetahuan'!Z39="";"";'Input Nilai Pengetahuan'!Z39)</v>
      </c>
      <c r="BT18" s="42" t="str">
        <f>$B$18&amp;BT15&amp;"="&amp;$C$18&amp;BT15&amp;")"</f>
        <v>IF('Input Nilai Pengetahuan'!Z40="";"";'Input Nilai Pengetahuan'!Z40)</v>
      </c>
      <c r="BV18" s="42" t="str">
        <f>$B$18&amp;BV15&amp;"="&amp;$C$18&amp;BV15&amp;")"</f>
        <v>IF('Input Nilai Pengetahuan'!Z41="";"";'Input Nilai Pengetahuan'!Z41)</v>
      </c>
      <c r="BX18" s="42" t="str">
        <f>$B$18&amp;BX15&amp;"="&amp;$C$18&amp;BX15&amp;")"</f>
        <v>IF('Input Nilai Pengetahuan'!Z42="";"";'Input Nilai Pengetahuan'!Z42)</v>
      </c>
      <c r="BZ18" s="42" t="str">
        <f>$B$18&amp;BZ15&amp;"="&amp;$C$18&amp;BZ15&amp;")"</f>
        <v>IF('Input Nilai Pengetahuan'!Z43="";"";'Input Nilai Pengetahuan'!Z43)</v>
      </c>
      <c r="CB18" s="42" t="str">
        <f>$B$18&amp;CB15&amp;"="&amp;$C$18&amp;CB15&amp;")"</f>
        <v>IF('Input Nilai Pengetahuan'!Z44="";"";'Input Nilai Pengetahuan'!Z44)</v>
      </c>
      <c r="CD18" s="42" t="str">
        <f>$B$18&amp;CD15&amp;"="&amp;$C$18&amp;CD15&amp;")"</f>
        <v>IF('Input Nilai Pengetahuan'!Z45="";"";'Input Nilai Pengetahuan'!Z45)</v>
      </c>
      <c r="CF18" s="42" t="str">
        <f>$B$18&amp;CF15&amp;"="&amp;$C$18&amp;CF15&amp;")"</f>
        <v>IF('Input Nilai Pengetahuan'!Z46="";"";'Input Nilai Pengetahuan'!Z46)</v>
      </c>
      <c r="CH18" s="42" t="str">
        <f>$B$18&amp;CH15&amp;"="&amp;$C$18&amp;CH15&amp;")"</f>
        <v>IF('Input Nilai Pengetahuan'!Z47="";"";'Input Nilai Pengetahuan'!Z47)</v>
      </c>
      <c r="CJ18" s="42" t="str">
        <f>$B$18&amp;CJ15&amp;"="&amp;$C$18&amp;CJ15&amp;")"</f>
        <v>IF('Input Nilai Pengetahuan'!Z48="";"";'Input Nilai Pengetahuan'!Z48)</v>
      </c>
      <c r="CL18" s="42" t="str">
        <f>$B$18&amp;CL15&amp;"="&amp;$C$18&amp;CL15&amp;")"</f>
        <v>IF('Input Nilai Pengetahuan'!Z49="";"";'Input Nilai Pengetahuan'!Z49)</v>
      </c>
      <c r="CN18" s="42" t="str">
        <f>$B$18&amp;CN15&amp;"="&amp;$C$18&amp;CN15&amp;")"</f>
        <v>IF('Input Nilai Pengetahuan'!Z50="";"";'Input Nilai Pengetahuan'!Z50)</v>
      </c>
      <c r="CP18" s="42" t="str">
        <f>$B$18&amp;CP15&amp;"="&amp;$C$18&amp;CP15&amp;")"</f>
        <v>IF('Input Nilai Pengetahuan'!Z51="";"";'Input Nilai Pengetahuan'!Z51)</v>
      </c>
      <c r="CR18" s="42" t="str">
        <f>$B$18&amp;CR15&amp;"="&amp;$C$18&amp;CR15&amp;")"</f>
        <v>IF('Input Nilai Pengetahuan'!Z52="";"";'Input Nilai Pengetahuan'!Z52)</v>
      </c>
    </row>
    <row r="19" spans="1:96">
      <c r="A19" s="72">
        <v>4</v>
      </c>
      <c r="B19" s="42" t="s">
        <v>340</v>
      </c>
      <c r="C19" s="42" t="s">
        <v>349</v>
      </c>
      <c r="D19" s="42" t="str">
        <f>$B$19&amp;D15&amp;"="&amp;$C$19&amp;D15&amp;")"</f>
        <v>IF('Input Nilai Pengetahuan'!AG6="";"";'Input Nilai Pengetahuan'!AG6)</v>
      </c>
      <c r="F19" s="42" t="str">
        <f>$B$19&amp;F15&amp;"="&amp;$C$19&amp;F15&amp;")"</f>
        <v>IF('Input Nilai Pengetahuan'!AG7="";"";'Input Nilai Pengetahuan'!AG7)</v>
      </c>
      <c r="H19" s="42" t="str">
        <f>$B$19&amp;H15&amp;"="&amp;$C$19&amp;H15&amp;")"</f>
        <v>IF('Input Nilai Pengetahuan'!AG8="";"";'Input Nilai Pengetahuan'!AG8)</v>
      </c>
      <c r="J19" s="42" t="str">
        <f>$B$19&amp;J15&amp;"="&amp;$C$19&amp;J15&amp;")"</f>
        <v>IF('Input Nilai Pengetahuan'!AG9="";"";'Input Nilai Pengetahuan'!AG9)</v>
      </c>
      <c r="L19" s="42" t="str">
        <f>$B$19&amp;L15&amp;"="&amp;$C$19&amp;L15&amp;")"</f>
        <v>IF('Input Nilai Pengetahuan'!AG10="";"";'Input Nilai Pengetahuan'!AG10)</v>
      </c>
      <c r="N19" s="42" t="str">
        <f>$B$19&amp;N15&amp;"="&amp;$C$19&amp;N15&amp;")"</f>
        <v>IF('Input Nilai Pengetahuan'!AG11="";"";'Input Nilai Pengetahuan'!AG11)</v>
      </c>
      <c r="P19" s="42" t="str">
        <f>$B$19&amp;P15&amp;"="&amp;$C$19&amp;P15&amp;")"</f>
        <v>IF('Input Nilai Pengetahuan'!AG12="";"";'Input Nilai Pengetahuan'!AG12)</v>
      </c>
      <c r="R19" s="42" t="str">
        <f>$B$19&amp;R15&amp;"="&amp;$C$19&amp;R15&amp;")"</f>
        <v>IF('Input Nilai Pengetahuan'!AG13="";"";'Input Nilai Pengetahuan'!AG13)</v>
      </c>
      <c r="T19" s="42" t="str">
        <f>$B$19&amp;T15&amp;"="&amp;$C$19&amp;T15&amp;")"</f>
        <v>IF('Input Nilai Pengetahuan'!AG14="";"";'Input Nilai Pengetahuan'!AG14)</v>
      </c>
      <c r="V19" s="42" t="str">
        <f>$B$19&amp;V15&amp;"="&amp;$C$19&amp;V15&amp;")"</f>
        <v>IF('Input Nilai Pengetahuan'!AG15="";"";'Input Nilai Pengetahuan'!AG15)</v>
      </c>
      <c r="X19" s="42" t="str">
        <f>$B$19&amp;X15&amp;"="&amp;$C$19&amp;X15&amp;")"</f>
        <v>IF('Input Nilai Pengetahuan'!AG16="";"";'Input Nilai Pengetahuan'!AG16)</v>
      </c>
      <c r="Z19" s="42" t="str">
        <f>$B$19&amp;Z15&amp;"="&amp;$C$19&amp;Z15&amp;")"</f>
        <v>IF('Input Nilai Pengetahuan'!AG17="";"";'Input Nilai Pengetahuan'!AG17)</v>
      </c>
      <c r="AB19" s="42" t="str">
        <f>$B$19&amp;AB15&amp;"="&amp;$C$19&amp;AB15&amp;")"</f>
        <v>IF('Input Nilai Pengetahuan'!AG18="";"";'Input Nilai Pengetahuan'!AG18)</v>
      </c>
      <c r="AD19" s="42" t="str">
        <f>$B$19&amp;AD15&amp;"="&amp;$C$19&amp;AD15&amp;")"</f>
        <v>IF('Input Nilai Pengetahuan'!AG19="";"";'Input Nilai Pengetahuan'!AG19)</v>
      </c>
      <c r="AF19" s="42" t="str">
        <f>$B$19&amp;AF15&amp;"="&amp;$C$19&amp;AF15&amp;")"</f>
        <v>IF('Input Nilai Pengetahuan'!AG20="";"";'Input Nilai Pengetahuan'!AG20)</v>
      </c>
      <c r="AH19" s="42" t="str">
        <f>$B$19&amp;AH15&amp;"="&amp;$C$19&amp;AH15&amp;")"</f>
        <v>IF('Input Nilai Pengetahuan'!AG21="";"";'Input Nilai Pengetahuan'!AG21)</v>
      </c>
      <c r="AJ19" s="42" t="str">
        <f>$B$19&amp;AJ15&amp;"="&amp;$C$19&amp;AJ15&amp;")"</f>
        <v>IF('Input Nilai Pengetahuan'!AG22="";"";'Input Nilai Pengetahuan'!AG22)</v>
      </c>
      <c r="AL19" s="42" t="str">
        <f>$B$19&amp;AL15&amp;"="&amp;$C$19&amp;AL15&amp;")"</f>
        <v>IF('Input Nilai Pengetahuan'!AG23="";"";'Input Nilai Pengetahuan'!AG23)</v>
      </c>
      <c r="AN19" s="42" t="str">
        <f>$B$19&amp;AN15&amp;"="&amp;$C$19&amp;AN15&amp;")"</f>
        <v>IF('Input Nilai Pengetahuan'!AG24="";"";'Input Nilai Pengetahuan'!AG24)</v>
      </c>
      <c r="AP19" s="42" t="str">
        <f>$B$19&amp;AP15&amp;"="&amp;$C$19&amp;AP15&amp;")"</f>
        <v>IF('Input Nilai Pengetahuan'!AG25="";"";'Input Nilai Pengetahuan'!AG25)</v>
      </c>
      <c r="AR19" s="42" t="str">
        <f>$B$19&amp;AR15&amp;"="&amp;$C$19&amp;AR15&amp;")"</f>
        <v>IF('Input Nilai Pengetahuan'!AG26="";"";'Input Nilai Pengetahuan'!AG26)</v>
      </c>
      <c r="AT19" s="42" t="str">
        <f>$B$19&amp;AT15&amp;"="&amp;$C$19&amp;AT15&amp;")"</f>
        <v>IF('Input Nilai Pengetahuan'!AG27="";"";'Input Nilai Pengetahuan'!AG27)</v>
      </c>
      <c r="AV19" s="42" t="str">
        <f>$B$19&amp;AV15&amp;"="&amp;$C$19&amp;AV15&amp;")"</f>
        <v>IF('Input Nilai Pengetahuan'!AG28="";"";'Input Nilai Pengetahuan'!AG28)</v>
      </c>
      <c r="AX19" s="42" t="str">
        <f>$B$19&amp;AX15&amp;"="&amp;$C$19&amp;AX15&amp;")"</f>
        <v>IF('Input Nilai Pengetahuan'!AG29="";"";'Input Nilai Pengetahuan'!AG29)</v>
      </c>
      <c r="AZ19" s="42" t="str">
        <f>$B$19&amp;AZ15&amp;"="&amp;$C$19&amp;AZ15&amp;")"</f>
        <v>IF('Input Nilai Pengetahuan'!AG30="";"";'Input Nilai Pengetahuan'!AG30)</v>
      </c>
      <c r="BB19" s="42" t="str">
        <f>$B$19&amp;BB15&amp;"="&amp;$C$19&amp;BB15&amp;")"</f>
        <v>IF('Input Nilai Pengetahuan'!AG31="";"";'Input Nilai Pengetahuan'!AG31)</v>
      </c>
      <c r="BD19" s="42" t="str">
        <f>$B$19&amp;BD15&amp;"="&amp;$C$19&amp;BD15&amp;")"</f>
        <v>IF('Input Nilai Pengetahuan'!AG32="";"";'Input Nilai Pengetahuan'!AG32)</v>
      </c>
      <c r="BF19" s="42" t="str">
        <f>$B$19&amp;BF15&amp;"="&amp;$C$19&amp;BF15&amp;")"</f>
        <v>IF('Input Nilai Pengetahuan'!AG33="";"";'Input Nilai Pengetahuan'!AG33)</v>
      </c>
      <c r="BH19" s="42" t="str">
        <f>$B$19&amp;BH15&amp;"="&amp;$C$19&amp;BH15&amp;")"</f>
        <v>IF('Input Nilai Pengetahuan'!AG34="";"";'Input Nilai Pengetahuan'!AG34)</v>
      </c>
      <c r="BJ19" s="42" t="str">
        <f>$B$19&amp;BJ15&amp;"="&amp;$C$19&amp;BJ15&amp;")"</f>
        <v>IF('Input Nilai Pengetahuan'!AG35="";"";'Input Nilai Pengetahuan'!AG35)</v>
      </c>
      <c r="BL19" s="42" t="str">
        <f>$B$19&amp;BL15&amp;"="&amp;$C$19&amp;BL15&amp;")"</f>
        <v>IF('Input Nilai Pengetahuan'!AG36="";"";'Input Nilai Pengetahuan'!AG36)</v>
      </c>
      <c r="BN19" s="42" t="str">
        <f>$B$19&amp;BN15&amp;"="&amp;$C$19&amp;BN15&amp;")"</f>
        <v>IF('Input Nilai Pengetahuan'!AG37="";"";'Input Nilai Pengetahuan'!AG37)</v>
      </c>
      <c r="BP19" s="42" t="str">
        <f>$B$19&amp;BP15&amp;"="&amp;$C$19&amp;BP15&amp;")"</f>
        <v>IF('Input Nilai Pengetahuan'!AG38="";"";'Input Nilai Pengetahuan'!AG38)</v>
      </c>
      <c r="BR19" s="42" t="str">
        <f>$B$19&amp;BR15&amp;"="&amp;$C$19&amp;BR15&amp;")"</f>
        <v>IF('Input Nilai Pengetahuan'!AG39="";"";'Input Nilai Pengetahuan'!AG39)</v>
      </c>
      <c r="BT19" s="42" t="str">
        <f>$B$19&amp;BT15&amp;"="&amp;$C$19&amp;BT15&amp;")"</f>
        <v>IF('Input Nilai Pengetahuan'!AG40="";"";'Input Nilai Pengetahuan'!AG40)</v>
      </c>
      <c r="BV19" s="42" t="str">
        <f>$B$19&amp;BV15&amp;"="&amp;$C$19&amp;BV15&amp;")"</f>
        <v>IF('Input Nilai Pengetahuan'!AG41="";"";'Input Nilai Pengetahuan'!AG41)</v>
      </c>
      <c r="BX19" s="42" t="str">
        <f>$B$19&amp;BX15&amp;"="&amp;$C$19&amp;BX15&amp;")"</f>
        <v>IF('Input Nilai Pengetahuan'!AG42="";"";'Input Nilai Pengetahuan'!AG42)</v>
      </c>
      <c r="BZ19" s="42" t="str">
        <f>$B$19&amp;BZ15&amp;"="&amp;$C$19&amp;BZ15&amp;")"</f>
        <v>IF('Input Nilai Pengetahuan'!AG43="";"";'Input Nilai Pengetahuan'!AG43)</v>
      </c>
      <c r="CB19" s="42" t="str">
        <f>$B$19&amp;CB15&amp;"="&amp;$C$19&amp;CB15&amp;")"</f>
        <v>IF('Input Nilai Pengetahuan'!AG44="";"";'Input Nilai Pengetahuan'!AG44)</v>
      </c>
      <c r="CD19" s="42" t="str">
        <f>$B$19&amp;CD15&amp;"="&amp;$C$19&amp;CD15&amp;")"</f>
        <v>IF('Input Nilai Pengetahuan'!AG45="";"";'Input Nilai Pengetahuan'!AG45)</v>
      </c>
      <c r="CF19" s="42" t="str">
        <f>$B$19&amp;CF15&amp;"="&amp;$C$19&amp;CF15&amp;")"</f>
        <v>IF('Input Nilai Pengetahuan'!AG46="";"";'Input Nilai Pengetahuan'!AG46)</v>
      </c>
      <c r="CH19" s="42" t="str">
        <f>$B$19&amp;CH15&amp;"="&amp;$C$19&amp;CH15&amp;")"</f>
        <v>IF('Input Nilai Pengetahuan'!AG47="";"";'Input Nilai Pengetahuan'!AG47)</v>
      </c>
      <c r="CJ19" s="42" t="str">
        <f>$B$19&amp;CJ15&amp;"="&amp;$C$19&amp;CJ15&amp;")"</f>
        <v>IF('Input Nilai Pengetahuan'!AG48="";"";'Input Nilai Pengetahuan'!AG48)</v>
      </c>
      <c r="CL19" s="42" t="str">
        <f>$B$19&amp;CL15&amp;"="&amp;$C$19&amp;CL15&amp;")"</f>
        <v>IF('Input Nilai Pengetahuan'!AG49="";"";'Input Nilai Pengetahuan'!AG49)</v>
      </c>
      <c r="CN19" s="42" t="str">
        <f>$B$19&amp;CN15&amp;"="&amp;$C$19&amp;CN15&amp;")"</f>
        <v>IF('Input Nilai Pengetahuan'!AG50="";"";'Input Nilai Pengetahuan'!AG50)</v>
      </c>
      <c r="CP19" s="42" t="str">
        <f>$B$19&amp;CP15&amp;"="&amp;$C$19&amp;CP15&amp;")"</f>
        <v>IF('Input Nilai Pengetahuan'!AG51="";"";'Input Nilai Pengetahuan'!AG51)</v>
      </c>
      <c r="CR19" s="42" t="str">
        <f>$B$19&amp;CR15&amp;"="&amp;$C$19&amp;CR15&amp;")"</f>
        <v>IF('Input Nilai Pengetahuan'!AG52="";"";'Input Nilai Pengetahuan'!AG52)</v>
      </c>
    </row>
    <row r="20" spans="1:96">
      <c r="A20" s="72">
        <v>5</v>
      </c>
      <c r="B20" s="42" t="s">
        <v>341</v>
      </c>
      <c r="C20" s="42" t="s">
        <v>350</v>
      </c>
      <c r="D20" s="42" t="str">
        <f>$B$20&amp;D15&amp;"="&amp;$C$20&amp;D15&amp;")"</f>
        <v>IF('Input Nilai Pengetahuan'!AN6="";"";'Input Nilai Pengetahuan'!AN6)</v>
      </c>
      <c r="F20" s="42" t="str">
        <f>$B$20&amp;F15&amp;"="&amp;$C$20&amp;F15&amp;")"</f>
        <v>IF('Input Nilai Pengetahuan'!AN7="";"";'Input Nilai Pengetahuan'!AN7)</v>
      </c>
      <c r="H20" s="42" t="str">
        <f>$B$20&amp;H15&amp;"="&amp;$C$20&amp;H15&amp;")"</f>
        <v>IF('Input Nilai Pengetahuan'!AN8="";"";'Input Nilai Pengetahuan'!AN8)</v>
      </c>
      <c r="J20" s="42" t="str">
        <f>$B$20&amp;J15&amp;"="&amp;$C$20&amp;J15&amp;")"</f>
        <v>IF('Input Nilai Pengetahuan'!AN9="";"";'Input Nilai Pengetahuan'!AN9)</v>
      </c>
      <c r="L20" s="42" t="str">
        <f>$B$20&amp;L15&amp;"="&amp;$C$20&amp;L15&amp;")"</f>
        <v>IF('Input Nilai Pengetahuan'!AN10="";"";'Input Nilai Pengetahuan'!AN10)</v>
      </c>
      <c r="N20" s="42" t="str">
        <f>$B$20&amp;N15&amp;"="&amp;$C$20&amp;N15&amp;")"</f>
        <v>IF('Input Nilai Pengetahuan'!AN11="";"";'Input Nilai Pengetahuan'!AN11)</v>
      </c>
      <c r="P20" s="42" t="str">
        <f>$B$20&amp;P15&amp;"="&amp;$C$20&amp;P15&amp;")"</f>
        <v>IF('Input Nilai Pengetahuan'!AN12="";"";'Input Nilai Pengetahuan'!AN12)</v>
      </c>
      <c r="R20" s="42" t="str">
        <f>$B$20&amp;R15&amp;"="&amp;$C$20&amp;R15&amp;")"</f>
        <v>IF('Input Nilai Pengetahuan'!AN13="";"";'Input Nilai Pengetahuan'!AN13)</v>
      </c>
      <c r="T20" s="42" t="str">
        <f>$B$20&amp;T15&amp;"="&amp;$C$20&amp;T15&amp;")"</f>
        <v>IF('Input Nilai Pengetahuan'!AN14="";"";'Input Nilai Pengetahuan'!AN14)</v>
      </c>
      <c r="V20" s="42" t="str">
        <f>$B$20&amp;V15&amp;"="&amp;$C$20&amp;V15&amp;")"</f>
        <v>IF('Input Nilai Pengetahuan'!AN15="";"";'Input Nilai Pengetahuan'!AN15)</v>
      </c>
      <c r="X20" s="42" t="str">
        <f>$B$20&amp;X15&amp;"="&amp;$C$20&amp;X15&amp;")"</f>
        <v>IF('Input Nilai Pengetahuan'!AN16="";"";'Input Nilai Pengetahuan'!AN16)</v>
      </c>
      <c r="Z20" s="42" t="str">
        <f>$B$20&amp;Z15&amp;"="&amp;$C$20&amp;Z15&amp;")"</f>
        <v>IF('Input Nilai Pengetahuan'!AN17="";"";'Input Nilai Pengetahuan'!AN17)</v>
      </c>
      <c r="AB20" s="42" t="str">
        <f>$B$20&amp;AB15&amp;"="&amp;$C$20&amp;AB15&amp;")"</f>
        <v>IF('Input Nilai Pengetahuan'!AN18="";"";'Input Nilai Pengetahuan'!AN18)</v>
      </c>
      <c r="AD20" s="42" t="str">
        <f>$B$20&amp;AD15&amp;"="&amp;$C$20&amp;AD15&amp;")"</f>
        <v>IF('Input Nilai Pengetahuan'!AN19="";"";'Input Nilai Pengetahuan'!AN19)</v>
      </c>
      <c r="AF20" s="42" t="str">
        <f>$B$20&amp;AF15&amp;"="&amp;$C$20&amp;AF15&amp;")"</f>
        <v>IF('Input Nilai Pengetahuan'!AN20="";"";'Input Nilai Pengetahuan'!AN20)</v>
      </c>
      <c r="AH20" s="42" t="str">
        <f>$B$20&amp;AH15&amp;"="&amp;$C$20&amp;AH15&amp;")"</f>
        <v>IF('Input Nilai Pengetahuan'!AN21="";"";'Input Nilai Pengetahuan'!AN21)</v>
      </c>
      <c r="AJ20" s="42" t="str">
        <f>$B$20&amp;AJ15&amp;"="&amp;$C$20&amp;AJ15&amp;")"</f>
        <v>IF('Input Nilai Pengetahuan'!AN22="";"";'Input Nilai Pengetahuan'!AN22)</v>
      </c>
      <c r="AL20" s="42" t="str">
        <f>$B$20&amp;AL15&amp;"="&amp;$C$20&amp;AL15&amp;")"</f>
        <v>IF('Input Nilai Pengetahuan'!AN23="";"";'Input Nilai Pengetahuan'!AN23)</v>
      </c>
      <c r="AN20" s="42" t="str">
        <f>$B$20&amp;AN15&amp;"="&amp;$C$20&amp;AN15&amp;")"</f>
        <v>IF('Input Nilai Pengetahuan'!AN24="";"";'Input Nilai Pengetahuan'!AN24)</v>
      </c>
      <c r="AP20" s="42" t="str">
        <f>$B$20&amp;AP15&amp;"="&amp;$C$20&amp;AP15&amp;")"</f>
        <v>IF('Input Nilai Pengetahuan'!AN25="";"";'Input Nilai Pengetahuan'!AN25)</v>
      </c>
      <c r="AR20" s="42" t="str">
        <f>$B$20&amp;AR15&amp;"="&amp;$C$20&amp;AR15&amp;")"</f>
        <v>IF('Input Nilai Pengetahuan'!AN26="";"";'Input Nilai Pengetahuan'!AN26)</v>
      </c>
      <c r="AT20" s="42" t="str">
        <f>$B$20&amp;AT15&amp;"="&amp;$C$20&amp;AT15&amp;")"</f>
        <v>IF('Input Nilai Pengetahuan'!AN27="";"";'Input Nilai Pengetahuan'!AN27)</v>
      </c>
      <c r="AV20" s="42" t="str">
        <f>$B$20&amp;AV15&amp;"="&amp;$C$20&amp;AV15&amp;")"</f>
        <v>IF('Input Nilai Pengetahuan'!AN28="";"";'Input Nilai Pengetahuan'!AN28)</v>
      </c>
      <c r="AX20" s="42" t="str">
        <f>$B$20&amp;AX15&amp;"="&amp;$C$20&amp;AX15&amp;")"</f>
        <v>IF('Input Nilai Pengetahuan'!AN29="";"";'Input Nilai Pengetahuan'!AN29)</v>
      </c>
      <c r="AZ20" s="42" t="str">
        <f>$B$20&amp;AZ15&amp;"="&amp;$C$20&amp;AZ15&amp;")"</f>
        <v>IF('Input Nilai Pengetahuan'!AN30="";"";'Input Nilai Pengetahuan'!AN30)</v>
      </c>
      <c r="BB20" s="42" t="str">
        <f>$B$20&amp;BB15&amp;"="&amp;$C$20&amp;BB15&amp;")"</f>
        <v>IF('Input Nilai Pengetahuan'!AN31="";"";'Input Nilai Pengetahuan'!AN31)</v>
      </c>
      <c r="BD20" s="42" t="str">
        <f>$B$20&amp;BD15&amp;"="&amp;$C$20&amp;BD15&amp;")"</f>
        <v>IF('Input Nilai Pengetahuan'!AN32="";"";'Input Nilai Pengetahuan'!AN32)</v>
      </c>
      <c r="BF20" s="42" t="str">
        <f>$B$20&amp;BF15&amp;"="&amp;$C$20&amp;BF15&amp;")"</f>
        <v>IF('Input Nilai Pengetahuan'!AN33="";"";'Input Nilai Pengetahuan'!AN33)</v>
      </c>
      <c r="BH20" s="42" t="str">
        <f>$B$20&amp;BH15&amp;"="&amp;$C$20&amp;BH15&amp;")"</f>
        <v>IF('Input Nilai Pengetahuan'!AN34="";"";'Input Nilai Pengetahuan'!AN34)</v>
      </c>
      <c r="BJ20" s="42" t="str">
        <f>$B$20&amp;BJ15&amp;"="&amp;$C$20&amp;BJ15&amp;")"</f>
        <v>IF('Input Nilai Pengetahuan'!AN35="";"";'Input Nilai Pengetahuan'!AN35)</v>
      </c>
      <c r="BL20" s="42" t="str">
        <f>$B$20&amp;BL15&amp;"="&amp;$C$20&amp;BL15&amp;")"</f>
        <v>IF('Input Nilai Pengetahuan'!AN36="";"";'Input Nilai Pengetahuan'!AN36)</v>
      </c>
      <c r="BN20" s="42" t="str">
        <f>$B$20&amp;BN15&amp;"="&amp;$C$20&amp;BN15&amp;")"</f>
        <v>IF('Input Nilai Pengetahuan'!AN37="";"";'Input Nilai Pengetahuan'!AN37)</v>
      </c>
      <c r="BP20" s="42" t="str">
        <f>$B$20&amp;BP15&amp;"="&amp;$C$20&amp;BP15&amp;")"</f>
        <v>IF('Input Nilai Pengetahuan'!AN38="";"";'Input Nilai Pengetahuan'!AN38)</v>
      </c>
      <c r="BR20" s="42" t="str">
        <f>$B$20&amp;BR15&amp;"="&amp;$C$20&amp;BR15&amp;")"</f>
        <v>IF('Input Nilai Pengetahuan'!AN39="";"";'Input Nilai Pengetahuan'!AN39)</v>
      </c>
      <c r="BT20" s="42" t="str">
        <f>$B$20&amp;BT15&amp;"="&amp;$C$20&amp;BT15&amp;")"</f>
        <v>IF('Input Nilai Pengetahuan'!AN40="";"";'Input Nilai Pengetahuan'!AN40)</v>
      </c>
      <c r="BV20" s="42" t="str">
        <f>$B$20&amp;BV15&amp;"="&amp;$C$20&amp;BV15&amp;")"</f>
        <v>IF('Input Nilai Pengetahuan'!AN41="";"";'Input Nilai Pengetahuan'!AN41)</v>
      </c>
      <c r="BX20" s="42" t="str">
        <f>$B$20&amp;BX15&amp;"="&amp;$C$20&amp;BX15&amp;")"</f>
        <v>IF('Input Nilai Pengetahuan'!AN42="";"";'Input Nilai Pengetahuan'!AN42)</v>
      </c>
      <c r="BZ20" s="42" t="str">
        <f>$B$20&amp;BZ15&amp;"="&amp;$C$20&amp;BZ15&amp;")"</f>
        <v>IF('Input Nilai Pengetahuan'!AN43="";"";'Input Nilai Pengetahuan'!AN43)</v>
      </c>
      <c r="CB20" s="42" t="str">
        <f>$B$20&amp;CB15&amp;"="&amp;$C$20&amp;CB15&amp;")"</f>
        <v>IF('Input Nilai Pengetahuan'!AN44="";"";'Input Nilai Pengetahuan'!AN44)</v>
      </c>
      <c r="CD20" s="42" t="str">
        <f>$B$20&amp;CD15&amp;"="&amp;$C$20&amp;CD15&amp;")"</f>
        <v>IF('Input Nilai Pengetahuan'!AN45="";"";'Input Nilai Pengetahuan'!AN45)</v>
      </c>
      <c r="CF20" s="42" t="str">
        <f>$B$20&amp;CF15&amp;"="&amp;$C$20&amp;CF15&amp;")"</f>
        <v>IF('Input Nilai Pengetahuan'!AN46="";"";'Input Nilai Pengetahuan'!AN46)</v>
      </c>
      <c r="CH20" s="42" t="str">
        <f>$B$20&amp;CH15&amp;"="&amp;$C$20&amp;CH15&amp;")"</f>
        <v>IF('Input Nilai Pengetahuan'!AN47="";"";'Input Nilai Pengetahuan'!AN47)</v>
      </c>
      <c r="CJ20" s="42" t="str">
        <f>$B$20&amp;CJ15&amp;"="&amp;$C$20&amp;CJ15&amp;")"</f>
        <v>IF('Input Nilai Pengetahuan'!AN48="";"";'Input Nilai Pengetahuan'!AN48)</v>
      </c>
      <c r="CL20" s="42" t="str">
        <f>$B$20&amp;CL15&amp;"="&amp;$C$20&amp;CL15&amp;")"</f>
        <v>IF('Input Nilai Pengetahuan'!AN49="";"";'Input Nilai Pengetahuan'!AN49)</v>
      </c>
      <c r="CN20" s="42" t="str">
        <f>$B$20&amp;CN15&amp;"="&amp;$C$20&amp;CN15&amp;")"</f>
        <v>IF('Input Nilai Pengetahuan'!AN50="";"";'Input Nilai Pengetahuan'!AN50)</v>
      </c>
      <c r="CP20" s="42" t="str">
        <f>$B$20&amp;CP15&amp;"="&amp;$C$20&amp;CP15&amp;")"</f>
        <v>IF('Input Nilai Pengetahuan'!AN51="";"";'Input Nilai Pengetahuan'!AN51)</v>
      </c>
      <c r="CR20" s="42" t="str">
        <f>$B$20&amp;CR15&amp;"="&amp;$C$20&amp;CR15&amp;")"</f>
        <v>IF('Input Nilai Pengetahuan'!AN52="";"";'Input Nilai Pengetahuan'!AN52)</v>
      </c>
    </row>
    <row r="21" spans="1:96">
      <c r="A21" s="72">
        <v>6</v>
      </c>
      <c r="B21" s="42" t="s">
        <v>342</v>
      </c>
      <c r="C21" s="42" t="s">
        <v>351</v>
      </c>
      <c r="D21" s="42" t="str">
        <f>$B$21&amp;D15&amp;"="&amp;$C$21&amp;D15&amp;")"</f>
        <v>IF('Input Nilai Pengetahuan'!AU6="";"";'Input Nilai Pengetahuan'!AU6)</v>
      </c>
      <c r="F21" s="42" t="str">
        <f>$B$21&amp;F15&amp;"="&amp;$C$21&amp;F15&amp;")"</f>
        <v>IF('Input Nilai Pengetahuan'!AU7="";"";'Input Nilai Pengetahuan'!AU7)</v>
      </c>
      <c r="H21" s="42" t="str">
        <f>$B$21&amp;H15&amp;"="&amp;$C$21&amp;H15&amp;")"</f>
        <v>IF('Input Nilai Pengetahuan'!AU8="";"";'Input Nilai Pengetahuan'!AU8)</v>
      </c>
      <c r="J21" s="42" t="str">
        <f>$B$21&amp;J15&amp;"="&amp;$C$21&amp;J15&amp;")"</f>
        <v>IF('Input Nilai Pengetahuan'!AU9="";"";'Input Nilai Pengetahuan'!AU9)</v>
      </c>
      <c r="L21" s="42" t="str">
        <f>$B$21&amp;L15&amp;"="&amp;$C$21&amp;L15&amp;")"</f>
        <v>IF('Input Nilai Pengetahuan'!AU10="";"";'Input Nilai Pengetahuan'!AU10)</v>
      </c>
      <c r="N21" s="42" t="str">
        <f>$B$21&amp;N15&amp;"="&amp;$C$21&amp;N15&amp;")"</f>
        <v>IF('Input Nilai Pengetahuan'!AU11="";"";'Input Nilai Pengetahuan'!AU11)</v>
      </c>
      <c r="P21" s="42" t="str">
        <f>$B$21&amp;P15&amp;"="&amp;$C$21&amp;P15&amp;")"</f>
        <v>IF('Input Nilai Pengetahuan'!AU12="";"";'Input Nilai Pengetahuan'!AU12)</v>
      </c>
      <c r="R21" s="42" t="str">
        <f>$B$21&amp;R15&amp;"="&amp;$C$21&amp;R15&amp;")"</f>
        <v>IF('Input Nilai Pengetahuan'!AU13="";"";'Input Nilai Pengetahuan'!AU13)</v>
      </c>
      <c r="T21" s="42" t="str">
        <f>$B$21&amp;T15&amp;"="&amp;$C$21&amp;T15&amp;")"</f>
        <v>IF('Input Nilai Pengetahuan'!AU14="";"";'Input Nilai Pengetahuan'!AU14)</v>
      </c>
      <c r="V21" s="42" t="str">
        <f>$B$21&amp;V15&amp;"="&amp;$C$21&amp;V15&amp;")"</f>
        <v>IF('Input Nilai Pengetahuan'!AU15="";"";'Input Nilai Pengetahuan'!AU15)</v>
      </c>
      <c r="X21" s="42" t="str">
        <f>$B$21&amp;X15&amp;"="&amp;$C$21&amp;X15&amp;")"</f>
        <v>IF('Input Nilai Pengetahuan'!AU16="";"";'Input Nilai Pengetahuan'!AU16)</v>
      </c>
      <c r="Z21" s="42" t="str">
        <f>$B$21&amp;Z15&amp;"="&amp;$C$21&amp;Z15&amp;")"</f>
        <v>IF('Input Nilai Pengetahuan'!AU17="";"";'Input Nilai Pengetahuan'!AU17)</v>
      </c>
      <c r="AB21" s="42" t="str">
        <f>$B$21&amp;AB15&amp;"="&amp;$C$21&amp;AB15&amp;")"</f>
        <v>IF('Input Nilai Pengetahuan'!AU18="";"";'Input Nilai Pengetahuan'!AU18)</v>
      </c>
      <c r="AD21" s="42" t="str">
        <f>$B$21&amp;AD15&amp;"="&amp;$C$21&amp;AD15&amp;")"</f>
        <v>IF('Input Nilai Pengetahuan'!AU19="";"";'Input Nilai Pengetahuan'!AU19)</v>
      </c>
      <c r="AF21" s="42" t="str">
        <f>$B$21&amp;AF15&amp;"="&amp;$C$21&amp;AF15&amp;")"</f>
        <v>IF('Input Nilai Pengetahuan'!AU20="";"";'Input Nilai Pengetahuan'!AU20)</v>
      </c>
      <c r="AH21" s="42" t="str">
        <f>$B$21&amp;AH15&amp;"="&amp;$C$21&amp;AH15&amp;")"</f>
        <v>IF('Input Nilai Pengetahuan'!AU21="";"";'Input Nilai Pengetahuan'!AU21)</v>
      </c>
      <c r="AJ21" s="42" t="str">
        <f>$B$21&amp;AJ15&amp;"="&amp;$C$21&amp;AJ15&amp;")"</f>
        <v>IF('Input Nilai Pengetahuan'!AU22="";"";'Input Nilai Pengetahuan'!AU22)</v>
      </c>
      <c r="AL21" s="42" t="str">
        <f>$B$21&amp;AL15&amp;"="&amp;$C$21&amp;AL15&amp;")"</f>
        <v>IF('Input Nilai Pengetahuan'!AU23="";"";'Input Nilai Pengetahuan'!AU23)</v>
      </c>
      <c r="AN21" s="42" t="str">
        <f>$B$21&amp;AN15&amp;"="&amp;$C$21&amp;AN15&amp;")"</f>
        <v>IF('Input Nilai Pengetahuan'!AU24="";"";'Input Nilai Pengetahuan'!AU24)</v>
      </c>
      <c r="AP21" s="42" t="str">
        <f>$B$21&amp;AP15&amp;"="&amp;$C$21&amp;AP15&amp;")"</f>
        <v>IF('Input Nilai Pengetahuan'!AU25="";"";'Input Nilai Pengetahuan'!AU25)</v>
      </c>
      <c r="AR21" s="42" t="str">
        <f>$B$21&amp;AR15&amp;"="&amp;$C$21&amp;AR15&amp;")"</f>
        <v>IF('Input Nilai Pengetahuan'!AU26="";"";'Input Nilai Pengetahuan'!AU26)</v>
      </c>
      <c r="AT21" s="42" t="str">
        <f>$B$21&amp;AT15&amp;"="&amp;$C$21&amp;AT15&amp;")"</f>
        <v>IF('Input Nilai Pengetahuan'!AU27="";"";'Input Nilai Pengetahuan'!AU27)</v>
      </c>
      <c r="AV21" s="42" t="str">
        <f>$B$21&amp;AV15&amp;"="&amp;$C$21&amp;AV15&amp;")"</f>
        <v>IF('Input Nilai Pengetahuan'!AU28="";"";'Input Nilai Pengetahuan'!AU28)</v>
      </c>
      <c r="AX21" s="42" t="str">
        <f>$B$21&amp;AX15&amp;"="&amp;$C$21&amp;AX15&amp;")"</f>
        <v>IF('Input Nilai Pengetahuan'!AU29="";"";'Input Nilai Pengetahuan'!AU29)</v>
      </c>
      <c r="AZ21" s="42" t="str">
        <f>$B$21&amp;AZ15&amp;"="&amp;$C$21&amp;AZ15&amp;")"</f>
        <v>IF('Input Nilai Pengetahuan'!AU30="";"";'Input Nilai Pengetahuan'!AU30)</v>
      </c>
      <c r="BB21" s="42" t="str">
        <f>$B$21&amp;BB15&amp;"="&amp;$C$21&amp;BB15&amp;")"</f>
        <v>IF('Input Nilai Pengetahuan'!AU31="";"";'Input Nilai Pengetahuan'!AU31)</v>
      </c>
      <c r="BD21" s="42" t="str">
        <f>$B$21&amp;BD15&amp;"="&amp;$C$21&amp;BD15&amp;")"</f>
        <v>IF('Input Nilai Pengetahuan'!AU32="";"";'Input Nilai Pengetahuan'!AU32)</v>
      </c>
      <c r="BF21" s="42" t="str">
        <f>$B$21&amp;BF15&amp;"="&amp;$C$21&amp;BF15&amp;")"</f>
        <v>IF('Input Nilai Pengetahuan'!AU33="";"";'Input Nilai Pengetahuan'!AU33)</v>
      </c>
      <c r="BH21" s="42" t="str">
        <f>$B$21&amp;BH15&amp;"="&amp;$C$21&amp;BH15&amp;")"</f>
        <v>IF('Input Nilai Pengetahuan'!AU34="";"";'Input Nilai Pengetahuan'!AU34)</v>
      </c>
      <c r="BJ21" s="42" t="str">
        <f>$B$21&amp;BJ15&amp;"="&amp;$C$21&amp;BJ15&amp;")"</f>
        <v>IF('Input Nilai Pengetahuan'!AU35="";"";'Input Nilai Pengetahuan'!AU35)</v>
      </c>
      <c r="BL21" s="42" t="str">
        <f>$B$21&amp;BL15&amp;"="&amp;$C$21&amp;BL15&amp;")"</f>
        <v>IF('Input Nilai Pengetahuan'!AU36="";"";'Input Nilai Pengetahuan'!AU36)</v>
      </c>
      <c r="BN21" s="42" t="str">
        <f>$B$21&amp;BN15&amp;"="&amp;$C$21&amp;BN15&amp;")"</f>
        <v>IF('Input Nilai Pengetahuan'!AU37="";"";'Input Nilai Pengetahuan'!AU37)</v>
      </c>
      <c r="BP21" s="42" t="str">
        <f>$B$21&amp;BP15&amp;"="&amp;$C$21&amp;BP15&amp;")"</f>
        <v>IF('Input Nilai Pengetahuan'!AU38="";"";'Input Nilai Pengetahuan'!AU38)</v>
      </c>
      <c r="BR21" s="42" t="str">
        <f>$B$21&amp;BR15&amp;"="&amp;$C$21&amp;BR15&amp;")"</f>
        <v>IF('Input Nilai Pengetahuan'!AU39="";"";'Input Nilai Pengetahuan'!AU39)</v>
      </c>
      <c r="BT21" s="42" t="str">
        <f>$B$21&amp;BT15&amp;"="&amp;$C$21&amp;BT15&amp;")"</f>
        <v>IF('Input Nilai Pengetahuan'!AU40="";"";'Input Nilai Pengetahuan'!AU40)</v>
      </c>
      <c r="BV21" s="42" t="str">
        <f>$B$21&amp;BV15&amp;"="&amp;$C$21&amp;BV15&amp;")"</f>
        <v>IF('Input Nilai Pengetahuan'!AU41="";"";'Input Nilai Pengetahuan'!AU41)</v>
      </c>
      <c r="BX21" s="42" t="str">
        <f>$B$21&amp;BX15&amp;"="&amp;$C$21&amp;BX15&amp;")"</f>
        <v>IF('Input Nilai Pengetahuan'!AU42="";"";'Input Nilai Pengetahuan'!AU42)</v>
      </c>
      <c r="BZ21" s="42" t="str">
        <f>$B$21&amp;BZ15&amp;"="&amp;$C$21&amp;BZ15&amp;")"</f>
        <v>IF('Input Nilai Pengetahuan'!AU43="";"";'Input Nilai Pengetahuan'!AU43)</v>
      </c>
      <c r="CB21" s="42" t="str">
        <f>$B$21&amp;CB15&amp;"="&amp;$C$21&amp;CB15&amp;")"</f>
        <v>IF('Input Nilai Pengetahuan'!AU44="";"";'Input Nilai Pengetahuan'!AU44)</v>
      </c>
      <c r="CD21" s="42" t="str">
        <f>$B$21&amp;CD15&amp;"="&amp;$C$21&amp;CD15&amp;")"</f>
        <v>IF('Input Nilai Pengetahuan'!AU45="";"";'Input Nilai Pengetahuan'!AU45)</v>
      </c>
      <c r="CF21" s="42" t="str">
        <f>$B$21&amp;CF15&amp;"="&amp;$C$21&amp;CF15&amp;")"</f>
        <v>IF('Input Nilai Pengetahuan'!AU46="";"";'Input Nilai Pengetahuan'!AU46)</v>
      </c>
      <c r="CH21" s="42" t="str">
        <f>$B$21&amp;CH15&amp;"="&amp;$C$21&amp;CH15&amp;")"</f>
        <v>IF('Input Nilai Pengetahuan'!AU47="";"";'Input Nilai Pengetahuan'!AU47)</v>
      </c>
      <c r="CJ21" s="42" t="str">
        <f>$B$21&amp;CJ15&amp;"="&amp;$C$21&amp;CJ15&amp;")"</f>
        <v>IF('Input Nilai Pengetahuan'!AU48="";"";'Input Nilai Pengetahuan'!AU48)</v>
      </c>
      <c r="CL21" s="42" t="str">
        <f>$B$21&amp;CL15&amp;"="&amp;$C$21&amp;CL15&amp;")"</f>
        <v>IF('Input Nilai Pengetahuan'!AU49="";"";'Input Nilai Pengetahuan'!AU49)</v>
      </c>
      <c r="CN21" s="42" t="str">
        <f>$B$21&amp;CN15&amp;"="&amp;$C$21&amp;CN15&amp;")"</f>
        <v>IF('Input Nilai Pengetahuan'!AU50="";"";'Input Nilai Pengetahuan'!AU50)</v>
      </c>
      <c r="CP21" s="42" t="str">
        <f>$B$21&amp;CP15&amp;"="&amp;$C$21&amp;CP15&amp;")"</f>
        <v>IF('Input Nilai Pengetahuan'!AU51="";"";'Input Nilai Pengetahuan'!AU51)</v>
      </c>
      <c r="CR21" s="42" t="str">
        <f>$B$21&amp;CR15&amp;"="&amp;$C$21&amp;CR15&amp;")"</f>
        <v>IF('Input Nilai Pengetahuan'!AU52="";"";'Input Nilai Pengetahuan'!AU52)</v>
      </c>
    </row>
    <row r="22" spans="1:96">
      <c r="A22" s="72">
        <v>7</v>
      </c>
      <c r="B22" s="42" t="s">
        <v>403</v>
      </c>
      <c r="C22" s="42" t="s">
        <v>352</v>
      </c>
      <c r="D22" s="42" t="str">
        <f>$B$22&amp;D15&amp;"="&amp;$C$22&amp;D15&amp;")"</f>
        <v>IF('Input Nilai Pengetahuan'!BB6="";"";'Input Nilai Pengetahuan'!BB6)</v>
      </c>
      <c r="F22" s="42" t="str">
        <f>$B$22&amp;F15&amp;"="&amp;$C$22&amp;F15&amp;")"</f>
        <v>IF('Input Nilai Pengetahuan'!BB7="";"";'Input Nilai Pengetahuan'!BB7)</v>
      </c>
      <c r="H22" s="42" t="str">
        <f>$B$22&amp;H15&amp;"="&amp;$C$22&amp;H15&amp;")"</f>
        <v>IF('Input Nilai Pengetahuan'!BB8="";"";'Input Nilai Pengetahuan'!BB8)</v>
      </c>
      <c r="J22" s="42" t="str">
        <f>$B$22&amp;J15&amp;"="&amp;$C$22&amp;J15&amp;")"</f>
        <v>IF('Input Nilai Pengetahuan'!BB9="";"";'Input Nilai Pengetahuan'!BB9)</v>
      </c>
      <c r="L22" s="42" t="str">
        <f>$B$22&amp;L15&amp;"="&amp;$C$22&amp;L15&amp;")"</f>
        <v>IF('Input Nilai Pengetahuan'!BB10="";"";'Input Nilai Pengetahuan'!BB10)</v>
      </c>
      <c r="N22" s="42" t="str">
        <f>$B$22&amp;N15&amp;"="&amp;$C$22&amp;N15&amp;")"</f>
        <v>IF('Input Nilai Pengetahuan'!BB11="";"";'Input Nilai Pengetahuan'!BB11)</v>
      </c>
      <c r="P22" s="42" t="str">
        <f>$B$22&amp;P15&amp;"="&amp;$C$22&amp;P15&amp;")"</f>
        <v>IF('Input Nilai Pengetahuan'!BB12="";"";'Input Nilai Pengetahuan'!BB12)</v>
      </c>
      <c r="R22" s="42" t="str">
        <f>$B$22&amp;R15&amp;"="&amp;$C$22&amp;R15&amp;")"</f>
        <v>IF('Input Nilai Pengetahuan'!BB13="";"";'Input Nilai Pengetahuan'!BB13)</v>
      </c>
      <c r="T22" s="42" t="str">
        <f>$B$22&amp;T15&amp;"="&amp;$C$22&amp;T15&amp;")"</f>
        <v>IF('Input Nilai Pengetahuan'!BB14="";"";'Input Nilai Pengetahuan'!BB14)</v>
      </c>
      <c r="V22" s="42" t="str">
        <f>$B$22&amp;V15&amp;"="&amp;$C$22&amp;V15&amp;")"</f>
        <v>IF('Input Nilai Pengetahuan'!BB15="";"";'Input Nilai Pengetahuan'!BB15)</v>
      </c>
      <c r="X22" s="42" t="str">
        <f>$B$22&amp;X15&amp;"="&amp;$C$22&amp;X15&amp;")"</f>
        <v>IF('Input Nilai Pengetahuan'!BB16="";"";'Input Nilai Pengetahuan'!BB16)</v>
      </c>
      <c r="Z22" s="42" t="str">
        <f>$B$22&amp;Z15&amp;"="&amp;$C$22&amp;Z15&amp;")"</f>
        <v>IF('Input Nilai Pengetahuan'!BB17="";"";'Input Nilai Pengetahuan'!BB17)</v>
      </c>
      <c r="AB22" s="42" t="str">
        <f>$B$22&amp;AB15&amp;"="&amp;$C$22&amp;AB15&amp;")"</f>
        <v>IF('Input Nilai Pengetahuan'!BB18="";"";'Input Nilai Pengetahuan'!BB18)</v>
      </c>
      <c r="AD22" s="42" t="str">
        <f>$B$22&amp;AD15&amp;"="&amp;$C$22&amp;AD15&amp;")"</f>
        <v>IF('Input Nilai Pengetahuan'!BB19="";"";'Input Nilai Pengetahuan'!BB19)</v>
      </c>
      <c r="AF22" s="42" t="str">
        <f>$B$22&amp;AF15&amp;"="&amp;$C$22&amp;AF15&amp;")"</f>
        <v>IF('Input Nilai Pengetahuan'!BB20="";"";'Input Nilai Pengetahuan'!BB20)</v>
      </c>
      <c r="AH22" s="42" t="str">
        <f>$B$22&amp;AH15&amp;"="&amp;$C$22&amp;AH15&amp;")"</f>
        <v>IF('Input Nilai Pengetahuan'!BB21="";"";'Input Nilai Pengetahuan'!BB21)</v>
      </c>
      <c r="AJ22" s="42" t="str">
        <f>$B$22&amp;AJ15&amp;"="&amp;$C$22&amp;AJ15&amp;")"</f>
        <v>IF('Input Nilai Pengetahuan'!BB22="";"";'Input Nilai Pengetahuan'!BB22)</v>
      </c>
      <c r="AL22" s="42" t="str">
        <f>$B$22&amp;AL15&amp;"="&amp;$C$22&amp;AL15&amp;")"</f>
        <v>IF('Input Nilai Pengetahuan'!BB23="";"";'Input Nilai Pengetahuan'!BB23)</v>
      </c>
      <c r="AN22" s="42" t="str">
        <f>$B$22&amp;AN15&amp;"="&amp;$C$22&amp;AN15&amp;")"</f>
        <v>IF('Input Nilai Pengetahuan'!BB24="";"";'Input Nilai Pengetahuan'!BB24)</v>
      </c>
      <c r="AP22" s="42" t="str">
        <f>$B$22&amp;AP15&amp;"="&amp;$C$22&amp;AP15&amp;")"</f>
        <v>IF('Input Nilai Pengetahuan'!BB25="";"";'Input Nilai Pengetahuan'!BB25)</v>
      </c>
      <c r="AR22" s="42" t="str">
        <f>$B$22&amp;AR15&amp;"="&amp;$C$22&amp;AR15&amp;")"</f>
        <v>IF('Input Nilai Pengetahuan'!BB26="";"";'Input Nilai Pengetahuan'!BB26)</v>
      </c>
      <c r="AT22" s="42" t="str">
        <f>$B$22&amp;AT15&amp;"="&amp;$C$22&amp;AT15&amp;")"</f>
        <v>IF('Input Nilai Pengetahuan'!BB27="";"";'Input Nilai Pengetahuan'!BB27)</v>
      </c>
      <c r="AV22" s="42" t="str">
        <f>$B$22&amp;AV15&amp;"="&amp;$C$22&amp;AV15&amp;")"</f>
        <v>IF('Input Nilai Pengetahuan'!BB28="";"";'Input Nilai Pengetahuan'!BB28)</v>
      </c>
      <c r="AX22" s="42" t="str">
        <f>$B$22&amp;AX15&amp;"="&amp;$C$22&amp;AX15&amp;")"</f>
        <v>IF('Input Nilai Pengetahuan'!BB29="";"";'Input Nilai Pengetahuan'!BB29)</v>
      </c>
      <c r="AZ22" s="42" t="str">
        <f>$B$22&amp;AZ15&amp;"="&amp;$C$22&amp;AZ15&amp;")"</f>
        <v>IF('Input Nilai Pengetahuan'!BB30="";"";'Input Nilai Pengetahuan'!BB30)</v>
      </c>
      <c r="BB22" s="42" t="str">
        <f>$B$22&amp;BB15&amp;"="&amp;$C$22&amp;BB15&amp;")"</f>
        <v>IF('Input Nilai Pengetahuan'!BB31="";"";'Input Nilai Pengetahuan'!BB31)</v>
      </c>
      <c r="BD22" s="42" t="str">
        <f>$B$22&amp;BD15&amp;"="&amp;$C$22&amp;BD15&amp;")"</f>
        <v>IF('Input Nilai Pengetahuan'!BB32="";"";'Input Nilai Pengetahuan'!BB32)</v>
      </c>
      <c r="BF22" s="42" t="str">
        <f>$B$22&amp;BF15&amp;"="&amp;$C$22&amp;BF15&amp;")"</f>
        <v>IF('Input Nilai Pengetahuan'!BB33="";"";'Input Nilai Pengetahuan'!BB33)</v>
      </c>
      <c r="BH22" s="42" t="str">
        <f>$B$22&amp;BH15&amp;"="&amp;$C$22&amp;BH15&amp;")"</f>
        <v>IF('Input Nilai Pengetahuan'!BB34="";"";'Input Nilai Pengetahuan'!BB34)</v>
      </c>
      <c r="BJ22" s="42" t="str">
        <f>$B$22&amp;BJ15&amp;"="&amp;$C$22&amp;BJ15&amp;")"</f>
        <v>IF('Input Nilai Pengetahuan'!BB35="";"";'Input Nilai Pengetahuan'!BB35)</v>
      </c>
      <c r="BL22" s="42" t="str">
        <f>$B$22&amp;BL15&amp;"="&amp;$C$22&amp;BL15&amp;")"</f>
        <v>IF('Input Nilai Pengetahuan'!BB36="";"";'Input Nilai Pengetahuan'!BB36)</v>
      </c>
      <c r="BN22" s="42" t="str">
        <f>$B$22&amp;BN15&amp;"="&amp;$C$22&amp;BN15&amp;")"</f>
        <v>IF('Input Nilai Pengetahuan'!BB37="";"";'Input Nilai Pengetahuan'!BB37)</v>
      </c>
      <c r="BP22" s="42" t="str">
        <f>$B$22&amp;BP15&amp;"="&amp;$C$22&amp;BP15&amp;")"</f>
        <v>IF('Input Nilai Pengetahuan'!BB38="";"";'Input Nilai Pengetahuan'!BB38)</v>
      </c>
      <c r="BR22" s="42" t="str">
        <f>$B$22&amp;BR15&amp;"="&amp;$C$22&amp;BR15&amp;")"</f>
        <v>IF('Input Nilai Pengetahuan'!BB39="";"";'Input Nilai Pengetahuan'!BB39)</v>
      </c>
      <c r="BT22" s="42" t="str">
        <f>$B$22&amp;BT15&amp;"="&amp;$C$22&amp;BT15&amp;")"</f>
        <v>IF('Input Nilai Pengetahuan'!BB40="";"";'Input Nilai Pengetahuan'!BB40)</v>
      </c>
      <c r="BV22" s="42" t="str">
        <f>$B$22&amp;BV15&amp;"="&amp;$C$22&amp;BV15&amp;")"</f>
        <v>IF('Input Nilai Pengetahuan'!BB41="";"";'Input Nilai Pengetahuan'!BB41)</v>
      </c>
      <c r="BX22" s="42" t="str">
        <f>$B$22&amp;BX15&amp;"="&amp;$C$22&amp;BX15&amp;")"</f>
        <v>IF('Input Nilai Pengetahuan'!BB42="";"";'Input Nilai Pengetahuan'!BB42)</v>
      </c>
      <c r="BZ22" s="42" t="str">
        <f>$B$22&amp;BZ15&amp;"="&amp;$C$22&amp;BZ15&amp;")"</f>
        <v>IF('Input Nilai Pengetahuan'!BB43="";"";'Input Nilai Pengetahuan'!BB43)</v>
      </c>
      <c r="CB22" s="42" t="str">
        <f>$B$22&amp;CB15&amp;"="&amp;$C$22&amp;CB15&amp;")"</f>
        <v>IF('Input Nilai Pengetahuan'!BB44="";"";'Input Nilai Pengetahuan'!BB44)</v>
      </c>
      <c r="CD22" s="42" t="str">
        <f>$B$22&amp;CD15&amp;"="&amp;$C$22&amp;CD15&amp;")"</f>
        <v>IF('Input Nilai Pengetahuan'!BB45="";"";'Input Nilai Pengetahuan'!BB45)</v>
      </c>
      <c r="CF22" s="42" t="str">
        <f>$B$22&amp;CF15&amp;"="&amp;$C$22&amp;CF15&amp;")"</f>
        <v>IF('Input Nilai Pengetahuan'!BB46="";"";'Input Nilai Pengetahuan'!BB46)</v>
      </c>
      <c r="CH22" s="42" t="str">
        <f>$B$22&amp;CH15&amp;"="&amp;$C$22&amp;CH15&amp;")"</f>
        <v>IF('Input Nilai Pengetahuan'!BB47="";"";'Input Nilai Pengetahuan'!BB47)</v>
      </c>
      <c r="CJ22" s="42" t="str">
        <f>$B$22&amp;CJ15&amp;"="&amp;$C$22&amp;CJ15&amp;")"</f>
        <v>IF('Input Nilai Pengetahuan'!BB48="";"";'Input Nilai Pengetahuan'!BB48)</v>
      </c>
      <c r="CL22" s="42" t="str">
        <f>$B$22&amp;CL15&amp;"="&amp;$C$22&amp;CL15&amp;")"</f>
        <v>IF('Input Nilai Pengetahuan'!BB49="";"";'Input Nilai Pengetahuan'!BB49)</v>
      </c>
      <c r="CN22" s="42" t="str">
        <f>$B$22&amp;CN15&amp;"="&amp;$C$22&amp;CN15&amp;")"</f>
        <v>IF('Input Nilai Pengetahuan'!BB50="";"";'Input Nilai Pengetahuan'!BB50)</v>
      </c>
      <c r="CP22" s="42" t="str">
        <f>$B$22&amp;CP15&amp;"="&amp;$C$22&amp;CP15&amp;")"</f>
        <v>IF('Input Nilai Pengetahuan'!BB51="";"";'Input Nilai Pengetahuan'!BB51)</v>
      </c>
      <c r="CR22" s="42" t="str">
        <f>$B$22&amp;CR15&amp;"="&amp;$C$22&amp;CR15&amp;")"</f>
        <v>IF('Input Nilai Pengetahuan'!BB52="";"";'Input Nilai Pengetahuan'!BB52)</v>
      </c>
    </row>
    <row r="23" spans="1:96">
      <c r="A23" s="72">
        <v>8</v>
      </c>
      <c r="B23" s="42" t="s">
        <v>343</v>
      </c>
      <c r="C23" s="42" t="s">
        <v>353</v>
      </c>
      <c r="D23" s="42" t="str">
        <f>$B$23&amp;D15&amp;"="&amp;$C$23&amp;D15&amp;")"</f>
        <v>IF('Input Nilai Pengetahuan'!BI6="";"";'Input Nilai Pengetahuan'!BI6)</v>
      </c>
      <c r="F23" s="42" t="str">
        <f>$B$23&amp;F15&amp;"="&amp;$C$23&amp;F15&amp;")"</f>
        <v>IF('Input Nilai Pengetahuan'!BI7="";"";'Input Nilai Pengetahuan'!BI7)</v>
      </c>
      <c r="H23" s="42" t="str">
        <f>$B$23&amp;H15&amp;"="&amp;$C$23&amp;H15&amp;")"</f>
        <v>IF('Input Nilai Pengetahuan'!BI8="";"";'Input Nilai Pengetahuan'!BI8)</v>
      </c>
      <c r="J23" s="42" t="str">
        <f>$B$23&amp;J15&amp;"="&amp;$C$23&amp;J15&amp;")"</f>
        <v>IF('Input Nilai Pengetahuan'!BI9="";"";'Input Nilai Pengetahuan'!BI9)</v>
      </c>
      <c r="L23" s="42" t="str">
        <f>$B$23&amp;L15&amp;"="&amp;$C$23&amp;L15&amp;")"</f>
        <v>IF('Input Nilai Pengetahuan'!BI10="";"";'Input Nilai Pengetahuan'!BI10)</v>
      </c>
      <c r="N23" s="42" t="str">
        <f>$B$23&amp;N15&amp;"="&amp;$C$23&amp;N15&amp;")"</f>
        <v>IF('Input Nilai Pengetahuan'!BI11="";"";'Input Nilai Pengetahuan'!BI11)</v>
      </c>
      <c r="P23" s="42" t="str">
        <f>$B$23&amp;P15&amp;"="&amp;$C$23&amp;P15&amp;")"</f>
        <v>IF('Input Nilai Pengetahuan'!BI12="";"";'Input Nilai Pengetahuan'!BI12)</v>
      </c>
      <c r="R23" s="42" t="str">
        <f>$B$23&amp;R15&amp;"="&amp;$C$23&amp;R15&amp;")"</f>
        <v>IF('Input Nilai Pengetahuan'!BI13="";"";'Input Nilai Pengetahuan'!BI13)</v>
      </c>
      <c r="T23" s="42" t="str">
        <f>$B$23&amp;T15&amp;"="&amp;$C$23&amp;T15&amp;")"</f>
        <v>IF('Input Nilai Pengetahuan'!BI14="";"";'Input Nilai Pengetahuan'!BI14)</v>
      </c>
      <c r="V23" s="42" t="str">
        <f>$B$23&amp;V15&amp;"="&amp;$C$23&amp;V15&amp;")"</f>
        <v>IF('Input Nilai Pengetahuan'!BI15="";"";'Input Nilai Pengetahuan'!BI15)</v>
      </c>
      <c r="X23" s="42" t="str">
        <f>$B$23&amp;X15&amp;"="&amp;$C$23&amp;X15&amp;")"</f>
        <v>IF('Input Nilai Pengetahuan'!BI16="";"";'Input Nilai Pengetahuan'!BI16)</v>
      </c>
      <c r="Z23" s="42" t="str">
        <f>$B$23&amp;Z15&amp;"="&amp;$C$23&amp;Z15&amp;")"</f>
        <v>IF('Input Nilai Pengetahuan'!BI17="";"";'Input Nilai Pengetahuan'!BI17)</v>
      </c>
      <c r="AB23" s="42" t="str">
        <f>$B$23&amp;AB15&amp;"="&amp;$C$23&amp;AB15&amp;")"</f>
        <v>IF('Input Nilai Pengetahuan'!BI18="";"";'Input Nilai Pengetahuan'!BI18)</v>
      </c>
      <c r="AD23" s="42" t="str">
        <f>$B$23&amp;AD15&amp;"="&amp;$C$23&amp;AD15&amp;")"</f>
        <v>IF('Input Nilai Pengetahuan'!BI19="";"";'Input Nilai Pengetahuan'!BI19)</v>
      </c>
      <c r="AF23" s="42" t="str">
        <f>$B$23&amp;AF15&amp;"="&amp;$C$23&amp;AF15&amp;")"</f>
        <v>IF('Input Nilai Pengetahuan'!BI20="";"";'Input Nilai Pengetahuan'!BI20)</v>
      </c>
      <c r="AH23" s="42" t="str">
        <f>$B$23&amp;AH15&amp;"="&amp;$C$23&amp;AH15&amp;")"</f>
        <v>IF('Input Nilai Pengetahuan'!BI21="";"";'Input Nilai Pengetahuan'!BI21)</v>
      </c>
      <c r="AJ23" s="42" t="str">
        <f>$B$23&amp;AJ15&amp;"="&amp;$C$23&amp;AJ15&amp;")"</f>
        <v>IF('Input Nilai Pengetahuan'!BI22="";"";'Input Nilai Pengetahuan'!BI22)</v>
      </c>
      <c r="AL23" s="42" t="str">
        <f>$B$23&amp;AL15&amp;"="&amp;$C$23&amp;AL15&amp;")"</f>
        <v>IF('Input Nilai Pengetahuan'!BI23="";"";'Input Nilai Pengetahuan'!BI23)</v>
      </c>
      <c r="AN23" s="42" t="str">
        <f>$B$23&amp;AN15&amp;"="&amp;$C$23&amp;AN15&amp;")"</f>
        <v>IF('Input Nilai Pengetahuan'!BI24="";"";'Input Nilai Pengetahuan'!BI24)</v>
      </c>
      <c r="AP23" s="42" t="str">
        <f>$B$23&amp;AP15&amp;"="&amp;$C$23&amp;AP15&amp;")"</f>
        <v>IF('Input Nilai Pengetahuan'!BI25="";"";'Input Nilai Pengetahuan'!BI25)</v>
      </c>
      <c r="AR23" s="42" t="str">
        <f>$B$23&amp;AR15&amp;"="&amp;$C$23&amp;AR15&amp;")"</f>
        <v>IF('Input Nilai Pengetahuan'!BI26="";"";'Input Nilai Pengetahuan'!BI26)</v>
      </c>
      <c r="AT23" s="42" t="str">
        <f>$B$23&amp;AT15&amp;"="&amp;$C$23&amp;AT15&amp;")"</f>
        <v>IF('Input Nilai Pengetahuan'!BI27="";"";'Input Nilai Pengetahuan'!BI27)</v>
      </c>
      <c r="AV23" s="42" t="str">
        <f>$B$23&amp;AV15&amp;"="&amp;$C$23&amp;AV15&amp;")"</f>
        <v>IF('Input Nilai Pengetahuan'!BI28="";"";'Input Nilai Pengetahuan'!BI28)</v>
      </c>
      <c r="AX23" s="42" t="str">
        <f>$B$23&amp;AX15&amp;"="&amp;$C$23&amp;AX15&amp;")"</f>
        <v>IF('Input Nilai Pengetahuan'!BI29="";"";'Input Nilai Pengetahuan'!BI29)</v>
      </c>
      <c r="AZ23" s="42" t="str">
        <f>$B$23&amp;AZ15&amp;"="&amp;$C$23&amp;AZ15&amp;")"</f>
        <v>IF('Input Nilai Pengetahuan'!BI30="";"";'Input Nilai Pengetahuan'!BI30)</v>
      </c>
      <c r="BB23" s="42" t="str">
        <f>$B$23&amp;BB15&amp;"="&amp;$C$23&amp;BB15&amp;")"</f>
        <v>IF('Input Nilai Pengetahuan'!BI31="";"";'Input Nilai Pengetahuan'!BI31)</v>
      </c>
      <c r="BD23" s="42" t="str">
        <f>$B$23&amp;BD15&amp;"="&amp;$C$23&amp;BD15&amp;")"</f>
        <v>IF('Input Nilai Pengetahuan'!BI32="";"";'Input Nilai Pengetahuan'!BI32)</v>
      </c>
      <c r="BF23" s="42" t="str">
        <f>$B$23&amp;BF15&amp;"="&amp;$C$23&amp;BF15&amp;")"</f>
        <v>IF('Input Nilai Pengetahuan'!BI33="";"";'Input Nilai Pengetahuan'!BI33)</v>
      </c>
      <c r="BH23" s="42" t="str">
        <f>$B$23&amp;BH15&amp;"="&amp;$C$23&amp;BH15&amp;")"</f>
        <v>IF('Input Nilai Pengetahuan'!BI34="";"";'Input Nilai Pengetahuan'!BI34)</v>
      </c>
      <c r="BJ23" s="42" t="str">
        <f>$B$23&amp;BJ15&amp;"="&amp;$C$23&amp;BJ15&amp;")"</f>
        <v>IF('Input Nilai Pengetahuan'!BI35="";"";'Input Nilai Pengetahuan'!BI35)</v>
      </c>
      <c r="BL23" s="42" t="str">
        <f>$B$23&amp;BL15&amp;"="&amp;$C$23&amp;BL15&amp;")"</f>
        <v>IF('Input Nilai Pengetahuan'!BI36="";"";'Input Nilai Pengetahuan'!BI36)</v>
      </c>
      <c r="BN23" s="42" t="str">
        <f>$B$23&amp;BN15&amp;"="&amp;$C$23&amp;BN15&amp;")"</f>
        <v>IF('Input Nilai Pengetahuan'!BI37="";"";'Input Nilai Pengetahuan'!BI37)</v>
      </c>
      <c r="BP23" s="42" t="str">
        <f>$B$23&amp;BP15&amp;"="&amp;$C$23&amp;BP15&amp;")"</f>
        <v>IF('Input Nilai Pengetahuan'!BI38="";"";'Input Nilai Pengetahuan'!BI38)</v>
      </c>
      <c r="BR23" s="42" t="str">
        <f>$B$23&amp;BR15&amp;"="&amp;$C$23&amp;BR15&amp;")"</f>
        <v>IF('Input Nilai Pengetahuan'!BI39="";"";'Input Nilai Pengetahuan'!BI39)</v>
      </c>
      <c r="BT23" s="42" t="str">
        <f>$B$23&amp;BT15&amp;"="&amp;$C$23&amp;BT15&amp;")"</f>
        <v>IF('Input Nilai Pengetahuan'!BI40="";"";'Input Nilai Pengetahuan'!BI40)</v>
      </c>
      <c r="BV23" s="42" t="str">
        <f>$B$23&amp;BV15&amp;"="&amp;$C$23&amp;BV15&amp;")"</f>
        <v>IF('Input Nilai Pengetahuan'!BI41="";"";'Input Nilai Pengetahuan'!BI41)</v>
      </c>
      <c r="BX23" s="42" t="str">
        <f>$B$23&amp;BX15&amp;"="&amp;$C$23&amp;BX15&amp;")"</f>
        <v>IF('Input Nilai Pengetahuan'!BI42="";"";'Input Nilai Pengetahuan'!BI42)</v>
      </c>
      <c r="BZ23" s="42" t="str">
        <f>$B$23&amp;BZ15&amp;"="&amp;$C$23&amp;BZ15&amp;")"</f>
        <v>IF('Input Nilai Pengetahuan'!BI43="";"";'Input Nilai Pengetahuan'!BI43)</v>
      </c>
      <c r="CB23" s="42" t="str">
        <f>$B$23&amp;CB15&amp;"="&amp;$C$23&amp;CB15&amp;")"</f>
        <v>IF('Input Nilai Pengetahuan'!BI44="";"";'Input Nilai Pengetahuan'!BI44)</v>
      </c>
      <c r="CD23" s="42" t="str">
        <f>$B$23&amp;CD15&amp;"="&amp;$C$23&amp;CD15&amp;")"</f>
        <v>IF('Input Nilai Pengetahuan'!BI45="";"";'Input Nilai Pengetahuan'!BI45)</v>
      </c>
      <c r="CF23" s="42" t="str">
        <f>$B$23&amp;CF15&amp;"="&amp;$C$23&amp;CF15&amp;")"</f>
        <v>IF('Input Nilai Pengetahuan'!BI46="";"";'Input Nilai Pengetahuan'!BI46)</v>
      </c>
      <c r="CH23" s="42" t="str">
        <f>$B$23&amp;CH15&amp;"="&amp;$C$23&amp;CH15&amp;")"</f>
        <v>IF('Input Nilai Pengetahuan'!BI47="";"";'Input Nilai Pengetahuan'!BI47)</v>
      </c>
      <c r="CJ23" s="42" t="str">
        <f>$B$23&amp;CJ15&amp;"="&amp;$C$23&amp;CJ15&amp;")"</f>
        <v>IF('Input Nilai Pengetahuan'!BI48="";"";'Input Nilai Pengetahuan'!BI48)</v>
      </c>
      <c r="CL23" s="42" t="str">
        <f>$B$23&amp;CL15&amp;"="&amp;$C$23&amp;CL15&amp;")"</f>
        <v>IF('Input Nilai Pengetahuan'!BI49="";"";'Input Nilai Pengetahuan'!BI49)</v>
      </c>
      <c r="CN23" s="42" t="str">
        <f>$B$23&amp;CN15&amp;"="&amp;$C$23&amp;CN15&amp;")"</f>
        <v>IF('Input Nilai Pengetahuan'!BI50="";"";'Input Nilai Pengetahuan'!BI50)</v>
      </c>
      <c r="CP23" s="42" t="str">
        <f>$B$23&amp;CP15&amp;"="&amp;$C$23&amp;CP15&amp;")"</f>
        <v>IF('Input Nilai Pengetahuan'!BI51="";"";'Input Nilai Pengetahuan'!BI51)</v>
      </c>
      <c r="CR23" s="42" t="str">
        <f>$B$23&amp;CR15&amp;"="&amp;$C$23&amp;CR15&amp;")"</f>
        <v>IF('Input Nilai Pengetahuan'!BI52="";"";'Input Nilai Pengetahuan'!BI52)</v>
      </c>
    </row>
    <row r="24" spans="1:96">
      <c r="A24" s="72">
        <v>9</v>
      </c>
      <c r="B24" s="42" t="s">
        <v>344</v>
      </c>
      <c r="C24" s="42" t="s">
        <v>354</v>
      </c>
      <c r="D24" s="42" t="str">
        <f>$B$24&amp;D15&amp;"="&amp;$C$24&amp;D15&amp;")"</f>
        <v>IF('Input Nilai Pengetahuan'!BP6="";"";'Input Nilai Pengetahuan'!BP6)</v>
      </c>
      <c r="F24" s="42" t="str">
        <f>$B$24&amp;F15&amp;"="&amp;$C$24&amp;F15&amp;")"</f>
        <v>IF('Input Nilai Pengetahuan'!BP7="";"";'Input Nilai Pengetahuan'!BP7)</v>
      </c>
      <c r="H24" s="42" t="str">
        <f>$B$24&amp;H15&amp;"="&amp;$C$24&amp;H15&amp;")"</f>
        <v>IF('Input Nilai Pengetahuan'!BP8="";"";'Input Nilai Pengetahuan'!BP8)</v>
      </c>
      <c r="J24" s="42" t="str">
        <f>$B$24&amp;J15&amp;"="&amp;$C$24&amp;J15&amp;")"</f>
        <v>IF('Input Nilai Pengetahuan'!BP9="";"";'Input Nilai Pengetahuan'!BP9)</v>
      </c>
      <c r="L24" s="42" t="str">
        <f>$B$24&amp;L15&amp;"="&amp;$C$24&amp;L15&amp;")"</f>
        <v>IF('Input Nilai Pengetahuan'!BP10="";"";'Input Nilai Pengetahuan'!BP10)</v>
      </c>
      <c r="N24" s="42" t="str">
        <f>$B$24&amp;N15&amp;"="&amp;$C$24&amp;N15&amp;")"</f>
        <v>IF('Input Nilai Pengetahuan'!BP11="";"";'Input Nilai Pengetahuan'!BP11)</v>
      </c>
      <c r="P24" s="42" t="str">
        <f>$B$24&amp;P15&amp;"="&amp;$C$24&amp;P15&amp;")"</f>
        <v>IF('Input Nilai Pengetahuan'!BP12="";"";'Input Nilai Pengetahuan'!BP12)</v>
      </c>
      <c r="R24" s="42" t="str">
        <f>$B$24&amp;R15&amp;"="&amp;$C$24&amp;R15&amp;")"</f>
        <v>IF('Input Nilai Pengetahuan'!BP13="";"";'Input Nilai Pengetahuan'!BP13)</v>
      </c>
      <c r="T24" s="42" t="str">
        <f>$B$24&amp;T15&amp;"="&amp;$C$24&amp;T15&amp;")"</f>
        <v>IF('Input Nilai Pengetahuan'!BP14="";"";'Input Nilai Pengetahuan'!BP14)</v>
      </c>
      <c r="V24" s="42" t="str">
        <f>$B$24&amp;V15&amp;"="&amp;$C$24&amp;V15&amp;")"</f>
        <v>IF('Input Nilai Pengetahuan'!BP15="";"";'Input Nilai Pengetahuan'!BP15)</v>
      </c>
      <c r="X24" s="42" t="str">
        <f>$B$24&amp;X15&amp;"="&amp;$C$24&amp;X15&amp;")"</f>
        <v>IF('Input Nilai Pengetahuan'!BP16="";"";'Input Nilai Pengetahuan'!BP16)</v>
      </c>
      <c r="Z24" s="42" t="str">
        <f>$B$24&amp;Z15&amp;"="&amp;$C$24&amp;Z15&amp;")"</f>
        <v>IF('Input Nilai Pengetahuan'!BP17="";"";'Input Nilai Pengetahuan'!BP17)</v>
      </c>
      <c r="AB24" s="42" t="str">
        <f>$B$24&amp;AB15&amp;"="&amp;$C$24&amp;AB15&amp;")"</f>
        <v>IF('Input Nilai Pengetahuan'!BP18="";"";'Input Nilai Pengetahuan'!BP18)</v>
      </c>
      <c r="AD24" s="42" t="str">
        <f>$B$24&amp;AD15&amp;"="&amp;$C$24&amp;AD15&amp;")"</f>
        <v>IF('Input Nilai Pengetahuan'!BP19="";"";'Input Nilai Pengetahuan'!BP19)</v>
      </c>
      <c r="AF24" s="42" t="str">
        <f>$B$24&amp;AF15&amp;"="&amp;$C$24&amp;AF15&amp;")"</f>
        <v>IF('Input Nilai Pengetahuan'!BP20="";"";'Input Nilai Pengetahuan'!BP20)</v>
      </c>
      <c r="AH24" s="42" t="str">
        <f>$B$24&amp;AH15&amp;"="&amp;$C$24&amp;AH15&amp;")"</f>
        <v>IF('Input Nilai Pengetahuan'!BP21="";"";'Input Nilai Pengetahuan'!BP21)</v>
      </c>
      <c r="AJ24" s="42" t="str">
        <f>$B$24&amp;AJ15&amp;"="&amp;$C$24&amp;AJ15&amp;")"</f>
        <v>IF('Input Nilai Pengetahuan'!BP22="";"";'Input Nilai Pengetahuan'!BP22)</v>
      </c>
      <c r="AL24" s="42" t="str">
        <f>$B$24&amp;AL15&amp;"="&amp;$C$24&amp;AL15&amp;")"</f>
        <v>IF('Input Nilai Pengetahuan'!BP23="";"";'Input Nilai Pengetahuan'!BP23)</v>
      </c>
      <c r="AN24" s="42" t="str">
        <f>$B$24&amp;AN15&amp;"="&amp;$C$24&amp;AN15&amp;")"</f>
        <v>IF('Input Nilai Pengetahuan'!BP24="";"";'Input Nilai Pengetahuan'!BP24)</v>
      </c>
      <c r="AP24" s="42" t="str">
        <f>$B$24&amp;AP15&amp;"="&amp;$C$24&amp;AP15&amp;")"</f>
        <v>IF('Input Nilai Pengetahuan'!BP25="";"";'Input Nilai Pengetahuan'!BP25)</v>
      </c>
      <c r="AR24" s="42" t="str">
        <f>$B$24&amp;AR15&amp;"="&amp;$C$24&amp;AR15&amp;")"</f>
        <v>IF('Input Nilai Pengetahuan'!BP26="";"";'Input Nilai Pengetahuan'!BP26)</v>
      </c>
      <c r="AT24" s="42" t="str">
        <f>$B$24&amp;AT15&amp;"="&amp;$C$24&amp;AT15&amp;")"</f>
        <v>IF('Input Nilai Pengetahuan'!BP27="";"";'Input Nilai Pengetahuan'!BP27)</v>
      </c>
      <c r="AV24" s="42" t="str">
        <f>$B$24&amp;AV15&amp;"="&amp;$C$24&amp;AV15&amp;")"</f>
        <v>IF('Input Nilai Pengetahuan'!BP28="";"";'Input Nilai Pengetahuan'!BP28)</v>
      </c>
      <c r="AX24" s="42" t="str">
        <f>$B$24&amp;AX15&amp;"="&amp;$C$24&amp;AX15&amp;")"</f>
        <v>IF('Input Nilai Pengetahuan'!BP29="";"";'Input Nilai Pengetahuan'!BP29)</v>
      </c>
      <c r="AZ24" s="42" t="str">
        <f>$B$24&amp;AZ15&amp;"="&amp;$C$24&amp;AZ15&amp;")"</f>
        <v>IF('Input Nilai Pengetahuan'!BP30="";"";'Input Nilai Pengetahuan'!BP30)</v>
      </c>
      <c r="BB24" s="42" t="str">
        <f>$B$24&amp;BB15&amp;"="&amp;$C$24&amp;BB15&amp;")"</f>
        <v>IF('Input Nilai Pengetahuan'!BP31="";"";'Input Nilai Pengetahuan'!BP31)</v>
      </c>
      <c r="BD24" s="42" t="str">
        <f>$B$24&amp;BD15&amp;"="&amp;$C$24&amp;BD15&amp;")"</f>
        <v>IF('Input Nilai Pengetahuan'!BP32="";"";'Input Nilai Pengetahuan'!BP32)</v>
      </c>
      <c r="BF24" s="42" t="str">
        <f>$B$24&amp;BF15&amp;"="&amp;$C$24&amp;BF15&amp;")"</f>
        <v>IF('Input Nilai Pengetahuan'!BP33="";"";'Input Nilai Pengetahuan'!BP33)</v>
      </c>
      <c r="BH24" s="42" t="str">
        <f>$B$24&amp;BH15&amp;"="&amp;$C$24&amp;BH15&amp;")"</f>
        <v>IF('Input Nilai Pengetahuan'!BP34="";"";'Input Nilai Pengetahuan'!BP34)</v>
      </c>
      <c r="BJ24" s="42" t="str">
        <f>$B$24&amp;BJ15&amp;"="&amp;$C$24&amp;BJ15&amp;")"</f>
        <v>IF('Input Nilai Pengetahuan'!BP35="";"";'Input Nilai Pengetahuan'!BP35)</v>
      </c>
      <c r="BL24" s="42" t="str">
        <f>$B$24&amp;BL15&amp;"="&amp;$C$24&amp;BL15&amp;")"</f>
        <v>IF('Input Nilai Pengetahuan'!BP36="";"";'Input Nilai Pengetahuan'!BP36)</v>
      </c>
      <c r="BN24" s="42" t="str">
        <f>$B$24&amp;BN15&amp;"="&amp;$C$24&amp;BN15&amp;")"</f>
        <v>IF('Input Nilai Pengetahuan'!BP37="";"";'Input Nilai Pengetahuan'!BP37)</v>
      </c>
      <c r="BP24" s="42" t="str">
        <f>$B$24&amp;BP15&amp;"="&amp;$C$24&amp;BP15&amp;")"</f>
        <v>IF('Input Nilai Pengetahuan'!BP38="";"";'Input Nilai Pengetahuan'!BP38)</v>
      </c>
      <c r="BR24" s="42" t="str">
        <f>$B$24&amp;BR15&amp;"="&amp;$C$24&amp;BR15&amp;")"</f>
        <v>IF('Input Nilai Pengetahuan'!BP39="";"";'Input Nilai Pengetahuan'!BP39)</v>
      </c>
      <c r="BT24" s="42" t="str">
        <f>$B$24&amp;BT15&amp;"="&amp;$C$24&amp;BT15&amp;")"</f>
        <v>IF('Input Nilai Pengetahuan'!BP40="";"";'Input Nilai Pengetahuan'!BP40)</v>
      </c>
      <c r="BV24" s="42" t="str">
        <f>$B$24&amp;BV15&amp;"="&amp;$C$24&amp;BV15&amp;")"</f>
        <v>IF('Input Nilai Pengetahuan'!BP41="";"";'Input Nilai Pengetahuan'!BP41)</v>
      </c>
      <c r="BX24" s="42" t="str">
        <f>$B$24&amp;BX15&amp;"="&amp;$C$24&amp;BX15&amp;")"</f>
        <v>IF('Input Nilai Pengetahuan'!BP42="";"";'Input Nilai Pengetahuan'!BP42)</v>
      </c>
      <c r="BZ24" s="42" t="str">
        <f>$B$24&amp;BZ15&amp;"="&amp;$C$24&amp;BZ15&amp;")"</f>
        <v>IF('Input Nilai Pengetahuan'!BP43="";"";'Input Nilai Pengetahuan'!BP43)</v>
      </c>
      <c r="CB24" s="42" t="str">
        <f>$B$24&amp;CB15&amp;"="&amp;$C$24&amp;CB15&amp;")"</f>
        <v>IF('Input Nilai Pengetahuan'!BP44="";"";'Input Nilai Pengetahuan'!BP44)</v>
      </c>
      <c r="CD24" s="42" t="str">
        <f>$B$24&amp;CD15&amp;"="&amp;$C$24&amp;CD15&amp;")"</f>
        <v>IF('Input Nilai Pengetahuan'!BP45="";"";'Input Nilai Pengetahuan'!BP45)</v>
      </c>
      <c r="CF24" s="42" t="str">
        <f>$B$24&amp;CF15&amp;"="&amp;$C$24&amp;CF15&amp;")"</f>
        <v>IF('Input Nilai Pengetahuan'!BP46="";"";'Input Nilai Pengetahuan'!BP46)</v>
      </c>
      <c r="CH24" s="42" t="str">
        <f>$B$24&amp;CH15&amp;"="&amp;$C$24&amp;CH15&amp;")"</f>
        <v>IF('Input Nilai Pengetahuan'!BP47="";"";'Input Nilai Pengetahuan'!BP47)</v>
      </c>
      <c r="CJ24" s="42" t="str">
        <f>$B$24&amp;CJ15&amp;"="&amp;$C$24&amp;CJ15&amp;")"</f>
        <v>IF('Input Nilai Pengetahuan'!BP48="";"";'Input Nilai Pengetahuan'!BP48)</v>
      </c>
      <c r="CL24" s="42" t="str">
        <f>$B$24&amp;CL15&amp;"="&amp;$C$24&amp;CL15&amp;")"</f>
        <v>IF('Input Nilai Pengetahuan'!BP49="";"";'Input Nilai Pengetahuan'!BP49)</v>
      </c>
      <c r="CN24" s="42" t="str">
        <f>$B$24&amp;CN15&amp;"="&amp;$C$24&amp;CN15&amp;")"</f>
        <v>IF('Input Nilai Pengetahuan'!BP50="";"";'Input Nilai Pengetahuan'!BP50)</v>
      </c>
      <c r="CP24" s="42" t="str">
        <f>$B$24&amp;CP15&amp;"="&amp;$C$24&amp;CP15&amp;")"</f>
        <v>IF('Input Nilai Pengetahuan'!BP51="";"";'Input Nilai Pengetahuan'!BP51)</v>
      </c>
      <c r="CR24" s="42" t="str">
        <f>$B$24&amp;CR15&amp;"="&amp;$C$24&amp;CR15&amp;")"</f>
        <v>IF('Input Nilai Pengetahuan'!BP52="";"";'Input Nilai Pengetahuan'!BP52)</v>
      </c>
    </row>
    <row r="25" spans="1:96">
      <c r="A25" s="72">
        <v>10</v>
      </c>
      <c r="B25" s="42" t="s">
        <v>345</v>
      </c>
      <c r="C25" s="42" t="s">
        <v>355</v>
      </c>
      <c r="D25" s="42" t="str">
        <f>$B$25&amp;D15&amp;"="&amp;$C$25&amp;D15&amp;")"</f>
        <v>IF('Input Nilai Pengetahuan'!BW6="";"";'Input Nilai Pengetahuan'!BW6)</v>
      </c>
      <c r="F25" s="42" t="str">
        <f>$B$25&amp;F15&amp;"="&amp;$C$25&amp;F15&amp;")"</f>
        <v>IF('Input Nilai Pengetahuan'!BW7="";"";'Input Nilai Pengetahuan'!BW7)</v>
      </c>
      <c r="H25" s="42" t="str">
        <f>$B$25&amp;H15&amp;"="&amp;$C$25&amp;H15&amp;")"</f>
        <v>IF('Input Nilai Pengetahuan'!BW8="";"";'Input Nilai Pengetahuan'!BW8)</v>
      </c>
      <c r="J25" s="42" t="str">
        <f>$B$25&amp;J15&amp;"="&amp;$C$25&amp;J15&amp;")"</f>
        <v>IF('Input Nilai Pengetahuan'!BW9="";"";'Input Nilai Pengetahuan'!BW9)</v>
      </c>
      <c r="L25" s="42" t="str">
        <f>$B$25&amp;L15&amp;"="&amp;$C$25&amp;L15&amp;")"</f>
        <v>IF('Input Nilai Pengetahuan'!BW10="";"";'Input Nilai Pengetahuan'!BW10)</v>
      </c>
      <c r="N25" s="42" t="str">
        <f>$B$25&amp;N15&amp;"="&amp;$C$25&amp;N15&amp;")"</f>
        <v>IF('Input Nilai Pengetahuan'!BW11="";"";'Input Nilai Pengetahuan'!BW11)</v>
      </c>
      <c r="P25" s="42" t="str">
        <f>$B$25&amp;P15&amp;"="&amp;$C$25&amp;P15&amp;")"</f>
        <v>IF('Input Nilai Pengetahuan'!BW12="";"";'Input Nilai Pengetahuan'!BW12)</v>
      </c>
      <c r="R25" s="42" t="str">
        <f>$B$25&amp;R15&amp;"="&amp;$C$25&amp;R15&amp;")"</f>
        <v>IF('Input Nilai Pengetahuan'!BW13="";"";'Input Nilai Pengetahuan'!BW13)</v>
      </c>
      <c r="T25" s="42" t="str">
        <f>$B$25&amp;T15&amp;"="&amp;$C$25&amp;T15&amp;")"</f>
        <v>IF('Input Nilai Pengetahuan'!BW14="";"";'Input Nilai Pengetahuan'!BW14)</v>
      </c>
      <c r="V25" s="42" t="str">
        <f>$B$25&amp;V15&amp;"="&amp;$C$25&amp;V15&amp;")"</f>
        <v>IF('Input Nilai Pengetahuan'!BW15="";"";'Input Nilai Pengetahuan'!BW15)</v>
      </c>
      <c r="X25" s="42" t="str">
        <f>$B$25&amp;X15&amp;"="&amp;$C$25&amp;X15&amp;")"</f>
        <v>IF('Input Nilai Pengetahuan'!BW16="";"";'Input Nilai Pengetahuan'!BW16)</v>
      </c>
      <c r="Z25" s="42" t="str">
        <f>$B$25&amp;Z15&amp;"="&amp;$C$25&amp;Z15&amp;")"</f>
        <v>IF('Input Nilai Pengetahuan'!BW17="";"";'Input Nilai Pengetahuan'!BW17)</v>
      </c>
      <c r="AB25" s="42" t="str">
        <f>$B$25&amp;AB15&amp;"="&amp;$C$25&amp;AB15&amp;")"</f>
        <v>IF('Input Nilai Pengetahuan'!BW18="";"";'Input Nilai Pengetahuan'!BW18)</v>
      </c>
      <c r="AD25" s="42" t="str">
        <f>$B$25&amp;AD15&amp;"="&amp;$C$25&amp;AD15&amp;")"</f>
        <v>IF('Input Nilai Pengetahuan'!BW19="";"";'Input Nilai Pengetahuan'!BW19)</v>
      </c>
      <c r="AF25" s="42" t="str">
        <f>$B$25&amp;AF15&amp;"="&amp;$C$25&amp;AF15&amp;")"</f>
        <v>IF('Input Nilai Pengetahuan'!BW20="";"";'Input Nilai Pengetahuan'!BW20)</v>
      </c>
      <c r="AH25" s="42" t="str">
        <f>$B$25&amp;AH15&amp;"="&amp;$C$25&amp;AH15&amp;")"</f>
        <v>IF('Input Nilai Pengetahuan'!BW21="";"";'Input Nilai Pengetahuan'!BW21)</v>
      </c>
      <c r="AJ25" s="42" t="str">
        <f>$B$25&amp;AJ15&amp;"="&amp;$C$25&amp;AJ15&amp;")"</f>
        <v>IF('Input Nilai Pengetahuan'!BW22="";"";'Input Nilai Pengetahuan'!BW22)</v>
      </c>
      <c r="AL25" s="42" t="str">
        <f>$B$25&amp;AL15&amp;"="&amp;$C$25&amp;AL15&amp;")"</f>
        <v>IF('Input Nilai Pengetahuan'!BW23="";"";'Input Nilai Pengetahuan'!BW23)</v>
      </c>
      <c r="AN25" s="42" t="str">
        <f>$B$25&amp;AN15&amp;"="&amp;$C$25&amp;AN15&amp;")"</f>
        <v>IF('Input Nilai Pengetahuan'!BW24="";"";'Input Nilai Pengetahuan'!BW24)</v>
      </c>
      <c r="AP25" s="42" t="str">
        <f>$B$25&amp;AP15&amp;"="&amp;$C$25&amp;AP15&amp;")"</f>
        <v>IF('Input Nilai Pengetahuan'!BW25="";"";'Input Nilai Pengetahuan'!BW25)</v>
      </c>
      <c r="AR25" s="42" t="str">
        <f>$B$25&amp;AR15&amp;"="&amp;$C$25&amp;AR15&amp;")"</f>
        <v>IF('Input Nilai Pengetahuan'!BW26="";"";'Input Nilai Pengetahuan'!BW26)</v>
      </c>
      <c r="AT25" s="42" t="str">
        <f>$B$25&amp;AT15&amp;"="&amp;$C$25&amp;AT15&amp;")"</f>
        <v>IF('Input Nilai Pengetahuan'!BW27="";"";'Input Nilai Pengetahuan'!BW27)</v>
      </c>
      <c r="AV25" s="42" t="str">
        <f>$B$25&amp;AV15&amp;"="&amp;$C$25&amp;AV15&amp;")"</f>
        <v>IF('Input Nilai Pengetahuan'!BW28="";"";'Input Nilai Pengetahuan'!BW28)</v>
      </c>
      <c r="AX25" s="42" t="str">
        <f>$B$25&amp;AX15&amp;"="&amp;$C$25&amp;AX15&amp;")"</f>
        <v>IF('Input Nilai Pengetahuan'!BW29="";"";'Input Nilai Pengetahuan'!BW29)</v>
      </c>
      <c r="AZ25" s="42" t="str">
        <f>$B$25&amp;AZ15&amp;"="&amp;$C$25&amp;AZ15&amp;")"</f>
        <v>IF('Input Nilai Pengetahuan'!BW30="";"";'Input Nilai Pengetahuan'!BW30)</v>
      </c>
      <c r="BB25" s="42" t="str">
        <f>$B$25&amp;BB15&amp;"="&amp;$C$25&amp;BB15&amp;")"</f>
        <v>IF('Input Nilai Pengetahuan'!BW31="";"";'Input Nilai Pengetahuan'!BW31)</v>
      </c>
      <c r="BD25" s="42" t="str">
        <f>$B$25&amp;BD15&amp;"="&amp;$C$25&amp;BD15&amp;")"</f>
        <v>IF('Input Nilai Pengetahuan'!BW32="";"";'Input Nilai Pengetahuan'!BW32)</v>
      </c>
      <c r="BF25" s="42" t="str">
        <f>$B$25&amp;BF15&amp;"="&amp;$C$25&amp;BF15&amp;")"</f>
        <v>IF('Input Nilai Pengetahuan'!BW33="";"";'Input Nilai Pengetahuan'!BW33)</v>
      </c>
      <c r="BH25" s="42" t="str">
        <f>$B$25&amp;BH15&amp;"="&amp;$C$25&amp;BH15&amp;")"</f>
        <v>IF('Input Nilai Pengetahuan'!BW34="";"";'Input Nilai Pengetahuan'!BW34)</v>
      </c>
      <c r="BJ25" s="42" t="str">
        <f>$B$25&amp;BJ15&amp;"="&amp;$C$25&amp;BJ15&amp;")"</f>
        <v>IF('Input Nilai Pengetahuan'!BW35="";"";'Input Nilai Pengetahuan'!BW35)</v>
      </c>
      <c r="BL25" s="42" t="str">
        <f>$B$25&amp;BL15&amp;"="&amp;$C$25&amp;BL15&amp;")"</f>
        <v>IF('Input Nilai Pengetahuan'!BW36="";"";'Input Nilai Pengetahuan'!BW36)</v>
      </c>
      <c r="BN25" s="42" t="str">
        <f>$B$25&amp;BN15&amp;"="&amp;$C$25&amp;BN15&amp;")"</f>
        <v>IF('Input Nilai Pengetahuan'!BW37="";"";'Input Nilai Pengetahuan'!BW37)</v>
      </c>
      <c r="BP25" s="42" t="str">
        <f>$B$25&amp;BP15&amp;"="&amp;$C$25&amp;BP15&amp;")"</f>
        <v>IF('Input Nilai Pengetahuan'!BW38="";"";'Input Nilai Pengetahuan'!BW38)</v>
      </c>
      <c r="BR25" s="42" t="str">
        <f>$B$25&amp;BR15&amp;"="&amp;$C$25&amp;BR15&amp;")"</f>
        <v>IF('Input Nilai Pengetahuan'!BW39="";"";'Input Nilai Pengetahuan'!BW39)</v>
      </c>
      <c r="BT25" s="42" t="str">
        <f>$B$25&amp;BT15&amp;"="&amp;$C$25&amp;BT15&amp;")"</f>
        <v>IF('Input Nilai Pengetahuan'!BW40="";"";'Input Nilai Pengetahuan'!BW40)</v>
      </c>
      <c r="BV25" s="42" t="str">
        <f>$B$25&amp;BV15&amp;"="&amp;$C$25&amp;BV15&amp;")"</f>
        <v>IF('Input Nilai Pengetahuan'!BW41="";"";'Input Nilai Pengetahuan'!BW41)</v>
      </c>
      <c r="BX25" s="42" t="str">
        <f>$B$25&amp;BX15&amp;"="&amp;$C$25&amp;BX15&amp;")"</f>
        <v>IF('Input Nilai Pengetahuan'!BW42="";"";'Input Nilai Pengetahuan'!BW42)</v>
      </c>
      <c r="BZ25" s="42" t="str">
        <f>$B$25&amp;BZ15&amp;"="&amp;$C$25&amp;BZ15&amp;")"</f>
        <v>IF('Input Nilai Pengetahuan'!BW43="";"";'Input Nilai Pengetahuan'!BW43)</v>
      </c>
      <c r="CB25" s="42" t="str">
        <f>$B$25&amp;CB15&amp;"="&amp;$C$25&amp;CB15&amp;")"</f>
        <v>IF('Input Nilai Pengetahuan'!BW44="";"";'Input Nilai Pengetahuan'!BW44)</v>
      </c>
      <c r="CD25" s="42" t="str">
        <f>$B$25&amp;CD15&amp;"="&amp;$C$25&amp;CD15&amp;")"</f>
        <v>IF('Input Nilai Pengetahuan'!BW45="";"";'Input Nilai Pengetahuan'!BW45)</v>
      </c>
      <c r="CF25" s="42" t="str">
        <f>$B$25&amp;CF15&amp;"="&amp;$C$25&amp;CF15&amp;")"</f>
        <v>IF('Input Nilai Pengetahuan'!BW46="";"";'Input Nilai Pengetahuan'!BW46)</v>
      </c>
      <c r="CH25" s="42" t="str">
        <f>$B$25&amp;CH15&amp;"="&amp;$C$25&amp;CH15&amp;")"</f>
        <v>IF('Input Nilai Pengetahuan'!BW47="";"";'Input Nilai Pengetahuan'!BW47)</v>
      </c>
      <c r="CJ25" s="42" t="str">
        <f>$B$25&amp;CJ15&amp;"="&amp;$C$25&amp;CJ15&amp;")"</f>
        <v>IF('Input Nilai Pengetahuan'!BW48="";"";'Input Nilai Pengetahuan'!BW48)</v>
      </c>
      <c r="CL25" s="42" t="str">
        <f>$B$25&amp;CL15&amp;"="&amp;$C$25&amp;CL15&amp;")"</f>
        <v>IF('Input Nilai Pengetahuan'!BW49="";"";'Input Nilai Pengetahuan'!BW49)</v>
      </c>
      <c r="CN25" s="42" t="str">
        <f>$B$25&amp;CN15&amp;"="&amp;$C$25&amp;CN15&amp;")"</f>
        <v>IF('Input Nilai Pengetahuan'!BW50="";"";'Input Nilai Pengetahuan'!BW50)</v>
      </c>
      <c r="CP25" s="42" t="str">
        <f>$B$25&amp;CP15&amp;"="&amp;$C$25&amp;CP15&amp;")"</f>
        <v>IF('Input Nilai Pengetahuan'!BW51="";"";'Input Nilai Pengetahuan'!BW51)</v>
      </c>
      <c r="CR25" s="42" t="str">
        <f>$B$25&amp;CR15&amp;"="&amp;$C$25&amp;CR15&amp;")"</f>
        <v>IF('Input Nilai Pengetahuan'!BW52="";"";'Input Nilai Pengetahuan'!BW52)</v>
      </c>
    </row>
  </sheetData>
  <sheetProtection password="F9D4" sheet="1" objects="1" scenarios="1"/>
  <mergeCells count="48">
    <mergeCell ref="CR1:CS1"/>
    <mergeCell ref="BV1:BW1"/>
    <mergeCell ref="BX1:BY1"/>
    <mergeCell ref="BZ1:CA1"/>
    <mergeCell ref="CB1:CC1"/>
    <mergeCell ref="CD1:CE1"/>
    <mergeCell ref="CF1:CG1"/>
    <mergeCell ref="CH1:CI1"/>
    <mergeCell ref="CJ1:CK1"/>
    <mergeCell ref="CL1:CM1"/>
    <mergeCell ref="CN1:CO1"/>
    <mergeCell ref="CP1:CQ1"/>
    <mergeCell ref="BT1:BU1"/>
    <mergeCell ref="AX1:AY1"/>
    <mergeCell ref="AZ1:BA1"/>
    <mergeCell ref="BB1:BC1"/>
    <mergeCell ref="BD1:BE1"/>
    <mergeCell ref="BF1:BG1"/>
    <mergeCell ref="BH1:BI1"/>
    <mergeCell ref="BJ1:BK1"/>
    <mergeCell ref="BL1:BM1"/>
    <mergeCell ref="BN1:BO1"/>
    <mergeCell ref="BP1:BQ1"/>
    <mergeCell ref="BR1:BS1"/>
    <mergeCell ref="AV1:AW1"/>
    <mergeCell ref="Z1:AA1"/>
    <mergeCell ref="AB1:AC1"/>
    <mergeCell ref="AD1:AE1"/>
    <mergeCell ref="AF1:AG1"/>
    <mergeCell ref="AH1:AI1"/>
    <mergeCell ref="AJ1:AK1"/>
    <mergeCell ref="AL1:AM1"/>
    <mergeCell ref="AN1:AO1"/>
    <mergeCell ref="AP1:AQ1"/>
    <mergeCell ref="AR1:AS1"/>
    <mergeCell ref="AT1:AU1"/>
    <mergeCell ref="X1:Y1"/>
    <mergeCell ref="B1:C1"/>
    <mergeCell ref="D1:E1"/>
    <mergeCell ref="F1:G1"/>
    <mergeCell ref="H1:I1"/>
    <mergeCell ref="J1:K1"/>
    <mergeCell ref="L1:M1"/>
    <mergeCell ref="N1:O1"/>
    <mergeCell ref="P1:Q1"/>
    <mergeCell ref="R1:S1"/>
    <mergeCell ref="T1:U1"/>
    <mergeCell ref="V1:W1"/>
  </mergeCell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23"/>
  <dimension ref="A1:BJ45"/>
  <sheetViews>
    <sheetView workbookViewId="0">
      <pane xSplit="5" ySplit="4" topLeftCell="F5" activePane="bottomRight" state="frozen"/>
      <selection pane="topRight" activeCell="F1" sqref="F1"/>
      <selection pane="bottomLeft" activeCell="A5" sqref="A5"/>
      <selection pane="bottomRight" activeCell="N14" sqref="N14"/>
    </sheetView>
  </sheetViews>
  <sheetFormatPr defaultRowHeight="15"/>
  <cols>
    <col min="1" max="1" width="4.85546875" customWidth="1"/>
    <col min="2" max="2" width="7.140625" customWidth="1"/>
    <col min="3" max="3" width="32.5703125" customWidth="1"/>
    <col min="4" max="5" width="5.28515625" customWidth="1"/>
    <col min="6" max="33" width="5.7109375" customWidth="1"/>
    <col min="34" max="34" width="6.7109375" customWidth="1"/>
    <col min="35" max="38" width="5.7109375" customWidth="1"/>
    <col min="39" max="39" width="6.7109375" customWidth="1"/>
    <col min="40" max="43" width="5.7109375" customWidth="1"/>
    <col min="44" max="44" width="6.7109375" customWidth="1"/>
    <col min="45" max="48" width="5.7109375" customWidth="1"/>
    <col min="49" max="49" width="6.7109375" customWidth="1"/>
    <col min="50" max="53" width="5.7109375" customWidth="1"/>
    <col min="54" max="54" width="6.7109375" customWidth="1"/>
    <col min="55" max="55" width="5.7109375" customWidth="1"/>
    <col min="56" max="56" width="6.7109375" customWidth="1"/>
    <col min="57" max="60" width="7.85546875" customWidth="1"/>
    <col min="61" max="62" width="8.28515625" customWidth="1"/>
  </cols>
  <sheetData>
    <row r="1" spans="1:62">
      <c r="A1" s="494" t="s">
        <v>15</v>
      </c>
      <c r="B1" s="494" t="s">
        <v>16</v>
      </c>
      <c r="C1" s="497" t="s">
        <v>0</v>
      </c>
      <c r="D1" s="498" t="s">
        <v>1</v>
      </c>
      <c r="E1" s="499" t="s">
        <v>17</v>
      </c>
      <c r="F1" s="498" t="s">
        <v>19</v>
      </c>
      <c r="G1" s="498"/>
      <c r="H1" s="498"/>
      <c r="I1" s="594" t="s">
        <v>7</v>
      </c>
      <c r="J1" s="595" t="s">
        <v>312</v>
      </c>
      <c r="K1" s="498" t="s">
        <v>19</v>
      </c>
      <c r="L1" s="498"/>
      <c r="M1" s="498"/>
      <c r="N1" s="594" t="s">
        <v>7</v>
      </c>
      <c r="O1" s="595" t="s">
        <v>312</v>
      </c>
      <c r="P1" s="498" t="s">
        <v>19</v>
      </c>
      <c r="Q1" s="498"/>
      <c r="R1" s="498"/>
      <c r="S1" s="594" t="s">
        <v>7</v>
      </c>
      <c r="T1" s="595" t="s">
        <v>312</v>
      </c>
      <c r="U1" s="498" t="s">
        <v>19</v>
      </c>
      <c r="V1" s="498"/>
      <c r="W1" s="498"/>
      <c r="X1" s="594" t="s">
        <v>7</v>
      </c>
      <c r="Y1" s="595" t="s">
        <v>312</v>
      </c>
      <c r="Z1" s="498" t="s">
        <v>19</v>
      </c>
      <c r="AA1" s="498"/>
      <c r="AB1" s="498"/>
      <c r="AC1" s="594" t="s">
        <v>7</v>
      </c>
      <c r="AD1" s="595" t="s">
        <v>312</v>
      </c>
      <c r="AE1" s="498" t="s">
        <v>19</v>
      </c>
      <c r="AF1" s="498"/>
      <c r="AG1" s="498"/>
      <c r="AH1" s="594" t="s">
        <v>7</v>
      </c>
      <c r="AI1" s="595" t="s">
        <v>312</v>
      </c>
      <c r="AJ1" s="498" t="s">
        <v>19</v>
      </c>
      <c r="AK1" s="498"/>
      <c r="AL1" s="498"/>
      <c r="AM1" s="594" t="s">
        <v>7</v>
      </c>
      <c r="AN1" s="595" t="s">
        <v>312</v>
      </c>
      <c r="AO1" s="498" t="s">
        <v>19</v>
      </c>
      <c r="AP1" s="498"/>
      <c r="AQ1" s="498"/>
      <c r="AR1" s="598" t="s">
        <v>7</v>
      </c>
      <c r="AS1" s="595" t="s">
        <v>312</v>
      </c>
      <c r="AT1" s="498" t="s">
        <v>19</v>
      </c>
      <c r="AU1" s="498"/>
      <c r="AV1" s="498"/>
      <c r="AW1" s="598" t="s">
        <v>7</v>
      </c>
      <c r="AX1" s="595" t="s">
        <v>312</v>
      </c>
      <c r="AY1" s="498" t="s">
        <v>19</v>
      </c>
      <c r="AZ1" s="498"/>
      <c r="BA1" s="498"/>
      <c r="BB1" s="598" t="s">
        <v>7</v>
      </c>
      <c r="BC1" s="595" t="s">
        <v>312</v>
      </c>
      <c r="BD1" s="594" t="s">
        <v>27</v>
      </c>
      <c r="BE1" s="580" t="s">
        <v>28</v>
      </c>
      <c r="BF1" s="580" t="s">
        <v>29</v>
      </c>
      <c r="BG1" s="94" t="s">
        <v>313</v>
      </c>
      <c r="BH1" s="583" t="s">
        <v>30</v>
      </c>
      <c r="BI1" s="563" t="s">
        <v>289</v>
      </c>
      <c r="BJ1" s="560" t="s">
        <v>36</v>
      </c>
    </row>
    <row r="2" spans="1:62">
      <c r="A2" s="495"/>
      <c r="B2" s="495"/>
      <c r="C2" s="497"/>
      <c r="D2" s="498"/>
      <c r="E2" s="500"/>
      <c r="F2" s="498" t="s">
        <v>18</v>
      </c>
      <c r="G2" s="498"/>
      <c r="H2" s="498"/>
      <c r="I2" s="594"/>
      <c r="J2" s="596"/>
      <c r="K2" s="498" t="s">
        <v>20</v>
      </c>
      <c r="L2" s="498"/>
      <c r="M2" s="498"/>
      <c r="N2" s="594"/>
      <c r="O2" s="596"/>
      <c r="P2" s="498" t="s">
        <v>21</v>
      </c>
      <c r="Q2" s="498"/>
      <c r="R2" s="498"/>
      <c r="S2" s="594"/>
      <c r="T2" s="596"/>
      <c r="U2" s="498" t="s">
        <v>22</v>
      </c>
      <c r="V2" s="498"/>
      <c r="W2" s="498"/>
      <c r="X2" s="594"/>
      <c r="Y2" s="596"/>
      <c r="Z2" s="498" t="s">
        <v>23</v>
      </c>
      <c r="AA2" s="498"/>
      <c r="AB2" s="498"/>
      <c r="AC2" s="594"/>
      <c r="AD2" s="596"/>
      <c r="AE2" s="498" t="s">
        <v>24</v>
      </c>
      <c r="AF2" s="498"/>
      <c r="AG2" s="498"/>
      <c r="AH2" s="594"/>
      <c r="AI2" s="596"/>
      <c r="AJ2" s="498" t="s">
        <v>25</v>
      </c>
      <c r="AK2" s="498"/>
      <c r="AL2" s="498"/>
      <c r="AM2" s="594"/>
      <c r="AN2" s="596"/>
      <c r="AO2" s="498" t="s">
        <v>26</v>
      </c>
      <c r="AP2" s="498"/>
      <c r="AQ2" s="498"/>
      <c r="AR2" s="599"/>
      <c r="AS2" s="596"/>
      <c r="AT2" s="498" t="s">
        <v>44</v>
      </c>
      <c r="AU2" s="498"/>
      <c r="AV2" s="498"/>
      <c r="AW2" s="599"/>
      <c r="AX2" s="596"/>
      <c r="AY2" s="498" t="s">
        <v>45</v>
      </c>
      <c r="AZ2" s="498"/>
      <c r="BA2" s="498"/>
      <c r="BB2" s="599"/>
      <c r="BC2" s="596"/>
      <c r="BD2" s="594"/>
      <c r="BE2" s="581"/>
      <c r="BF2" s="581"/>
      <c r="BG2" s="104">
        <f>menu!$D$19</f>
        <v>0</v>
      </c>
      <c r="BH2" s="584"/>
      <c r="BI2" s="564"/>
      <c r="BJ2" s="561"/>
    </row>
    <row r="3" spans="1:62" ht="69">
      <c r="A3" s="496"/>
      <c r="B3" s="496"/>
      <c r="C3" s="497"/>
      <c r="D3" s="498"/>
      <c r="E3" s="501"/>
      <c r="F3" s="112" t="s">
        <v>31</v>
      </c>
      <c r="G3" s="113" t="s">
        <v>32</v>
      </c>
      <c r="H3" s="112" t="s">
        <v>33</v>
      </c>
      <c r="I3" s="594"/>
      <c r="J3" s="597"/>
      <c r="K3" s="112" t="s">
        <v>31</v>
      </c>
      <c r="L3" s="113" t="s">
        <v>32</v>
      </c>
      <c r="M3" s="112" t="s">
        <v>33</v>
      </c>
      <c r="N3" s="594"/>
      <c r="O3" s="597"/>
      <c r="P3" s="112" t="s">
        <v>31</v>
      </c>
      <c r="Q3" s="113" t="s">
        <v>32</v>
      </c>
      <c r="R3" s="112" t="s">
        <v>33</v>
      </c>
      <c r="S3" s="594"/>
      <c r="T3" s="597"/>
      <c r="U3" s="112" t="s">
        <v>31</v>
      </c>
      <c r="V3" s="113" t="s">
        <v>32</v>
      </c>
      <c r="W3" s="112" t="s">
        <v>33</v>
      </c>
      <c r="X3" s="594"/>
      <c r="Y3" s="597"/>
      <c r="Z3" s="112" t="s">
        <v>31</v>
      </c>
      <c r="AA3" s="113" t="s">
        <v>32</v>
      </c>
      <c r="AB3" s="112" t="s">
        <v>33</v>
      </c>
      <c r="AC3" s="594"/>
      <c r="AD3" s="597"/>
      <c r="AE3" s="112" t="s">
        <v>31</v>
      </c>
      <c r="AF3" s="113" t="s">
        <v>32</v>
      </c>
      <c r="AG3" s="112" t="s">
        <v>33</v>
      </c>
      <c r="AH3" s="594"/>
      <c r="AI3" s="597"/>
      <c r="AJ3" s="112" t="s">
        <v>31</v>
      </c>
      <c r="AK3" s="113" t="s">
        <v>32</v>
      </c>
      <c r="AL3" s="112" t="s">
        <v>33</v>
      </c>
      <c r="AM3" s="594"/>
      <c r="AN3" s="597"/>
      <c r="AO3" s="112" t="s">
        <v>31</v>
      </c>
      <c r="AP3" s="113" t="s">
        <v>32</v>
      </c>
      <c r="AQ3" s="112" t="s">
        <v>33</v>
      </c>
      <c r="AR3" s="600"/>
      <c r="AS3" s="597"/>
      <c r="AT3" s="112" t="s">
        <v>31</v>
      </c>
      <c r="AU3" s="113" t="s">
        <v>32</v>
      </c>
      <c r="AV3" s="112" t="s">
        <v>33</v>
      </c>
      <c r="AW3" s="600"/>
      <c r="AX3" s="597"/>
      <c r="AY3" s="112" t="s">
        <v>31</v>
      </c>
      <c r="AZ3" s="113" t="s">
        <v>32</v>
      </c>
      <c r="BA3" s="112" t="s">
        <v>33</v>
      </c>
      <c r="BB3" s="600"/>
      <c r="BC3" s="597"/>
      <c r="BD3" s="594"/>
      <c r="BE3" s="582"/>
      <c r="BF3" s="582"/>
      <c r="BG3" s="115" t="s">
        <v>314</v>
      </c>
      <c r="BH3" s="585"/>
      <c r="BI3" s="565"/>
      <c r="BJ3" s="562"/>
    </row>
    <row r="4" spans="1:62">
      <c r="A4" s="99">
        <v>1</v>
      </c>
      <c r="B4" s="99">
        <v>2</v>
      </c>
      <c r="C4" s="99">
        <v>3</v>
      </c>
      <c r="D4" s="99">
        <v>4</v>
      </c>
      <c r="E4" s="99">
        <v>5</v>
      </c>
      <c r="F4" s="99">
        <v>6</v>
      </c>
      <c r="G4" s="99">
        <v>7</v>
      </c>
      <c r="H4" s="99">
        <v>8</v>
      </c>
      <c r="I4" s="99">
        <v>9</v>
      </c>
      <c r="J4" s="114"/>
      <c r="K4" s="99">
        <v>10</v>
      </c>
      <c r="L4" s="99">
        <v>11</v>
      </c>
      <c r="M4" s="99">
        <v>12</v>
      </c>
      <c r="N4" s="99">
        <v>13</v>
      </c>
      <c r="O4" s="114"/>
      <c r="P4" s="99">
        <v>14</v>
      </c>
      <c r="Q4" s="99">
        <v>15</v>
      </c>
      <c r="R4" s="99">
        <v>16</v>
      </c>
      <c r="S4" s="99">
        <v>17</v>
      </c>
      <c r="T4" s="114"/>
      <c r="U4" s="99">
        <v>18</v>
      </c>
      <c r="V4" s="99">
        <v>19</v>
      </c>
      <c r="W4" s="99">
        <v>20</v>
      </c>
      <c r="X4" s="99">
        <v>21</v>
      </c>
      <c r="Y4" s="114"/>
      <c r="Z4" s="99">
        <v>22</v>
      </c>
      <c r="AA4" s="99">
        <v>23</v>
      </c>
      <c r="AB4" s="99">
        <v>24</v>
      </c>
      <c r="AC4" s="99">
        <v>25</v>
      </c>
      <c r="AD4" s="114"/>
      <c r="AE4" s="99">
        <v>26</v>
      </c>
      <c r="AF4" s="99">
        <v>27</v>
      </c>
      <c r="AG4" s="99">
        <v>28</v>
      </c>
      <c r="AH4" s="99">
        <v>29</v>
      </c>
      <c r="AI4" s="114"/>
      <c r="AJ4" s="99">
        <v>30</v>
      </c>
      <c r="AK4" s="99">
        <v>31</v>
      </c>
      <c r="AL4" s="99">
        <v>32</v>
      </c>
      <c r="AM4" s="99">
        <v>33</v>
      </c>
      <c r="AN4" s="114"/>
      <c r="AO4" s="99">
        <v>34</v>
      </c>
      <c r="AP4" s="99">
        <v>35</v>
      </c>
      <c r="AQ4" s="99">
        <v>36</v>
      </c>
      <c r="AR4" s="99">
        <v>37</v>
      </c>
      <c r="AS4" s="114"/>
      <c r="AT4" s="99">
        <v>34</v>
      </c>
      <c r="AU4" s="99">
        <v>35</v>
      </c>
      <c r="AV4" s="99">
        <v>36</v>
      </c>
      <c r="AW4" s="99">
        <v>37</v>
      </c>
      <c r="AX4" s="114"/>
      <c r="AY4" s="99">
        <v>34</v>
      </c>
      <c r="AZ4" s="99">
        <v>35</v>
      </c>
      <c r="BA4" s="99">
        <v>36</v>
      </c>
      <c r="BB4" s="99">
        <v>37</v>
      </c>
      <c r="BC4" s="114"/>
      <c r="BD4" s="99">
        <v>38</v>
      </c>
      <c r="BE4" s="99">
        <v>43</v>
      </c>
      <c r="BF4" s="99">
        <v>44</v>
      </c>
      <c r="BG4" s="99"/>
      <c r="BH4" s="99">
        <v>45</v>
      </c>
      <c r="BI4" s="100">
        <v>54</v>
      </c>
      <c r="BJ4" s="100">
        <v>55</v>
      </c>
    </row>
    <row r="5" spans="1:62">
      <c r="A5" s="107">
        <f>'DATA SISWA'!A5</f>
        <v>1</v>
      </c>
      <c r="B5" s="107" t="str">
        <f>'DATA SISWA'!B5</f>
        <v>7643</v>
      </c>
      <c r="C5" s="116" t="str">
        <f>'DATA SISWA'!C5</f>
        <v>ABD MANNAN</v>
      </c>
      <c r="D5" s="107" t="str">
        <f>'DATA SISWA'!D5</f>
        <v>L</v>
      </c>
      <c r="E5" s="107" t="str">
        <f>'DATA SISWA'!E5</f>
        <v>VII-J</v>
      </c>
      <c r="F5" s="119" t="str">
        <f>IF(praktek!K5="","",praktek!K5)</f>
        <v/>
      </c>
      <c r="G5" s="119"/>
      <c r="H5" s="119"/>
      <c r="I5" s="119"/>
      <c r="J5" s="119"/>
      <c r="K5" s="119" t="str">
        <f>IF(praktek!Q5="","",praktek!Q5)</f>
        <v/>
      </c>
      <c r="L5" s="119" t="str">
        <f>IF(PORTOFOLIO!X19=0,"",PORTOFOLIO!X19)</f>
        <v/>
      </c>
      <c r="M5" s="119" t="str">
        <f>IF(proyek!O5="","",proyek!O5)</f>
        <v/>
      </c>
      <c r="N5" s="105" t="str">
        <f>IF(AND(K5="",L5="",M5=""),"",AVERAGE(K5:M5))</f>
        <v/>
      </c>
      <c r="O5" s="72" t="str">
        <f>IF(N5="","",LOOKUP(N5,{0,1,1.33,1.66,2,2.33,2.66,3,3.33,3.66,4},{"D","D+","C-","C","C+","B-","B","B+","A-","A","A"}))</f>
        <v/>
      </c>
      <c r="P5" s="119" t="str">
        <f>IF(praktek!W5="","",praktek!W5)</f>
        <v/>
      </c>
      <c r="Q5" s="119" t="str">
        <f>IF(PORTOFOLIO!AJ19=0,"",PORTOFOLIO!AJ19)</f>
        <v/>
      </c>
      <c r="R5" s="119" t="str">
        <f>IF(proyek!T5="","",proyek!T5)</f>
        <v/>
      </c>
      <c r="S5" s="105" t="str">
        <f>IF(AND(P5="",Q5="",R5=""),"",AVERAGE(P5:R5))</f>
        <v/>
      </c>
      <c r="T5" s="72" t="str">
        <f>IF(S5="","",LOOKUP(S5,{0,1,1.33,1.66,2,2.33,2.66,3,3.33,3.66,4},{"D","D+","C-","C","C+","B-","B","B+","A-","A","A"}))</f>
        <v/>
      </c>
      <c r="U5" s="119" t="str">
        <f>IF(praktek!AC5="","",praktek!AC5)</f>
        <v/>
      </c>
      <c r="V5" s="119" t="str">
        <f>IF(PORTOFOLIO!AV19=0,"",PORTOFOLIO!AV19)</f>
        <v/>
      </c>
      <c r="W5" s="119" t="str">
        <f>IF(proyek!Y5="","",proyek!Y5)</f>
        <v/>
      </c>
      <c r="X5" s="105" t="str">
        <f>IF(AND(U5="",V5="",W5=""),"",AVERAGE(U5:W5))</f>
        <v/>
      </c>
      <c r="Y5" s="72" t="str">
        <f>IF(X5="","",LOOKUP(X5,{0,1,1.33,1.66,2,2.33,2.66,3,3.33,3.66,4},{"D","D+","C-","C","C+","B-","B","B+","A-","A","A"}))</f>
        <v/>
      </c>
      <c r="Z5" s="119" t="str">
        <f>IF(praktek!AI5="","",praktek!AI5)</f>
        <v/>
      </c>
      <c r="AA5" s="119" t="str">
        <f>IF(PORTOFOLIO!BH19=0,"",PORTOFOLIO!BH19)</f>
        <v/>
      </c>
      <c r="AB5" s="119" t="str">
        <f>IF(proyek!AD5="","",proyek!AD5)</f>
        <v/>
      </c>
      <c r="AC5" s="105" t="str">
        <f>IF(AND(Z5="",AA5="",AB5=""),"",AVERAGE(Z5:AB5))</f>
        <v/>
      </c>
      <c r="AD5" s="72" t="str">
        <f>IF(AC5="","",LOOKUP(AC5,{0,1,1.33,1.66,2,2.33,2.66,3,3.33,3.66,4},{"D","D+","C-","C","C+","B-","B","B+","A-","A","A"}))</f>
        <v/>
      </c>
      <c r="AE5" s="119" t="str">
        <f>IF(praktek!AO5="","",praktek!AO5)</f>
        <v/>
      </c>
      <c r="AF5" s="119" t="str">
        <f>IF(PORTOFOLIO!BT19=0,"",PORTOFOLIO!BT19)</f>
        <v/>
      </c>
      <c r="AG5" s="119" t="str">
        <f>IF(proyek!AI5="","",proyek!AI5)</f>
        <v/>
      </c>
      <c r="AH5" s="105" t="str">
        <f>IF(AND(AE5="",AF5="",AG5=""),"",AVERAGE(AE5:AG5))</f>
        <v/>
      </c>
      <c r="AI5" s="72" t="str">
        <f>IF(AH5="","",LOOKUP(AH5,{0,1,1.33,1.66,2,2.33,2.66,3,3.33,3.66,4},{"D","D+","C-","C","C+","B-","B","B+","A-","A","A"}))</f>
        <v/>
      </c>
      <c r="AJ5" s="119" t="str">
        <f>IF(praktek!AU5="","",praktek!AU5)</f>
        <v/>
      </c>
      <c r="AK5" s="119" t="str">
        <f>IF(PORTOFOLIO!CF19=0,"",PORTOFOLIO!CF19)</f>
        <v/>
      </c>
      <c r="AL5" s="119" t="str">
        <f>IF(proyek!AN5="","",proyek!AN5)</f>
        <v/>
      </c>
      <c r="AM5" s="105" t="str">
        <f>IF(AND(AJ5="",AK5="",AL5=""),"",AVERAGE(AJ5:AL5))</f>
        <v/>
      </c>
      <c r="AN5" s="72" t="str">
        <f>IF(AM5="","",LOOKUP(AM5,{0,1,1.33,1.66,2,2.33,2.66,3,3.33,3.66,4},{"D","D+","C-","C","C+","B-","B","B+","A-","A","A"}))</f>
        <v/>
      </c>
      <c r="AO5" s="119" t="str">
        <f>IF(praktek!BA5="","",praktek!BA5)</f>
        <v/>
      </c>
      <c r="AP5" s="119" t="str">
        <f>IF(PORTOFOLIO!CR19=0,"",PORTOFOLIO!CR19)</f>
        <v/>
      </c>
      <c r="AQ5" s="119" t="str">
        <f>IF(proyek!AS5="","",proyek!AS5)</f>
        <v/>
      </c>
      <c r="AR5" s="105" t="str">
        <f>IF(AND(AO5="",AP5="",AQ5=""),"",AVERAGE(AO5:AQ5))</f>
        <v/>
      </c>
      <c r="AS5" s="72" t="str">
        <f>IF(AR5="","",LOOKUP(AR5,{0,1,1.33,1.66,2,2.33,2.66,3,3.33,3.66,4},{"D","D+","C-","C","C+","B-","B","B+","A-","A","A"}))</f>
        <v/>
      </c>
      <c r="AT5" s="119" t="str">
        <f>IF(praktek!BG5="","",praktek!BG5)</f>
        <v/>
      </c>
      <c r="AU5" s="119" t="str">
        <f>IF(PORTOFOLIO!DD19=0,"",PORTOFOLIO!DD19)</f>
        <v/>
      </c>
      <c r="AV5" s="119" t="str">
        <f>IF(proyek!AX5="","",proyek!AX5)</f>
        <v/>
      </c>
      <c r="AW5" s="105" t="str">
        <f>IF(AND(AT5="",AU5="",AV5=""),"",AVERAGE(AT5:AV5))</f>
        <v/>
      </c>
      <c r="AX5" s="72" t="str">
        <f>IF(AW5="","",LOOKUP(AW5,{0,1,1.33,1.66,2,2.33,2.66,3,3.33,3.66,4},{"D","D+","C-","C","C+","B-","B","B+","A-","A","A"}))</f>
        <v/>
      </c>
      <c r="AY5" s="119" t="str">
        <f>IF(praktek!BM5="","",praktek!BM5)</f>
        <v/>
      </c>
      <c r="AZ5" s="119" t="str">
        <f>IF(PORTOFOLIO!DP19=0,"",PORTOFOLIO!DP19)</f>
        <v/>
      </c>
      <c r="BA5" s="119" t="str">
        <f>IF(proyek!BC5="","",proyek!BC5)</f>
        <v/>
      </c>
      <c r="BB5" s="105" t="str">
        <f>IF(AND(AY5="",AZ5="",BA5=""),"",AVERAGE(AY5:BA5))</f>
        <v/>
      </c>
      <c r="BC5" s="72" t="str">
        <f>IF(BB5="","",LOOKUP(BB5,{0,1,1.33,1.66,2,2.33,2.66,3,3.33,3.66,4},{"D","D+","C-","C","C+","B-","B","B+","A-","A","A"}))</f>
        <v/>
      </c>
      <c r="BD5" s="119"/>
      <c r="BE5" s="119"/>
      <c r="BF5" s="119"/>
      <c r="BG5" s="119"/>
      <c r="BH5" s="119"/>
      <c r="BI5" s="119"/>
      <c r="BJ5" s="119"/>
    </row>
    <row r="6" spans="1:62">
      <c r="A6" s="107">
        <f>'DATA SISWA'!A6</f>
        <v>2</v>
      </c>
      <c r="B6" s="107">
        <f>'DATA SISWA'!B6</f>
        <v>0</v>
      </c>
      <c r="C6" s="116">
        <f>'DATA SISWA'!C6</f>
        <v>0</v>
      </c>
      <c r="D6" s="107">
        <f>'DATA SISWA'!D6</f>
        <v>0</v>
      </c>
      <c r="E6" s="107" t="str">
        <f>'DATA SISWA'!E6</f>
        <v>VII-J</v>
      </c>
      <c r="F6" s="119" t="str">
        <f>IF(praktek!K6="","",praktek!K6)</f>
        <v/>
      </c>
      <c r="G6" s="119"/>
      <c r="H6" s="119"/>
      <c r="I6" s="119"/>
      <c r="J6" s="119"/>
      <c r="K6" s="119"/>
      <c r="L6" s="119"/>
      <c r="M6" s="119"/>
      <c r="N6" s="119"/>
      <c r="O6" s="119"/>
      <c r="P6" s="119"/>
      <c r="Q6" s="119"/>
      <c r="R6" s="119"/>
      <c r="S6" s="119"/>
      <c r="T6" s="119"/>
      <c r="U6" s="119"/>
      <c r="V6" s="119"/>
      <c r="W6" s="119"/>
      <c r="X6" s="119"/>
      <c r="Y6" s="119"/>
      <c r="Z6" s="119"/>
      <c r="AA6" s="119"/>
      <c r="AB6" s="119"/>
      <c r="AC6" s="119"/>
      <c r="AD6" s="119"/>
      <c r="AE6" s="119"/>
      <c r="AF6" s="119"/>
      <c r="AG6" s="119"/>
      <c r="AH6" s="119"/>
      <c r="AI6" s="119"/>
      <c r="AJ6" s="119"/>
      <c r="AK6" s="119"/>
      <c r="AL6" s="119"/>
      <c r="AM6" s="119"/>
      <c r="AN6" s="119"/>
      <c r="AO6" s="119"/>
      <c r="AP6" s="119"/>
      <c r="AQ6" s="119"/>
      <c r="AR6" s="119"/>
      <c r="AS6" s="119"/>
      <c r="AT6" s="119"/>
      <c r="AU6" s="119"/>
      <c r="AV6" s="119"/>
      <c r="AW6" s="119"/>
      <c r="AX6" s="119"/>
      <c r="AY6" s="119"/>
      <c r="AZ6" s="119"/>
      <c r="BA6" s="119"/>
      <c r="BB6" s="119"/>
      <c r="BC6" s="119"/>
      <c r="BD6" s="119"/>
      <c r="BE6" s="119"/>
      <c r="BF6" s="119"/>
      <c r="BG6" s="119"/>
      <c r="BH6" s="119"/>
      <c r="BI6" s="119"/>
      <c r="BJ6" s="119"/>
    </row>
    <row r="7" spans="1:62">
      <c r="A7" s="107">
        <f>'DATA SISWA'!A7</f>
        <v>3</v>
      </c>
      <c r="B7" s="107" t="str">
        <f>'DATA SISWA'!B7</f>
        <v>7645</v>
      </c>
      <c r="C7" s="116" t="str">
        <f>'DATA SISWA'!C7</f>
        <v>ACHMAD ALFARESI</v>
      </c>
      <c r="D7" s="107" t="str">
        <f>'DATA SISWA'!D7</f>
        <v>L</v>
      </c>
      <c r="E7" s="107" t="str">
        <f>'DATA SISWA'!E7</f>
        <v>VII-J</v>
      </c>
      <c r="F7" s="119" t="str">
        <f>IF(praktek!K7="","",praktek!K7)</f>
        <v/>
      </c>
      <c r="G7" s="119"/>
      <c r="H7" s="119"/>
      <c r="I7" s="119"/>
      <c r="J7" s="119"/>
      <c r="K7" s="119"/>
      <c r="L7" s="119"/>
      <c r="M7" s="119"/>
      <c r="N7" s="119"/>
      <c r="O7" s="119"/>
      <c r="P7" s="119"/>
      <c r="Q7" s="119"/>
      <c r="R7" s="119"/>
      <c r="S7" s="119"/>
      <c r="T7" s="119"/>
      <c r="U7" s="119"/>
      <c r="V7" s="119"/>
      <c r="W7" s="119"/>
      <c r="X7" s="119"/>
      <c r="Y7" s="119"/>
      <c r="Z7" s="119"/>
      <c r="AA7" s="119"/>
      <c r="AB7" s="119"/>
      <c r="AC7" s="119"/>
      <c r="AD7" s="119"/>
      <c r="AE7" s="119"/>
      <c r="AF7" s="119"/>
      <c r="AG7" s="119"/>
      <c r="AH7" s="119"/>
      <c r="AI7" s="119"/>
      <c r="AJ7" s="119"/>
      <c r="AK7" s="119"/>
      <c r="AL7" s="119"/>
      <c r="AM7" s="119"/>
      <c r="AN7" s="119"/>
      <c r="AO7" s="119"/>
      <c r="AP7" s="119"/>
      <c r="AQ7" s="119"/>
      <c r="AR7" s="119"/>
      <c r="AS7" s="119"/>
      <c r="AT7" s="119"/>
      <c r="AU7" s="119"/>
      <c r="AV7" s="119"/>
      <c r="AW7" s="119"/>
      <c r="AX7" s="119"/>
      <c r="AY7" s="119"/>
      <c r="AZ7" s="119"/>
      <c r="BA7" s="119"/>
      <c r="BB7" s="119"/>
      <c r="BC7" s="119"/>
      <c r="BD7" s="119"/>
      <c r="BE7" s="119"/>
      <c r="BF7" s="119"/>
      <c r="BG7" s="119"/>
      <c r="BH7" s="119"/>
      <c r="BI7" s="119"/>
      <c r="BJ7" s="119"/>
    </row>
    <row r="8" spans="1:62">
      <c r="A8" s="107">
        <f>'DATA SISWA'!A8</f>
        <v>4</v>
      </c>
      <c r="B8" s="107" t="str">
        <f>'DATA SISWA'!B8</f>
        <v>7674</v>
      </c>
      <c r="C8" s="116" t="str">
        <f>'DATA SISWA'!C8</f>
        <v>AGITA ZAHRAH MUFIDAH</v>
      </c>
      <c r="D8" s="107" t="str">
        <f>'DATA SISWA'!D8</f>
        <v>P</v>
      </c>
      <c r="E8" s="107" t="str">
        <f>'DATA SISWA'!E8</f>
        <v>VII-J</v>
      </c>
      <c r="F8" s="119" t="str">
        <f>IF(praktek!K8="","",praktek!K8)</f>
        <v/>
      </c>
      <c r="G8" s="119"/>
      <c r="H8" s="119"/>
      <c r="I8" s="119"/>
      <c r="J8" s="119"/>
      <c r="K8" s="119"/>
      <c r="L8" s="119"/>
      <c r="M8" s="119"/>
      <c r="N8" s="119"/>
      <c r="O8" s="119"/>
      <c r="P8" s="119"/>
      <c r="Q8" s="119"/>
      <c r="R8" s="119"/>
      <c r="S8" s="119"/>
      <c r="T8" s="119"/>
      <c r="U8" s="119"/>
      <c r="V8" s="119"/>
      <c r="W8" s="119"/>
      <c r="X8" s="119"/>
      <c r="Y8" s="119"/>
      <c r="Z8" s="119"/>
      <c r="AA8" s="119"/>
      <c r="AB8" s="119"/>
      <c r="AC8" s="119"/>
      <c r="AD8" s="119"/>
      <c r="AE8" s="119"/>
      <c r="AF8" s="119"/>
      <c r="AG8" s="119"/>
      <c r="AH8" s="119"/>
      <c r="AI8" s="119"/>
      <c r="AJ8" s="119"/>
      <c r="AK8" s="119"/>
      <c r="AL8" s="119"/>
      <c r="AM8" s="119"/>
      <c r="AN8" s="119"/>
      <c r="AO8" s="119"/>
      <c r="AP8" s="119"/>
      <c r="AQ8" s="119"/>
      <c r="AR8" s="119"/>
      <c r="AS8" s="119"/>
      <c r="AT8" s="119"/>
      <c r="AU8" s="119"/>
      <c r="AV8" s="119"/>
      <c r="AW8" s="119"/>
      <c r="AX8" s="119"/>
      <c r="AY8" s="119"/>
      <c r="AZ8" s="119"/>
      <c r="BA8" s="119"/>
      <c r="BB8" s="119"/>
      <c r="BC8" s="119"/>
      <c r="BD8" s="119"/>
      <c r="BE8" s="119"/>
      <c r="BF8" s="119"/>
      <c r="BG8" s="119"/>
      <c r="BH8" s="119"/>
      <c r="BI8" s="119"/>
      <c r="BJ8" s="119"/>
    </row>
    <row r="9" spans="1:62">
      <c r="A9" s="107">
        <f>'DATA SISWA'!A9</f>
        <v>5</v>
      </c>
      <c r="B9" s="107" t="str">
        <f>'DATA SISWA'!B9</f>
        <v>7646</v>
      </c>
      <c r="C9" s="116" t="str">
        <f>'DATA SISWA'!C9</f>
        <v>AHMAD HAMBALI</v>
      </c>
      <c r="D9" s="107" t="str">
        <f>'DATA SISWA'!D9</f>
        <v>L</v>
      </c>
      <c r="E9" s="107" t="str">
        <f>'DATA SISWA'!E9</f>
        <v>VII-J</v>
      </c>
      <c r="F9" s="119" t="str">
        <f>IF(praktek!K9="","",praktek!K9)</f>
        <v/>
      </c>
      <c r="G9" s="119"/>
      <c r="H9" s="119"/>
      <c r="I9" s="119"/>
      <c r="J9" s="119"/>
      <c r="K9" s="119"/>
      <c r="L9" s="119"/>
      <c r="M9" s="119"/>
      <c r="N9" s="119"/>
      <c r="O9" s="119"/>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9"/>
      <c r="AP9" s="119"/>
      <c r="AQ9" s="119"/>
      <c r="AR9" s="119"/>
      <c r="AS9" s="119"/>
      <c r="AT9" s="119"/>
      <c r="AU9" s="119"/>
      <c r="AV9" s="119"/>
      <c r="AW9" s="119"/>
      <c r="AX9" s="119"/>
      <c r="AY9" s="119"/>
      <c r="AZ9" s="119"/>
      <c r="BA9" s="119"/>
      <c r="BB9" s="119"/>
      <c r="BC9" s="119"/>
      <c r="BD9" s="119"/>
      <c r="BE9" s="119"/>
      <c r="BF9" s="119"/>
      <c r="BG9" s="119"/>
      <c r="BH9" s="119"/>
      <c r="BI9" s="119"/>
      <c r="BJ9" s="119"/>
    </row>
    <row r="10" spans="1:62">
      <c r="A10" s="107">
        <f>'DATA SISWA'!A10</f>
        <v>6</v>
      </c>
      <c r="B10" s="107" t="str">
        <f>'DATA SISWA'!B10</f>
        <v>7647</v>
      </c>
      <c r="C10" s="116" t="str">
        <f>'DATA SISWA'!C10</f>
        <v>AHMADI</v>
      </c>
      <c r="D10" s="107" t="str">
        <f>'DATA SISWA'!D10</f>
        <v>L</v>
      </c>
      <c r="E10" s="107" t="str">
        <f>'DATA SISWA'!E10</f>
        <v>VII-J</v>
      </c>
      <c r="F10" s="119" t="str">
        <f>IF(praktek!K10="","",praktek!K10)</f>
        <v/>
      </c>
      <c r="G10" s="119"/>
      <c r="H10" s="119"/>
      <c r="I10" s="119"/>
      <c r="J10" s="119"/>
      <c r="K10" s="119"/>
      <c r="L10" s="119"/>
      <c r="M10" s="119"/>
      <c r="N10" s="119"/>
      <c r="O10" s="119"/>
      <c r="P10" s="119"/>
      <c r="Q10" s="119"/>
      <c r="R10" s="119"/>
      <c r="S10" s="119"/>
      <c r="T10" s="119"/>
      <c r="U10" s="119"/>
      <c r="V10" s="119"/>
      <c r="W10" s="119"/>
      <c r="X10" s="119"/>
      <c r="Y10" s="119"/>
      <c r="Z10" s="119"/>
      <c r="AA10" s="119"/>
      <c r="AB10" s="119"/>
      <c r="AC10" s="119"/>
      <c r="AD10" s="119"/>
      <c r="AE10" s="119"/>
      <c r="AF10" s="119"/>
      <c r="AG10" s="119"/>
      <c r="AH10" s="119"/>
      <c r="AI10" s="119"/>
      <c r="AJ10" s="119"/>
      <c r="AK10" s="119"/>
      <c r="AL10" s="119"/>
      <c r="AM10" s="119"/>
      <c r="AN10" s="119"/>
      <c r="AO10" s="119"/>
      <c r="AP10" s="119"/>
      <c r="AQ10" s="119"/>
      <c r="AR10" s="119"/>
      <c r="AS10" s="119"/>
      <c r="AT10" s="119"/>
      <c r="AU10" s="119"/>
      <c r="AV10" s="119"/>
      <c r="AW10" s="119"/>
      <c r="AX10" s="119"/>
      <c r="AY10" s="119"/>
      <c r="AZ10" s="119"/>
      <c r="BA10" s="119"/>
      <c r="BB10" s="119"/>
      <c r="BC10" s="119"/>
      <c r="BD10" s="119"/>
      <c r="BE10" s="119"/>
      <c r="BF10" s="119"/>
      <c r="BG10" s="119"/>
      <c r="BH10" s="119"/>
      <c r="BI10" s="119"/>
      <c r="BJ10" s="119"/>
    </row>
    <row r="11" spans="1:62">
      <c r="A11" s="107">
        <f>'DATA SISWA'!A11</f>
        <v>7</v>
      </c>
      <c r="B11" s="107" t="str">
        <f>'DATA SISWA'!B11</f>
        <v>7648</v>
      </c>
      <c r="C11" s="116" t="str">
        <f>'DATA SISWA'!C11</f>
        <v xml:space="preserve">AINUR ROFIK </v>
      </c>
      <c r="D11" s="107" t="str">
        <f>'DATA SISWA'!D11</f>
        <v>L</v>
      </c>
      <c r="E11" s="107" t="str">
        <f>'DATA SISWA'!E11</f>
        <v>VII-J</v>
      </c>
      <c r="F11" s="119" t="str">
        <f>IF(praktek!K11="","",praktek!K11)</f>
        <v/>
      </c>
      <c r="G11" s="119"/>
      <c r="H11" s="119"/>
      <c r="I11" s="119"/>
      <c r="J11" s="119"/>
      <c r="K11" s="119"/>
      <c r="L11" s="119"/>
      <c r="M11" s="119"/>
      <c r="N11" s="119"/>
      <c r="O11" s="119"/>
      <c r="P11" s="119"/>
      <c r="Q11" s="119"/>
      <c r="R11" s="119"/>
      <c r="S11" s="119"/>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119"/>
      <c r="AT11" s="119"/>
      <c r="AU11" s="119"/>
      <c r="AV11" s="119"/>
      <c r="AW11" s="119"/>
      <c r="AX11" s="119"/>
      <c r="AY11" s="119"/>
      <c r="AZ11" s="119"/>
      <c r="BA11" s="119"/>
      <c r="BB11" s="119"/>
      <c r="BC11" s="119"/>
      <c r="BD11" s="119"/>
      <c r="BE11" s="119"/>
      <c r="BF11" s="119"/>
      <c r="BG11" s="119"/>
      <c r="BH11" s="119"/>
      <c r="BI11" s="119"/>
      <c r="BJ11" s="119"/>
    </row>
    <row r="12" spans="1:62">
      <c r="A12" s="107">
        <f>'DATA SISWA'!A12</f>
        <v>8</v>
      </c>
      <c r="B12" s="107" t="str">
        <f>'DATA SISWA'!B12</f>
        <v>7377</v>
      </c>
      <c r="C12" s="116" t="str">
        <f>'DATA SISWA'!C12</f>
        <v>AT-THORIQ BINTANG PRAJA</v>
      </c>
      <c r="D12" s="107" t="str">
        <f>'DATA SISWA'!D12</f>
        <v>L</v>
      </c>
      <c r="E12" s="107" t="str">
        <f>'DATA SISWA'!E12</f>
        <v>VII-J</v>
      </c>
      <c r="F12" s="119" t="str">
        <f>IF(praktek!K12="","",praktek!K12)</f>
        <v/>
      </c>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row>
    <row r="13" spans="1:62">
      <c r="A13" s="107">
        <f>'DATA SISWA'!A13</f>
        <v>9</v>
      </c>
      <c r="B13" s="107" t="str">
        <f>'DATA SISWA'!B13</f>
        <v>7649</v>
      </c>
      <c r="C13" s="116" t="str">
        <f>'DATA SISWA'!C13</f>
        <v>DEWI WULANDARI</v>
      </c>
      <c r="D13" s="107" t="str">
        <f>'DATA SISWA'!D13</f>
        <v>P</v>
      </c>
      <c r="E13" s="107" t="str">
        <f>'DATA SISWA'!E13</f>
        <v>VII-J</v>
      </c>
      <c r="F13" s="119" t="str">
        <f>IF(praktek!K13="","",praktek!K13)</f>
        <v/>
      </c>
      <c r="G13" s="119"/>
      <c r="H13" s="119"/>
      <c r="I13" s="119"/>
      <c r="J13" s="119"/>
      <c r="K13" s="119"/>
      <c r="L13" s="119"/>
      <c r="M13" s="119"/>
      <c r="N13" s="119"/>
      <c r="O13" s="119"/>
      <c r="P13" s="119"/>
      <c r="Q13" s="119"/>
      <c r="R13" s="119"/>
      <c r="S13" s="119"/>
      <c r="T13" s="119"/>
      <c r="U13" s="119"/>
      <c r="V13" s="119"/>
      <c r="W13" s="119"/>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119"/>
      <c r="AT13" s="119"/>
      <c r="AU13" s="119"/>
      <c r="AV13" s="119"/>
      <c r="AW13" s="119"/>
      <c r="AX13" s="119"/>
      <c r="AY13" s="119"/>
      <c r="AZ13" s="119"/>
      <c r="BA13" s="119"/>
      <c r="BB13" s="119"/>
      <c r="BC13" s="119"/>
      <c r="BD13" s="119"/>
      <c r="BE13" s="119"/>
      <c r="BF13" s="119"/>
      <c r="BG13" s="119"/>
      <c r="BH13" s="119"/>
      <c r="BI13" s="119"/>
      <c r="BJ13" s="119"/>
    </row>
    <row r="14" spans="1:62">
      <c r="A14" s="107">
        <f>'DATA SISWA'!A14</f>
        <v>10</v>
      </c>
      <c r="B14" s="107" t="str">
        <f>'DATA SISWA'!B14</f>
        <v>7650</v>
      </c>
      <c r="C14" s="116" t="str">
        <f>'DATA SISWA'!C14</f>
        <v>ENI UMAMAH</v>
      </c>
      <c r="D14" s="107" t="str">
        <f>'DATA SISWA'!D14</f>
        <v>P</v>
      </c>
      <c r="E14" s="107" t="str">
        <f>'DATA SISWA'!E14</f>
        <v>VII-J</v>
      </c>
      <c r="F14" s="119" t="str">
        <f>IF(praktek!K14="","",praktek!K14)</f>
        <v/>
      </c>
      <c r="G14" s="119"/>
      <c r="H14" s="119"/>
      <c r="I14" s="119"/>
      <c r="J14" s="119"/>
      <c r="K14" s="119"/>
      <c r="L14" s="119"/>
      <c r="M14" s="119"/>
      <c r="N14" s="119"/>
      <c r="O14" s="119"/>
      <c r="P14" s="119"/>
      <c r="Q14" s="119"/>
      <c r="R14" s="119"/>
      <c r="S14" s="119"/>
      <c r="T14" s="119"/>
      <c r="U14" s="119"/>
      <c r="V14" s="119"/>
      <c r="W14" s="119"/>
      <c r="X14" s="119"/>
      <c r="Y14" s="119"/>
      <c r="Z14" s="119"/>
      <c r="AA14" s="119"/>
      <c r="AB14" s="119"/>
      <c r="AC14" s="119"/>
      <c r="AD14" s="119"/>
      <c r="AE14" s="119"/>
      <c r="AF14" s="119"/>
      <c r="AG14" s="119"/>
      <c r="AH14" s="119"/>
      <c r="AI14" s="119"/>
      <c r="AJ14" s="119"/>
      <c r="AK14" s="119"/>
      <c r="AL14" s="119"/>
      <c r="AM14" s="119"/>
      <c r="AN14" s="119"/>
      <c r="AO14" s="119"/>
      <c r="AP14" s="119"/>
      <c r="AQ14" s="119"/>
      <c r="AR14" s="119"/>
      <c r="AS14" s="119"/>
      <c r="AT14" s="119"/>
      <c r="AU14" s="119"/>
      <c r="AV14" s="119"/>
      <c r="AW14" s="119"/>
      <c r="AX14" s="119"/>
      <c r="AY14" s="119"/>
      <c r="AZ14" s="119"/>
      <c r="BA14" s="119"/>
      <c r="BB14" s="119"/>
      <c r="BC14" s="119"/>
      <c r="BD14" s="119"/>
      <c r="BE14" s="119"/>
      <c r="BF14" s="119"/>
      <c r="BG14" s="119"/>
      <c r="BH14" s="119"/>
      <c r="BI14" s="119"/>
      <c r="BJ14" s="119"/>
    </row>
    <row r="15" spans="1:62">
      <c r="A15" s="107">
        <f>'DATA SISWA'!A15</f>
        <v>11</v>
      </c>
      <c r="B15" s="107" t="str">
        <f>'DATA SISWA'!B15</f>
        <v>7651</v>
      </c>
      <c r="C15" s="116" t="str">
        <f>'DATA SISWA'!C15</f>
        <v>FADIA FASSA</v>
      </c>
      <c r="D15" s="107" t="str">
        <f>'DATA SISWA'!D15</f>
        <v>P</v>
      </c>
      <c r="E15" s="107" t="str">
        <f>'DATA SISWA'!E15</f>
        <v>VII-J</v>
      </c>
      <c r="F15" s="119" t="str">
        <f>IF(praktek!K15="","",praktek!K15)</f>
        <v/>
      </c>
      <c r="G15" s="119"/>
      <c r="H15" s="119"/>
      <c r="I15" s="119"/>
      <c r="J15" s="119"/>
      <c r="K15" s="119"/>
      <c r="L15" s="119"/>
      <c r="M15" s="119"/>
      <c r="N15" s="119"/>
      <c r="O15" s="119"/>
      <c r="P15" s="119"/>
      <c r="Q15" s="119"/>
      <c r="R15" s="119"/>
      <c r="S15" s="119"/>
      <c r="T15" s="119"/>
      <c r="U15" s="119"/>
      <c r="V15" s="119"/>
      <c r="W15" s="119"/>
      <c r="X15" s="119"/>
      <c r="Y15" s="119"/>
      <c r="Z15" s="119"/>
      <c r="AA15" s="119"/>
      <c r="AB15" s="119"/>
      <c r="AC15" s="119"/>
      <c r="AD15" s="119"/>
      <c r="AE15" s="119"/>
      <c r="AF15" s="119"/>
      <c r="AG15" s="119"/>
      <c r="AH15" s="119"/>
      <c r="AI15" s="119"/>
      <c r="AJ15" s="119"/>
      <c r="AK15" s="119"/>
      <c r="AL15" s="119"/>
      <c r="AM15" s="119"/>
      <c r="AN15" s="119"/>
      <c r="AO15" s="119"/>
      <c r="AP15" s="119"/>
      <c r="AQ15" s="119"/>
      <c r="AR15" s="119"/>
      <c r="AS15" s="119"/>
      <c r="AT15" s="119"/>
      <c r="AU15" s="119"/>
      <c r="AV15" s="119"/>
      <c r="AW15" s="119"/>
      <c r="AX15" s="119"/>
      <c r="AY15" s="119"/>
      <c r="AZ15" s="119"/>
      <c r="BA15" s="119"/>
      <c r="BB15" s="119"/>
      <c r="BC15" s="119"/>
      <c r="BD15" s="119"/>
      <c r="BE15" s="119"/>
      <c r="BF15" s="119"/>
      <c r="BG15" s="119"/>
      <c r="BH15" s="119"/>
      <c r="BI15" s="119"/>
      <c r="BJ15" s="119"/>
    </row>
    <row r="16" spans="1:62">
      <c r="A16" s="107">
        <f>'DATA SISWA'!A16</f>
        <v>12</v>
      </c>
      <c r="B16" s="107" t="str">
        <f>'DATA SISWA'!B16</f>
        <v>7652</v>
      </c>
      <c r="C16" s="116" t="str">
        <f>'DATA SISWA'!C16</f>
        <v>FATIMATUZ  ZAHROH</v>
      </c>
      <c r="D16" s="107" t="str">
        <f>'DATA SISWA'!D16</f>
        <v>P</v>
      </c>
      <c r="E16" s="107" t="str">
        <f>'DATA SISWA'!E16</f>
        <v>VII-J</v>
      </c>
      <c r="F16" s="119" t="str">
        <f>IF(praktek!K16="","",praktek!K16)</f>
        <v/>
      </c>
      <c r="G16" s="119"/>
      <c r="H16" s="119"/>
      <c r="I16" s="119"/>
      <c r="J16" s="119"/>
      <c r="K16" s="119"/>
      <c r="L16" s="119"/>
      <c r="M16" s="119"/>
      <c r="N16" s="119"/>
      <c r="O16" s="119"/>
      <c r="P16" s="119"/>
      <c r="Q16" s="119"/>
      <c r="R16" s="119"/>
      <c r="S16" s="119"/>
      <c r="T16" s="119"/>
      <c r="U16" s="119"/>
      <c r="V16" s="119"/>
      <c r="W16" s="119"/>
      <c r="X16" s="119"/>
      <c r="Y16" s="119"/>
      <c r="Z16" s="119"/>
      <c r="AA16" s="119"/>
      <c r="AB16" s="119"/>
      <c r="AC16" s="119"/>
      <c r="AD16" s="119"/>
      <c r="AE16" s="119"/>
      <c r="AF16" s="119"/>
      <c r="AG16" s="119"/>
      <c r="AH16" s="119"/>
      <c r="AI16" s="119"/>
      <c r="AJ16" s="119"/>
      <c r="AK16" s="119"/>
      <c r="AL16" s="119"/>
      <c r="AM16" s="119"/>
      <c r="AN16" s="119"/>
      <c r="AO16" s="119"/>
      <c r="AP16" s="119"/>
      <c r="AQ16" s="119"/>
      <c r="AR16" s="119"/>
      <c r="AS16" s="119"/>
      <c r="AT16" s="119"/>
      <c r="AU16" s="119"/>
      <c r="AV16" s="119"/>
      <c r="AW16" s="119"/>
      <c r="AX16" s="119"/>
      <c r="AY16" s="119"/>
      <c r="AZ16" s="119"/>
      <c r="BA16" s="119"/>
      <c r="BB16" s="119"/>
      <c r="BC16" s="119"/>
      <c r="BD16" s="119"/>
      <c r="BE16" s="119"/>
      <c r="BF16" s="119"/>
      <c r="BG16" s="119"/>
      <c r="BH16" s="119"/>
      <c r="BI16" s="119"/>
      <c r="BJ16" s="119"/>
    </row>
    <row r="17" spans="1:62">
      <c r="A17" s="107">
        <f>'DATA SISWA'!A17</f>
        <v>13</v>
      </c>
      <c r="B17" s="107" t="str">
        <f>'DATA SISWA'!B17</f>
        <v>7653</v>
      </c>
      <c r="C17" s="116" t="str">
        <f>'DATA SISWA'!C17</f>
        <v>IMAM FATONI</v>
      </c>
      <c r="D17" s="107" t="str">
        <f>'DATA SISWA'!D17</f>
        <v>L</v>
      </c>
      <c r="E17" s="107" t="str">
        <f>'DATA SISWA'!E17</f>
        <v>VII-J</v>
      </c>
      <c r="F17" s="119" t="str">
        <f>IF(praktek!K17="","",praktek!K17)</f>
        <v/>
      </c>
      <c r="G17" s="119"/>
      <c r="H17" s="119"/>
      <c r="I17" s="119"/>
      <c r="J17" s="119"/>
      <c r="K17" s="119"/>
      <c r="L17" s="119"/>
      <c r="M17" s="119"/>
      <c r="N17" s="119"/>
      <c r="O17" s="119"/>
      <c r="P17" s="119"/>
      <c r="Q17" s="119"/>
      <c r="R17" s="119"/>
      <c r="S17" s="119"/>
      <c r="T17" s="119"/>
      <c r="U17" s="119"/>
      <c r="V17" s="119"/>
      <c r="W17" s="119"/>
      <c r="X17" s="119"/>
      <c r="Y17" s="119"/>
      <c r="Z17" s="119"/>
      <c r="AA17" s="119"/>
      <c r="AB17" s="119"/>
      <c r="AC17" s="119"/>
      <c r="AD17" s="119"/>
      <c r="AE17" s="119"/>
      <c r="AF17" s="119"/>
      <c r="AG17" s="119"/>
      <c r="AH17" s="119"/>
      <c r="AI17" s="119"/>
      <c r="AJ17" s="119"/>
      <c r="AK17" s="119"/>
      <c r="AL17" s="119"/>
      <c r="AM17" s="119"/>
      <c r="AN17" s="119"/>
      <c r="AO17" s="119"/>
      <c r="AP17" s="119"/>
      <c r="AQ17" s="119"/>
      <c r="AR17" s="119"/>
      <c r="AS17" s="119"/>
      <c r="AT17" s="119"/>
      <c r="AU17" s="119"/>
      <c r="AV17" s="119"/>
      <c r="AW17" s="119"/>
      <c r="AX17" s="119"/>
      <c r="AY17" s="119"/>
      <c r="AZ17" s="119"/>
      <c r="BA17" s="119"/>
      <c r="BB17" s="119"/>
      <c r="BC17" s="119"/>
      <c r="BD17" s="119"/>
      <c r="BE17" s="119"/>
      <c r="BF17" s="119"/>
      <c r="BG17" s="119"/>
      <c r="BH17" s="119"/>
      <c r="BI17" s="119"/>
      <c r="BJ17" s="119"/>
    </row>
    <row r="18" spans="1:62">
      <c r="A18" s="107">
        <f>'DATA SISWA'!A18</f>
        <v>14</v>
      </c>
      <c r="B18" s="107" t="str">
        <f>'DATA SISWA'!B18</f>
        <v>7654</v>
      </c>
      <c r="C18" s="116" t="str">
        <f>'DATA SISWA'!C18</f>
        <v>ISMA SRI WAHYUNI</v>
      </c>
      <c r="D18" s="107" t="str">
        <f>'DATA SISWA'!D18</f>
        <v>P</v>
      </c>
      <c r="E18" s="107" t="str">
        <f>'DATA SISWA'!E18</f>
        <v>VII-J</v>
      </c>
      <c r="F18" s="119" t="str">
        <f>IF(praktek!K18="","",praktek!K18)</f>
        <v/>
      </c>
      <c r="G18" s="119"/>
      <c r="H18" s="119"/>
      <c r="I18" s="119"/>
      <c r="J18" s="119"/>
      <c r="K18" s="119"/>
      <c r="L18" s="119"/>
      <c r="M18" s="119"/>
      <c r="N18" s="119"/>
      <c r="O18" s="119"/>
      <c r="P18" s="119"/>
      <c r="Q18" s="119"/>
      <c r="R18" s="119"/>
      <c r="S18" s="119"/>
      <c r="T18" s="119"/>
      <c r="U18" s="119"/>
      <c r="V18" s="119"/>
      <c r="W18" s="119"/>
      <c r="X18" s="119"/>
      <c r="Y18" s="119"/>
      <c r="Z18" s="119"/>
      <c r="AA18" s="119"/>
      <c r="AB18" s="119"/>
      <c r="AC18" s="119"/>
      <c r="AD18" s="119"/>
      <c r="AE18" s="119"/>
      <c r="AF18" s="119"/>
      <c r="AG18" s="119"/>
      <c r="AH18" s="119"/>
      <c r="AI18" s="119"/>
      <c r="AJ18" s="119"/>
      <c r="AK18" s="119"/>
      <c r="AL18" s="119"/>
      <c r="AM18" s="119"/>
      <c r="AN18" s="119"/>
      <c r="AO18" s="119"/>
      <c r="AP18" s="119"/>
      <c r="AQ18" s="119"/>
      <c r="AR18" s="119"/>
      <c r="AS18" s="119"/>
      <c r="AT18" s="119"/>
      <c r="AU18" s="119"/>
      <c r="AV18" s="119"/>
      <c r="AW18" s="119"/>
      <c r="AX18" s="119"/>
      <c r="AY18" s="119"/>
      <c r="AZ18" s="119"/>
      <c r="BA18" s="119"/>
      <c r="BB18" s="119"/>
      <c r="BC18" s="119"/>
      <c r="BD18" s="119"/>
      <c r="BE18" s="119"/>
      <c r="BF18" s="119"/>
      <c r="BG18" s="119"/>
      <c r="BH18" s="119"/>
      <c r="BI18" s="119"/>
      <c r="BJ18" s="119"/>
    </row>
    <row r="19" spans="1:62">
      <c r="A19" s="107">
        <f>'DATA SISWA'!A19</f>
        <v>15</v>
      </c>
      <c r="B19" s="107" t="str">
        <f>'DATA SISWA'!B19</f>
        <v>7655</v>
      </c>
      <c r="C19" s="116" t="str">
        <f>'DATA SISWA'!C19</f>
        <v>JAKFAR SODIK ROMADHONI</v>
      </c>
      <c r="D19" s="107" t="str">
        <f>'DATA SISWA'!D19</f>
        <v>L</v>
      </c>
      <c r="E19" s="107" t="str">
        <f>'DATA SISWA'!E19</f>
        <v>VII-J</v>
      </c>
      <c r="F19" s="119" t="str">
        <f>IF(praktek!K19="","",praktek!K19)</f>
        <v/>
      </c>
      <c r="G19" s="119"/>
      <c r="H19" s="119"/>
      <c r="I19" s="119"/>
      <c r="J19" s="119"/>
      <c r="K19" s="119"/>
      <c r="L19" s="119"/>
      <c r="M19" s="119"/>
      <c r="N19" s="119"/>
      <c r="O19" s="119"/>
      <c r="P19" s="119"/>
      <c r="Q19" s="119"/>
      <c r="R19" s="119"/>
      <c r="S19" s="119"/>
      <c r="T19" s="119"/>
      <c r="U19" s="119"/>
      <c r="V19" s="119"/>
      <c r="W19" s="119"/>
      <c r="X19" s="119"/>
      <c r="Y19" s="119"/>
      <c r="Z19" s="119"/>
      <c r="AA19" s="119"/>
      <c r="AB19" s="119"/>
      <c r="AC19" s="119"/>
      <c r="AD19" s="119"/>
      <c r="AE19" s="119"/>
      <c r="AF19" s="119"/>
      <c r="AG19" s="119"/>
      <c r="AH19" s="119"/>
      <c r="AI19" s="119"/>
      <c r="AJ19" s="119"/>
      <c r="AK19" s="119"/>
      <c r="AL19" s="119"/>
      <c r="AM19" s="119"/>
      <c r="AN19" s="119"/>
      <c r="AO19" s="119"/>
      <c r="AP19" s="119"/>
      <c r="AQ19" s="119"/>
      <c r="AR19" s="119"/>
      <c r="AS19" s="119"/>
      <c r="AT19" s="119"/>
      <c r="AU19" s="119"/>
      <c r="AV19" s="119"/>
      <c r="AW19" s="119"/>
      <c r="AX19" s="119"/>
      <c r="AY19" s="119"/>
      <c r="AZ19" s="119"/>
      <c r="BA19" s="119"/>
      <c r="BB19" s="119"/>
      <c r="BC19" s="119"/>
      <c r="BD19" s="119"/>
      <c r="BE19" s="119"/>
      <c r="BF19" s="119"/>
      <c r="BG19" s="119"/>
      <c r="BH19" s="119"/>
      <c r="BI19" s="119"/>
      <c r="BJ19" s="119"/>
    </row>
    <row r="20" spans="1:62">
      <c r="A20" s="107">
        <f>'DATA SISWA'!A20</f>
        <v>16</v>
      </c>
      <c r="B20" s="107" t="str">
        <f>'DATA SISWA'!B20</f>
        <v>7656</v>
      </c>
      <c r="C20" s="116" t="str">
        <f>'DATA SISWA'!C20</f>
        <v>KHOIRIL NISA'</v>
      </c>
      <c r="D20" s="107" t="str">
        <f>'DATA SISWA'!D20</f>
        <v>P</v>
      </c>
      <c r="E20" s="107" t="str">
        <f>'DATA SISWA'!E20</f>
        <v>VII-J</v>
      </c>
      <c r="F20" s="119" t="str">
        <f>IF(praktek!K20="","",praktek!K20)</f>
        <v/>
      </c>
      <c r="G20" s="119"/>
      <c r="H20" s="119"/>
      <c r="I20" s="119"/>
      <c r="J20" s="119"/>
      <c r="K20" s="119"/>
      <c r="L20" s="119"/>
      <c r="M20" s="119"/>
      <c r="N20" s="119"/>
      <c r="O20" s="119"/>
      <c r="P20" s="119"/>
      <c r="Q20" s="119"/>
      <c r="R20" s="119"/>
      <c r="S20" s="119"/>
      <c r="T20" s="119"/>
      <c r="U20" s="119"/>
      <c r="V20" s="119"/>
      <c r="W20" s="119"/>
      <c r="X20" s="119"/>
      <c r="Y20" s="119"/>
      <c r="Z20" s="119"/>
      <c r="AA20" s="119"/>
      <c r="AB20" s="119"/>
      <c r="AC20" s="119"/>
      <c r="AD20" s="119"/>
      <c r="AE20" s="119"/>
      <c r="AF20" s="119"/>
      <c r="AG20" s="119"/>
      <c r="AH20" s="119"/>
      <c r="AI20" s="119"/>
      <c r="AJ20" s="119"/>
      <c r="AK20" s="119"/>
      <c r="AL20" s="119"/>
      <c r="AM20" s="119"/>
      <c r="AN20" s="119"/>
      <c r="AO20" s="119"/>
      <c r="AP20" s="119"/>
      <c r="AQ20" s="119"/>
      <c r="AR20" s="119"/>
      <c r="AS20" s="119"/>
      <c r="AT20" s="119"/>
      <c r="AU20" s="119"/>
      <c r="AV20" s="119"/>
      <c r="AW20" s="119"/>
      <c r="AX20" s="119"/>
      <c r="AY20" s="119"/>
      <c r="AZ20" s="119"/>
      <c r="BA20" s="119"/>
      <c r="BB20" s="119"/>
      <c r="BC20" s="119"/>
      <c r="BD20" s="119"/>
      <c r="BE20" s="119"/>
      <c r="BF20" s="119"/>
      <c r="BG20" s="119"/>
      <c r="BH20" s="119"/>
      <c r="BI20" s="119"/>
      <c r="BJ20" s="119"/>
    </row>
    <row r="21" spans="1:62">
      <c r="A21" s="107">
        <f>'DATA SISWA'!A21</f>
        <v>17</v>
      </c>
      <c r="B21" s="107" t="str">
        <f>'DATA SISWA'!B21</f>
        <v>7657</v>
      </c>
      <c r="C21" s="116" t="str">
        <f>'DATA SISWA'!C21</f>
        <v>LATIFA MAHARANI</v>
      </c>
      <c r="D21" s="107" t="str">
        <f>'DATA SISWA'!D21</f>
        <v>P</v>
      </c>
      <c r="E21" s="107" t="str">
        <f>'DATA SISWA'!E21</f>
        <v>VII-J</v>
      </c>
      <c r="F21" s="119" t="str">
        <f>IF(praktek!K21="","",praktek!K21)</f>
        <v/>
      </c>
      <c r="G21" s="119"/>
      <c r="H21" s="119"/>
      <c r="I21" s="119"/>
      <c r="J21" s="119"/>
      <c r="K21" s="119"/>
      <c r="L21" s="119"/>
      <c r="M21" s="119"/>
      <c r="N21" s="119"/>
      <c r="O21" s="119"/>
      <c r="P21" s="119"/>
      <c r="Q21" s="119"/>
      <c r="R21" s="119"/>
      <c r="S21" s="119"/>
      <c r="T21" s="119"/>
      <c r="U21" s="119"/>
      <c r="V21" s="119"/>
      <c r="W21" s="119"/>
      <c r="X21" s="119"/>
      <c r="Y21" s="119"/>
      <c r="Z21" s="119"/>
      <c r="AA21" s="119"/>
      <c r="AB21" s="119"/>
      <c r="AC21" s="119"/>
      <c r="AD21" s="119"/>
      <c r="AE21" s="119"/>
      <c r="AF21" s="119"/>
      <c r="AG21" s="119"/>
      <c r="AH21" s="119"/>
      <c r="AI21" s="119"/>
      <c r="AJ21" s="119"/>
      <c r="AK21" s="119"/>
      <c r="AL21" s="119"/>
      <c r="AM21" s="119"/>
      <c r="AN21" s="119"/>
      <c r="AO21" s="119"/>
      <c r="AP21" s="119"/>
      <c r="AQ21" s="119"/>
      <c r="AR21" s="119"/>
      <c r="AS21" s="119"/>
      <c r="AT21" s="119"/>
      <c r="AU21" s="119"/>
      <c r="AV21" s="119"/>
      <c r="AW21" s="119"/>
      <c r="AX21" s="119"/>
      <c r="AY21" s="119"/>
      <c r="AZ21" s="119"/>
      <c r="BA21" s="119"/>
      <c r="BB21" s="119"/>
      <c r="BC21" s="119"/>
      <c r="BD21" s="119"/>
      <c r="BE21" s="119"/>
      <c r="BF21" s="119"/>
      <c r="BG21" s="119"/>
      <c r="BH21" s="119"/>
      <c r="BI21" s="119"/>
      <c r="BJ21" s="119"/>
    </row>
    <row r="22" spans="1:62">
      <c r="A22" s="107">
        <f>'DATA SISWA'!A22</f>
        <v>18</v>
      </c>
      <c r="B22" s="107" t="str">
        <f>'DATA SISWA'!B22</f>
        <v>7658</v>
      </c>
      <c r="C22" s="116" t="str">
        <f>'DATA SISWA'!C22</f>
        <v>LUQMANUL FIKRI SYAIFULLAH</v>
      </c>
      <c r="D22" s="107" t="str">
        <f>'DATA SISWA'!D22</f>
        <v>L</v>
      </c>
      <c r="E22" s="107" t="str">
        <f>'DATA SISWA'!E22</f>
        <v>VII-J</v>
      </c>
      <c r="F22" s="119" t="str">
        <f>IF(praktek!K22="","",praktek!K22)</f>
        <v/>
      </c>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row>
    <row r="23" spans="1:62">
      <c r="A23" s="107">
        <f>'DATA SISWA'!A23</f>
        <v>19</v>
      </c>
      <c r="B23" s="107" t="str">
        <f>'DATA SISWA'!B23</f>
        <v>7659</v>
      </c>
      <c r="C23" s="116" t="str">
        <f>'DATA SISWA'!C23</f>
        <v>MAR'ATUS SOLEHAH</v>
      </c>
      <c r="D23" s="107" t="str">
        <f>'DATA SISWA'!D23</f>
        <v>P</v>
      </c>
      <c r="E23" s="107" t="str">
        <f>'DATA SISWA'!E23</f>
        <v>VII-J</v>
      </c>
      <c r="F23" s="119" t="str">
        <f>IF(praktek!K23="","",praktek!K23)</f>
        <v/>
      </c>
      <c r="G23" s="119"/>
      <c r="H23" s="119"/>
      <c r="I23" s="119"/>
      <c r="J23" s="119"/>
      <c r="K23" s="119"/>
      <c r="L23" s="119"/>
      <c r="M23" s="119"/>
      <c r="N23" s="119"/>
      <c r="O23" s="119"/>
      <c r="P23" s="119"/>
      <c r="Q23" s="119"/>
      <c r="R23" s="119"/>
      <c r="S23" s="119"/>
      <c r="T23" s="119"/>
      <c r="U23" s="119"/>
      <c r="V23" s="119"/>
      <c r="W23" s="119"/>
      <c r="X23" s="119"/>
      <c r="Y23" s="119"/>
      <c r="Z23" s="119"/>
      <c r="AA23" s="119"/>
      <c r="AB23" s="119"/>
      <c r="AC23" s="119"/>
      <c r="AD23" s="119"/>
      <c r="AE23" s="119"/>
      <c r="AF23" s="119"/>
      <c r="AG23" s="119"/>
      <c r="AH23" s="119"/>
      <c r="AI23" s="119"/>
      <c r="AJ23" s="119"/>
      <c r="AK23" s="119"/>
      <c r="AL23" s="119"/>
      <c r="AM23" s="119"/>
      <c r="AN23" s="119"/>
      <c r="AO23" s="119"/>
      <c r="AP23" s="119"/>
      <c r="AQ23" s="119"/>
      <c r="AR23" s="119"/>
      <c r="AS23" s="119"/>
      <c r="AT23" s="119"/>
      <c r="AU23" s="119"/>
      <c r="AV23" s="119"/>
      <c r="AW23" s="119"/>
      <c r="AX23" s="119"/>
      <c r="AY23" s="119"/>
      <c r="AZ23" s="119"/>
      <c r="BA23" s="119"/>
      <c r="BB23" s="119"/>
      <c r="BC23" s="119"/>
      <c r="BD23" s="119"/>
      <c r="BE23" s="119"/>
      <c r="BF23" s="119"/>
      <c r="BG23" s="119"/>
      <c r="BH23" s="119"/>
      <c r="BI23" s="119"/>
      <c r="BJ23" s="119"/>
    </row>
    <row r="24" spans="1:62">
      <c r="A24" s="107">
        <f>'DATA SISWA'!A24</f>
        <v>20</v>
      </c>
      <c r="B24" s="107" t="str">
        <f>'DATA SISWA'!B24</f>
        <v>7660</v>
      </c>
      <c r="C24" s="116" t="str">
        <f>'DATA SISWA'!C24</f>
        <v>MOCH.  SHOLEH W. H</v>
      </c>
      <c r="D24" s="107" t="str">
        <f>'DATA SISWA'!D24</f>
        <v>L</v>
      </c>
      <c r="E24" s="107" t="str">
        <f>'DATA SISWA'!E24</f>
        <v>VII-J</v>
      </c>
      <c r="F24" s="119" t="str">
        <f>IF(praktek!K24="","",praktek!K24)</f>
        <v/>
      </c>
      <c r="G24" s="119"/>
      <c r="H24" s="119"/>
      <c r="I24" s="119"/>
      <c r="J24" s="119"/>
      <c r="K24" s="119"/>
      <c r="L24" s="119"/>
      <c r="M24" s="119"/>
      <c r="N24" s="119"/>
      <c r="O24" s="119"/>
      <c r="P24" s="119"/>
      <c r="Q24" s="119"/>
      <c r="R24" s="119"/>
      <c r="S24" s="119"/>
      <c r="T24" s="119"/>
      <c r="U24" s="119"/>
      <c r="V24" s="119"/>
      <c r="W24" s="119"/>
      <c r="X24" s="119"/>
      <c r="Y24" s="119"/>
      <c r="Z24" s="119"/>
      <c r="AA24" s="119"/>
      <c r="AB24" s="119"/>
      <c r="AC24" s="119"/>
      <c r="AD24" s="119"/>
      <c r="AE24" s="119"/>
      <c r="AF24" s="119"/>
      <c r="AG24" s="119"/>
      <c r="AH24" s="119"/>
      <c r="AI24" s="119"/>
      <c r="AJ24" s="119"/>
      <c r="AK24" s="119"/>
      <c r="AL24" s="119"/>
      <c r="AM24" s="119"/>
      <c r="AN24" s="119"/>
      <c r="AO24" s="119"/>
      <c r="AP24" s="119"/>
      <c r="AQ24" s="119"/>
      <c r="AR24" s="119"/>
      <c r="AS24" s="119"/>
      <c r="AT24" s="119"/>
      <c r="AU24" s="119"/>
      <c r="AV24" s="119"/>
      <c r="AW24" s="119"/>
      <c r="AX24" s="119"/>
      <c r="AY24" s="119"/>
      <c r="AZ24" s="119"/>
      <c r="BA24" s="119"/>
      <c r="BB24" s="119"/>
      <c r="BC24" s="119"/>
      <c r="BD24" s="119"/>
      <c r="BE24" s="119"/>
      <c r="BF24" s="119"/>
      <c r="BG24" s="119"/>
      <c r="BH24" s="119"/>
      <c r="BI24" s="119"/>
      <c r="BJ24" s="119"/>
    </row>
    <row r="25" spans="1:62">
      <c r="A25" s="107">
        <f>'DATA SISWA'!A25</f>
        <v>21</v>
      </c>
      <c r="B25" s="107" t="str">
        <f>'DATA SISWA'!B25</f>
        <v>7661</v>
      </c>
      <c r="C25" s="116" t="str">
        <f>'DATA SISWA'!C25</f>
        <v>MOCH. FAWES</v>
      </c>
      <c r="D25" s="107" t="str">
        <f>'DATA SISWA'!D25</f>
        <v>L</v>
      </c>
      <c r="E25" s="107" t="str">
        <f>'DATA SISWA'!E25</f>
        <v>VII-J</v>
      </c>
      <c r="F25" s="119" t="str">
        <f>IF(praktek!K25="","",praktek!K25)</f>
        <v/>
      </c>
      <c r="G25" s="119"/>
      <c r="H25" s="119"/>
      <c r="I25" s="119"/>
      <c r="J25" s="119"/>
      <c r="K25" s="119"/>
      <c r="L25" s="119"/>
      <c r="M25" s="119"/>
      <c r="N25" s="119"/>
      <c r="O25" s="119"/>
      <c r="P25" s="119"/>
      <c r="Q25" s="119"/>
      <c r="R25" s="119"/>
      <c r="S25" s="119"/>
      <c r="T25" s="119"/>
      <c r="U25" s="119"/>
      <c r="V25" s="119"/>
      <c r="W25" s="119"/>
      <c r="X25" s="119"/>
      <c r="Y25" s="119"/>
      <c r="Z25" s="119"/>
      <c r="AA25" s="119"/>
      <c r="AB25" s="119"/>
      <c r="AC25" s="119"/>
      <c r="AD25" s="119"/>
      <c r="AE25" s="119"/>
      <c r="AF25" s="119"/>
      <c r="AG25" s="119"/>
      <c r="AH25" s="119"/>
      <c r="AI25" s="119"/>
      <c r="AJ25" s="119"/>
      <c r="AK25" s="119"/>
      <c r="AL25" s="119"/>
      <c r="AM25" s="119"/>
      <c r="AN25" s="119"/>
      <c r="AO25" s="119"/>
      <c r="AP25" s="119"/>
      <c r="AQ25" s="119"/>
      <c r="AR25" s="119"/>
      <c r="AS25" s="119"/>
      <c r="AT25" s="119"/>
      <c r="AU25" s="119"/>
      <c r="AV25" s="119"/>
      <c r="AW25" s="119"/>
      <c r="AX25" s="119"/>
      <c r="AY25" s="119"/>
      <c r="AZ25" s="119"/>
      <c r="BA25" s="119"/>
      <c r="BB25" s="119"/>
      <c r="BC25" s="119"/>
      <c r="BD25" s="119"/>
      <c r="BE25" s="119"/>
      <c r="BF25" s="119"/>
      <c r="BG25" s="119"/>
      <c r="BH25" s="119"/>
      <c r="BI25" s="119"/>
      <c r="BJ25" s="119"/>
    </row>
    <row r="26" spans="1:62">
      <c r="A26" s="107">
        <f>'DATA SISWA'!A26</f>
        <v>22</v>
      </c>
      <c r="B26" s="107" t="str">
        <f>'DATA SISWA'!B26</f>
        <v>7662</v>
      </c>
      <c r="C26" s="116" t="str">
        <f>'DATA SISWA'!C26</f>
        <v>MOH SAHRUL RAMADON</v>
      </c>
      <c r="D26" s="107" t="str">
        <f>'DATA SISWA'!D26</f>
        <v>L</v>
      </c>
      <c r="E26" s="107" t="str">
        <f>'DATA SISWA'!E26</f>
        <v>VII-J</v>
      </c>
      <c r="F26" s="119" t="str">
        <f>IF(praktek!K26="","",praktek!K26)</f>
        <v/>
      </c>
      <c r="G26" s="119"/>
      <c r="H26" s="119"/>
      <c r="I26" s="119"/>
      <c r="J26" s="119"/>
      <c r="K26" s="119"/>
      <c r="L26" s="119"/>
      <c r="M26" s="119"/>
      <c r="N26" s="119"/>
      <c r="O26" s="119"/>
      <c r="P26" s="119"/>
      <c r="Q26" s="119"/>
      <c r="R26" s="119"/>
      <c r="S26" s="119"/>
      <c r="T26" s="119"/>
      <c r="U26" s="119"/>
      <c r="V26" s="119"/>
      <c r="W26" s="119"/>
      <c r="X26" s="119"/>
      <c r="Y26" s="119"/>
      <c r="Z26" s="119"/>
      <c r="AA26" s="119"/>
      <c r="AB26" s="119"/>
      <c r="AC26" s="119"/>
      <c r="AD26" s="119"/>
      <c r="AE26" s="119"/>
      <c r="AF26" s="119"/>
      <c r="AG26" s="119"/>
      <c r="AH26" s="119"/>
      <c r="AI26" s="119"/>
      <c r="AJ26" s="119"/>
      <c r="AK26" s="119"/>
      <c r="AL26" s="119"/>
      <c r="AM26" s="119"/>
      <c r="AN26" s="119"/>
      <c r="AO26" s="119"/>
      <c r="AP26" s="119"/>
      <c r="AQ26" s="119"/>
      <c r="AR26" s="119"/>
      <c r="AS26" s="119"/>
      <c r="AT26" s="119"/>
      <c r="AU26" s="119"/>
      <c r="AV26" s="119"/>
      <c r="AW26" s="119"/>
      <c r="AX26" s="119"/>
      <c r="AY26" s="119"/>
      <c r="AZ26" s="119"/>
      <c r="BA26" s="119"/>
      <c r="BB26" s="119"/>
      <c r="BC26" s="119"/>
      <c r="BD26" s="119"/>
      <c r="BE26" s="119"/>
      <c r="BF26" s="119"/>
      <c r="BG26" s="119"/>
      <c r="BH26" s="119"/>
      <c r="BI26" s="119"/>
      <c r="BJ26" s="119"/>
    </row>
    <row r="27" spans="1:62">
      <c r="A27" s="107">
        <f>'DATA SISWA'!A27</f>
        <v>23</v>
      </c>
      <c r="B27" s="107" t="str">
        <f>'DATA SISWA'!B27</f>
        <v>7664</v>
      </c>
      <c r="C27" s="116" t="str">
        <f>'DATA SISWA'!C27</f>
        <v>MOHAMMAD RAMADAN PURNOMO</v>
      </c>
      <c r="D27" s="107" t="str">
        <f>'DATA SISWA'!D27</f>
        <v>L</v>
      </c>
      <c r="E27" s="107" t="str">
        <f>'DATA SISWA'!E27</f>
        <v>VII-J</v>
      </c>
      <c r="F27" s="119" t="str">
        <f>IF(praktek!K27="","",praktek!K27)</f>
        <v/>
      </c>
      <c r="G27" s="119"/>
      <c r="H27" s="119"/>
      <c r="I27" s="119"/>
      <c r="J27" s="119"/>
      <c r="K27" s="119"/>
      <c r="L27" s="119"/>
      <c r="M27" s="119"/>
      <c r="N27" s="119"/>
      <c r="O27" s="119"/>
      <c r="P27" s="119"/>
      <c r="Q27" s="119"/>
      <c r="R27" s="119"/>
      <c r="S27" s="119"/>
      <c r="T27" s="119"/>
      <c r="U27" s="119"/>
      <c r="V27" s="119"/>
      <c r="W27" s="119"/>
      <c r="X27" s="119"/>
      <c r="Y27" s="119"/>
      <c r="Z27" s="119"/>
      <c r="AA27" s="119"/>
      <c r="AB27" s="119"/>
      <c r="AC27" s="119"/>
      <c r="AD27" s="119"/>
      <c r="AE27" s="119"/>
      <c r="AF27" s="119"/>
      <c r="AG27" s="119"/>
      <c r="AH27" s="119"/>
      <c r="AI27" s="119"/>
      <c r="AJ27" s="119"/>
      <c r="AK27" s="119"/>
      <c r="AL27" s="119"/>
      <c r="AM27" s="119"/>
      <c r="AN27" s="119"/>
      <c r="AO27" s="119"/>
      <c r="AP27" s="119"/>
      <c r="AQ27" s="119"/>
      <c r="AR27" s="119"/>
      <c r="AS27" s="119"/>
      <c r="AT27" s="119"/>
      <c r="AU27" s="119"/>
      <c r="AV27" s="119"/>
      <c r="AW27" s="119"/>
      <c r="AX27" s="119"/>
      <c r="AY27" s="119"/>
      <c r="AZ27" s="119"/>
      <c r="BA27" s="119"/>
      <c r="BB27" s="119"/>
      <c r="BC27" s="119"/>
      <c r="BD27" s="119"/>
      <c r="BE27" s="119"/>
      <c r="BF27" s="119"/>
      <c r="BG27" s="119"/>
      <c r="BH27" s="119"/>
      <c r="BI27" s="119"/>
      <c r="BJ27" s="119"/>
    </row>
    <row r="28" spans="1:62">
      <c r="A28" s="107">
        <f>'DATA SISWA'!A28</f>
        <v>24</v>
      </c>
      <c r="B28" s="107" t="str">
        <f>'DATA SISWA'!B28</f>
        <v>7665</v>
      </c>
      <c r="C28" s="116" t="str">
        <f>'DATA SISWA'!C28</f>
        <v>MOHAMMAD ROFI'I</v>
      </c>
      <c r="D28" s="107" t="str">
        <f>'DATA SISWA'!D28</f>
        <v>L</v>
      </c>
      <c r="E28" s="107" t="str">
        <f>'DATA SISWA'!E28</f>
        <v>VII-J</v>
      </c>
      <c r="F28" s="119" t="str">
        <f>IF(praktek!K28="","",praktek!K28)</f>
        <v/>
      </c>
      <c r="G28" s="119"/>
      <c r="H28" s="119"/>
      <c r="I28" s="119"/>
      <c r="J28" s="119"/>
      <c r="K28" s="119"/>
      <c r="L28" s="119"/>
      <c r="M28" s="119"/>
      <c r="N28" s="119"/>
      <c r="O28" s="119"/>
      <c r="P28" s="119"/>
      <c r="Q28" s="119"/>
      <c r="R28" s="119"/>
      <c r="S28" s="119"/>
      <c r="T28" s="119"/>
      <c r="U28" s="119"/>
      <c r="V28" s="119"/>
      <c r="W28" s="119"/>
      <c r="X28" s="119"/>
      <c r="Y28" s="119"/>
      <c r="Z28" s="119"/>
      <c r="AA28" s="119"/>
      <c r="AB28" s="119"/>
      <c r="AC28" s="119"/>
      <c r="AD28" s="119"/>
      <c r="AE28" s="119"/>
      <c r="AF28" s="119"/>
      <c r="AG28" s="119"/>
      <c r="AH28" s="119"/>
      <c r="AI28" s="119"/>
      <c r="AJ28" s="119"/>
      <c r="AK28" s="119"/>
      <c r="AL28" s="119"/>
      <c r="AM28" s="119"/>
      <c r="AN28" s="119"/>
      <c r="AO28" s="119"/>
      <c r="AP28" s="119"/>
      <c r="AQ28" s="119"/>
      <c r="AR28" s="119"/>
      <c r="AS28" s="119"/>
      <c r="AT28" s="119"/>
      <c r="AU28" s="119"/>
      <c r="AV28" s="119"/>
      <c r="AW28" s="119"/>
      <c r="AX28" s="119"/>
      <c r="AY28" s="119"/>
      <c r="AZ28" s="119"/>
      <c r="BA28" s="119"/>
      <c r="BB28" s="119"/>
      <c r="BC28" s="119"/>
      <c r="BD28" s="119"/>
      <c r="BE28" s="119"/>
      <c r="BF28" s="119"/>
      <c r="BG28" s="119"/>
      <c r="BH28" s="119"/>
      <c r="BI28" s="119"/>
      <c r="BJ28" s="119"/>
    </row>
    <row r="29" spans="1:62">
      <c r="A29" s="107">
        <f>'DATA SISWA'!A29</f>
        <v>25</v>
      </c>
      <c r="B29" s="107" t="str">
        <f>'DATA SISWA'!B29</f>
        <v>7666</v>
      </c>
      <c r="C29" s="116" t="str">
        <f>'DATA SISWA'!C29</f>
        <v>NI'MATUS SHOLIHA</v>
      </c>
      <c r="D29" s="107" t="str">
        <f>'DATA SISWA'!D29</f>
        <v>P</v>
      </c>
      <c r="E29" s="107" t="str">
        <f>'DATA SISWA'!E29</f>
        <v>VII-J</v>
      </c>
      <c r="F29" s="119" t="str">
        <f>IF(praktek!K29="","",praktek!K29)</f>
        <v/>
      </c>
      <c r="G29" s="119"/>
      <c r="H29" s="119"/>
      <c r="I29" s="119"/>
      <c r="J29" s="119"/>
      <c r="K29" s="119"/>
      <c r="L29" s="119"/>
      <c r="M29" s="119"/>
      <c r="N29" s="119"/>
      <c r="O29" s="119"/>
      <c r="P29" s="119"/>
      <c r="Q29" s="119"/>
      <c r="R29" s="119"/>
      <c r="S29" s="119"/>
      <c r="T29" s="119"/>
      <c r="U29" s="119"/>
      <c r="V29" s="119"/>
      <c r="W29" s="119"/>
      <c r="X29" s="119"/>
      <c r="Y29" s="119"/>
      <c r="Z29" s="119"/>
      <c r="AA29" s="119"/>
      <c r="AB29" s="119"/>
      <c r="AC29" s="119"/>
      <c r="AD29" s="119"/>
      <c r="AE29" s="119"/>
      <c r="AF29" s="119"/>
      <c r="AG29" s="119"/>
      <c r="AH29" s="119"/>
      <c r="AI29" s="119"/>
      <c r="AJ29" s="119"/>
      <c r="AK29" s="119"/>
      <c r="AL29" s="119"/>
      <c r="AM29" s="119"/>
      <c r="AN29" s="119"/>
      <c r="AO29" s="119"/>
      <c r="AP29" s="119"/>
      <c r="AQ29" s="119"/>
      <c r="AR29" s="119"/>
      <c r="AS29" s="119"/>
      <c r="AT29" s="119"/>
      <c r="AU29" s="119"/>
      <c r="AV29" s="119"/>
      <c r="AW29" s="119"/>
      <c r="AX29" s="119"/>
      <c r="AY29" s="119"/>
      <c r="AZ29" s="119"/>
      <c r="BA29" s="119"/>
      <c r="BB29" s="119"/>
      <c r="BC29" s="119"/>
      <c r="BD29" s="119"/>
      <c r="BE29" s="119"/>
      <c r="BF29" s="119"/>
      <c r="BG29" s="119"/>
      <c r="BH29" s="119"/>
      <c r="BI29" s="119"/>
      <c r="BJ29" s="119"/>
    </row>
    <row r="30" spans="1:62">
      <c r="A30" s="107">
        <f>'DATA SISWA'!A30</f>
        <v>26</v>
      </c>
      <c r="B30" s="107" t="str">
        <f>'DATA SISWA'!B30</f>
        <v>7676</v>
      </c>
      <c r="C30" s="116" t="str">
        <f>'DATA SISWA'!C30</f>
        <v>PANJI FIKRI ISLAMI</v>
      </c>
      <c r="D30" s="107" t="str">
        <f>'DATA SISWA'!D30</f>
        <v>L</v>
      </c>
      <c r="E30" s="107" t="str">
        <f>'DATA SISWA'!E30</f>
        <v>VII-J</v>
      </c>
      <c r="F30" s="119" t="str">
        <f>IF(praktek!K30="","",praktek!K30)</f>
        <v/>
      </c>
      <c r="G30" s="119"/>
      <c r="H30" s="119"/>
      <c r="I30" s="119"/>
      <c r="J30" s="119"/>
      <c r="K30" s="119"/>
      <c r="L30" s="119"/>
      <c r="M30" s="119"/>
      <c r="N30" s="119"/>
      <c r="O30" s="119"/>
      <c r="P30" s="119"/>
      <c r="Q30" s="119"/>
      <c r="R30" s="119"/>
      <c r="S30" s="119"/>
      <c r="T30" s="119"/>
      <c r="U30" s="119"/>
      <c r="V30" s="119"/>
      <c r="W30" s="119"/>
      <c r="X30" s="119"/>
      <c r="Y30" s="119"/>
      <c r="Z30" s="119"/>
      <c r="AA30" s="119"/>
      <c r="AB30" s="119"/>
      <c r="AC30" s="119"/>
      <c r="AD30" s="119"/>
      <c r="AE30" s="119"/>
      <c r="AF30" s="119"/>
      <c r="AG30" s="119"/>
      <c r="AH30" s="119"/>
      <c r="AI30" s="119"/>
      <c r="AJ30" s="119"/>
      <c r="AK30" s="119"/>
      <c r="AL30" s="119"/>
      <c r="AM30" s="119"/>
      <c r="AN30" s="119"/>
      <c r="AO30" s="119"/>
      <c r="AP30" s="119"/>
      <c r="AQ30" s="119"/>
      <c r="AR30" s="119"/>
      <c r="AS30" s="119"/>
      <c r="AT30" s="119"/>
      <c r="AU30" s="119"/>
      <c r="AV30" s="119"/>
      <c r="AW30" s="119"/>
      <c r="AX30" s="119"/>
      <c r="AY30" s="119"/>
      <c r="AZ30" s="119"/>
      <c r="BA30" s="119"/>
      <c r="BB30" s="119"/>
      <c r="BC30" s="119"/>
      <c r="BD30" s="119"/>
      <c r="BE30" s="119"/>
      <c r="BF30" s="119"/>
      <c r="BG30" s="119"/>
      <c r="BH30" s="119"/>
      <c r="BI30" s="119"/>
      <c r="BJ30" s="119"/>
    </row>
    <row r="31" spans="1:62">
      <c r="A31" s="107">
        <f>'DATA SISWA'!A31</f>
        <v>27</v>
      </c>
      <c r="B31" s="107" t="str">
        <f>'DATA SISWA'!B31</f>
        <v>7667</v>
      </c>
      <c r="C31" s="116" t="str">
        <f>'DATA SISWA'!C31</f>
        <v>RACMAT MAULIDI ABDANY</v>
      </c>
      <c r="D31" s="107" t="str">
        <f>'DATA SISWA'!D31</f>
        <v>L</v>
      </c>
      <c r="E31" s="107" t="str">
        <f>'DATA SISWA'!E31</f>
        <v>VII-J</v>
      </c>
      <c r="F31" s="119" t="str">
        <f>IF(praktek!K31="","",praktek!K31)</f>
        <v/>
      </c>
      <c r="G31" s="119"/>
      <c r="H31" s="119"/>
      <c r="I31" s="119"/>
      <c r="J31" s="119"/>
      <c r="K31" s="119"/>
      <c r="L31" s="119"/>
      <c r="M31" s="119"/>
      <c r="N31" s="119"/>
      <c r="O31" s="119"/>
      <c r="P31" s="119"/>
      <c r="Q31" s="119"/>
      <c r="R31" s="119"/>
      <c r="S31" s="119"/>
      <c r="T31" s="119"/>
      <c r="U31" s="119"/>
      <c r="V31" s="119"/>
      <c r="W31" s="119"/>
      <c r="X31" s="119"/>
      <c r="Y31" s="119"/>
      <c r="Z31" s="119"/>
      <c r="AA31" s="119"/>
      <c r="AB31" s="119"/>
      <c r="AC31" s="119"/>
      <c r="AD31" s="119"/>
      <c r="AE31" s="119"/>
      <c r="AF31" s="119"/>
      <c r="AG31" s="119"/>
      <c r="AH31" s="119"/>
      <c r="AI31" s="119"/>
      <c r="AJ31" s="119"/>
      <c r="AK31" s="119"/>
      <c r="AL31" s="119"/>
      <c r="AM31" s="119"/>
      <c r="AN31" s="119"/>
      <c r="AO31" s="119"/>
      <c r="AP31" s="119"/>
      <c r="AQ31" s="119"/>
      <c r="AR31" s="119"/>
      <c r="AS31" s="119"/>
      <c r="AT31" s="119"/>
      <c r="AU31" s="119"/>
      <c r="AV31" s="119"/>
      <c r="AW31" s="119"/>
      <c r="AX31" s="119"/>
      <c r="AY31" s="119"/>
      <c r="AZ31" s="119"/>
      <c r="BA31" s="119"/>
      <c r="BB31" s="119"/>
      <c r="BC31" s="119"/>
      <c r="BD31" s="119"/>
      <c r="BE31" s="119"/>
      <c r="BF31" s="119"/>
      <c r="BG31" s="119"/>
      <c r="BH31" s="119"/>
      <c r="BI31" s="119"/>
      <c r="BJ31" s="119"/>
    </row>
    <row r="32" spans="1:62">
      <c r="A32" s="107">
        <f>'DATA SISWA'!A32</f>
        <v>28</v>
      </c>
      <c r="B32" s="107" t="str">
        <f>'DATA SISWA'!B32</f>
        <v>7668</v>
      </c>
      <c r="C32" s="116" t="str">
        <f>'DATA SISWA'!C32</f>
        <v>RAIHAN</v>
      </c>
      <c r="D32" s="107" t="str">
        <f>'DATA SISWA'!D32</f>
        <v>L</v>
      </c>
      <c r="E32" s="107" t="str">
        <f>'DATA SISWA'!E32</f>
        <v>VII-J</v>
      </c>
      <c r="F32" s="119" t="str">
        <f>IF(praktek!K32="","",praktek!K32)</f>
        <v/>
      </c>
      <c r="G32" s="119"/>
      <c r="H32" s="119"/>
      <c r="I32" s="119"/>
      <c r="J32" s="119"/>
      <c r="K32" s="119"/>
      <c r="L32" s="119"/>
      <c r="M32" s="119"/>
      <c r="N32" s="119"/>
      <c r="O32" s="119"/>
      <c r="P32" s="119"/>
      <c r="Q32" s="119"/>
      <c r="R32" s="119"/>
      <c r="S32" s="119"/>
      <c r="T32" s="119"/>
      <c r="U32" s="119"/>
      <c r="V32" s="119"/>
      <c r="W32" s="119"/>
      <c r="X32" s="119"/>
      <c r="Y32" s="119"/>
      <c r="Z32" s="119"/>
      <c r="AA32" s="119"/>
      <c r="AB32" s="119"/>
      <c r="AC32" s="119"/>
      <c r="AD32" s="119"/>
      <c r="AE32" s="119"/>
      <c r="AF32" s="119"/>
      <c r="AG32" s="119"/>
      <c r="AH32" s="119"/>
      <c r="AI32" s="119"/>
      <c r="AJ32" s="119"/>
      <c r="AK32" s="119"/>
      <c r="AL32" s="119"/>
      <c r="AM32" s="119"/>
      <c r="AN32" s="119"/>
      <c r="AO32" s="119"/>
      <c r="AP32" s="119"/>
      <c r="AQ32" s="119"/>
      <c r="AR32" s="119"/>
      <c r="AS32" s="119"/>
      <c r="AT32" s="119"/>
      <c r="AU32" s="119"/>
      <c r="AV32" s="119"/>
      <c r="AW32" s="119"/>
      <c r="AX32" s="119"/>
      <c r="AY32" s="119"/>
      <c r="AZ32" s="119"/>
      <c r="BA32" s="119"/>
      <c r="BB32" s="119"/>
      <c r="BC32" s="119"/>
      <c r="BD32" s="119"/>
      <c r="BE32" s="119"/>
      <c r="BF32" s="119"/>
      <c r="BG32" s="119"/>
      <c r="BH32" s="119"/>
      <c r="BI32" s="119"/>
      <c r="BJ32" s="119"/>
    </row>
    <row r="33" spans="1:62">
      <c r="A33" s="107">
        <f>'DATA SISWA'!A33</f>
        <v>29</v>
      </c>
      <c r="B33" s="107" t="str">
        <f>'DATA SISWA'!B33</f>
        <v>7669</v>
      </c>
      <c r="C33" s="116" t="str">
        <f>'DATA SISWA'!C33</f>
        <v>REFITA ANNASTASYA</v>
      </c>
      <c r="D33" s="107" t="str">
        <f>'DATA SISWA'!D33</f>
        <v>P</v>
      </c>
      <c r="E33" s="107" t="str">
        <f>'DATA SISWA'!E33</f>
        <v>VII-J</v>
      </c>
      <c r="F33" s="119" t="str">
        <f>IF(praktek!K33="","",praktek!K33)</f>
        <v/>
      </c>
      <c r="G33" s="119"/>
      <c r="H33" s="119"/>
      <c r="I33" s="119"/>
      <c r="J33" s="119"/>
      <c r="K33" s="119"/>
      <c r="L33" s="119"/>
      <c r="M33" s="119"/>
      <c r="N33" s="119"/>
      <c r="O33" s="119"/>
      <c r="P33" s="119"/>
      <c r="Q33" s="119"/>
      <c r="R33" s="119"/>
      <c r="S33" s="119"/>
      <c r="T33" s="119"/>
      <c r="U33" s="119"/>
      <c r="V33" s="119"/>
      <c r="W33" s="119"/>
      <c r="X33" s="119"/>
      <c r="Y33" s="119"/>
      <c r="Z33" s="119"/>
      <c r="AA33" s="119"/>
      <c r="AB33" s="119"/>
      <c r="AC33" s="119"/>
      <c r="AD33" s="119"/>
      <c r="AE33" s="119"/>
      <c r="AF33" s="119"/>
      <c r="AG33" s="119"/>
      <c r="AH33" s="119"/>
      <c r="AI33" s="119"/>
      <c r="AJ33" s="119"/>
      <c r="AK33" s="119"/>
      <c r="AL33" s="119"/>
      <c r="AM33" s="119"/>
      <c r="AN33" s="119"/>
      <c r="AO33" s="119"/>
      <c r="AP33" s="119"/>
      <c r="AQ33" s="119"/>
      <c r="AR33" s="119"/>
      <c r="AS33" s="119"/>
      <c r="AT33" s="119"/>
      <c r="AU33" s="119"/>
      <c r="AV33" s="119"/>
      <c r="AW33" s="119"/>
      <c r="AX33" s="119"/>
      <c r="AY33" s="119"/>
      <c r="AZ33" s="119"/>
      <c r="BA33" s="119"/>
      <c r="BB33" s="119"/>
      <c r="BC33" s="119"/>
      <c r="BD33" s="119"/>
      <c r="BE33" s="119"/>
      <c r="BF33" s="119"/>
      <c r="BG33" s="119"/>
      <c r="BH33" s="119"/>
      <c r="BI33" s="119"/>
      <c r="BJ33" s="119"/>
    </row>
    <row r="34" spans="1:62">
      <c r="A34" s="107">
        <f>'DATA SISWA'!A34</f>
        <v>30</v>
      </c>
      <c r="B34" s="107" t="str">
        <f>'DATA SISWA'!B34</f>
        <v>7670</v>
      </c>
      <c r="C34" s="116" t="str">
        <f>'DATA SISWA'!C34</f>
        <v>RISKIYAH</v>
      </c>
      <c r="D34" s="107" t="str">
        <f>'DATA SISWA'!D34</f>
        <v>P</v>
      </c>
      <c r="E34" s="107" t="str">
        <f>'DATA SISWA'!E34</f>
        <v>VII-J</v>
      </c>
      <c r="F34" s="119" t="str">
        <f>IF(praktek!K34="","",praktek!K34)</f>
        <v/>
      </c>
      <c r="G34" s="119"/>
      <c r="H34" s="119"/>
      <c r="I34" s="119"/>
      <c r="J34" s="119"/>
      <c r="K34" s="119"/>
      <c r="L34" s="119"/>
      <c r="M34" s="119"/>
      <c r="N34" s="119"/>
      <c r="O34" s="119"/>
      <c r="P34" s="119"/>
      <c r="Q34" s="119"/>
      <c r="R34" s="119"/>
      <c r="S34" s="119"/>
      <c r="T34" s="119"/>
      <c r="U34" s="119"/>
      <c r="V34" s="119"/>
      <c r="W34" s="119"/>
      <c r="X34" s="119"/>
      <c r="Y34" s="119"/>
      <c r="Z34" s="119"/>
      <c r="AA34" s="119"/>
      <c r="AB34" s="119"/>
      <c r="AC34" s="119"/>
      <c r="AD34" s="119"/>
      <c r="AE34" s="119"/>
      <c r="AF34" s="119"/>
      <c r="AG34" s="119"/>
      <c r="AH34" s="119"/>
      <c r="AI34" s="119"/>
      <c r="AJ34" s="119"/>
      <c r="AK34" s="119"/>
      <c r="AL34" s="119"/>
      <c r="AM34" s="119"/>
      <c r="AN34" s="119"/>
      <c r="AO34" s="119"/>
      <c r="AP34" s="119"/>
      <c r="AQ34" s="119"/>
      <c r="AR34" s="119"/>
      <c r="AS34" s="119"/>
      <c r="AT34" s="119"/>
      <c r="AU34" s="119"/>
      <c r="AV34" s="119"/>
      <c r="AW34" s="119"/>
      <c r="AX34" s="119"/>
      <c r="AY34" s="119"/>
      <c r="AZ34" s="119"/>
      <c r="BA34" s="119"/>
      <c r="BB34" s="119"/>
      <c r="BC34" s="119"/>
      <c r="BD34" s="119"/>
      <c r="BE34" s="119"/>
      <c r="BF34" s="119"/>
      <c r="BG34" s="119"/>
      <c r="BH34" s="119"/>
      <c r="BI34" s="119"/>
      <c r="BJ34" s="119"/>
    </row>
    <row r="35" spans="1:62">
      <c r="A35" s="107">
        <f>'DATA SISWA'!A35</f>
        <v>31</v>
      </c>
      <c r="B35" s="107" t="str">
        <f>'DATA SISWA'!B35</f>
        <v>7671</v>
      </c>
      <c r="C35" s="116" t="str">
        <f>'DATA SISWA'!C35</f>
        <v>SALILATUL HUSNA</v>
      </c>
      <c r="D35" s="107" t="str">
        <f>'DATA SISWA'!D35</f>
        <v>P</v>
      </c>
      <c r="E35" s="107" t="str">
        <f>'DATA SISWA'!E35</f>
        <v>VII-J</v>
      </c>
      <c r="F35" s="119" t="str">
        <f>IF(praktek!K35="","",praktek!K35)</f>
        <v/>
      </c>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row>
    <row r="36" spans="1:62">
      <c r="A36" s="107">
        <f>'DATA SISWA'!A36</f>
        <v>32</v>
      </c>
      <c r="B36" s="107" t="str">
        <f>'DATA SISWA'!B36</f>
        <v>7672</v>
      </c>
      <c r="C36" s="116" t="str">
        <f>'DATA SISWA'!C36</f>
        <v>SALMA NABILA</v>
      </c>
      <c r="D36" s="107" t="str">
        <f>'DATA SISWA'!D36</f>
        <v>P</v>
      </c>
      <c r="E36" s="107" t="str">
        <f>'DATA SISWA'!E36</f>
        <v>VII-J</v>
      </c>
      <c r="F36" s="119" t="str">
        <f>IF(praktek!K36="","",praktek!K36)</f>
        <v/>
      </c>
      <c r="G36" s="119"/>
      <c r="H36" s="119"/>
      <c r="I36" s="119"/>
      <c r="J36" s="119"/>
      <c r="K36" s="119"/>
      <c r="L36" s="119"/>
      <c r="M36" s="119"/>
      <c r="N36" s="119"/>
      <c r="O36" s="119"/>
      <c r="P36" s="119"/>
      <c r="Q36" s="119"/>
      <c r="R36" s="119"/>
      <c r="S36" s="119"/>
      <c r="T36" s="119"/>
      <c r="U36" s="119"/>
      <c r="V36" s="119"/>
      <c r="W36" s="119"/>
      <c r="X36" s="119"/>
      <c r="Y36" s="119"/>
      <c r="Z36" s="119"/>
      <c r="AA36" s="119"/>
      <c r="AB36" s="119"/>
      <c r="AC36" s="119"/>
      <c r="AD36" s="119"/>
      <c r="AE36" s="119"/>
      <c r="AF36" s="119"/>
      <c r="AG36" s="119"/>
      <c r="AH36" s="119"/>
      <c r="AI36" s="119"/>
      <c r="AJ36" s="119"/>
      <c r="AK36" s="119"/>
      <c r="AL36" s="119"/>
      <c r="AM36" s="119"/>
      <c r="AN36" s="119"/>
      <c r="AO36" s="119"/>
      <c r="AP36" s="119"/>
      <c r="AQ36" s="119"/>
      <c r="AR36" s="119"/>
      <c r="AS36" s="119"/>
      <c r="AT36" s="119"/>
      <c r="AU36" s="119"/>
      <c r="AV36" s="119"/>
      <c r="AW36" s="119"/>
      <c r="AX36" s="119"/>
      <c r="AY36" s="119"/>
      <c r="AZ36" s="119"/>
      <c r="BA36" s="119"/>
      <c r="BB36" s="119"/>
      <c r="BC36" s="119"/>
      <c r="BD36" s="119"/>
      <c r="BE36" s="119"/>
      <c r="BF36" s="119"/>
      <c r="BG36" s="119"/>
      <c r="BH36" s="119"/>
      <c r="BI36" s="119"/>
      <c r="BJ36" s="119"/>
    </row>
    <row r="37" spans="1:62">
      <c r="A37" s="107">
        <f>'DATA SISWA'!A37</f>
        <v>33</v>
      </c>
      <c r="B37" s="107" t="str">
        <f>'DATA SISWA'!B37</f>
        <v>7673</v>
      </c>
      <c r="C37" s="116" t="str">
        <f>'DATA SISWA'!C37</f>
        <v>SITI AINUR ROHIMAH</v>
      </c>
      <c r="D37" s="107" t="str">
        <f>'DATA SISWA'!D37</f>
        <v>P</v>
      </c>
      <c r="E37" s="107" t="str">
        <f>'DATA SISWA'!E37</f>
        <v>VII-J</v>
      </c>
      <c r="F37" s="119" t="str">
        <f>IF(praktek!K37="","",praktek!K37)</f>
        <v/>
      </c>
      <c r="G37" s="119"/>
      <c r="H37" s="119"/>
      <c r="I37" s="119"/>
      <c r="J37" s="119"/>
      <c r="K37" s="119"/>
      <c r="L37" s="119"/>
      <c r="M37" s="119"/>
      <c r="N37" s="119"/>
      <c r="O37" s="119"/>
      <c r="P37" s="119"/>
      <c r="Q37" s="119"/>
      <c r="R37" s="119"/>
      <c r="S37" s="119"/>
      <c r="T37" s="119"/>
      <c r="U37" s="119"/>
      <c r="V37" s="119"/>
      <c r="W37" s="119"/>
      <c r="X37" s="119"/>
      <c r="Y37" s="119"/>
      <c r="Z37" s="119"/>
      <c r="AA37" s="119"/>
      <c r="AB37" s="119"/>
      <c r="AC37" s="119"/>
      <c r="AD37" s="119"/>
      <c r="AE37" s="119"/>
      <c r="AF37" s="119"/>
      <c r="AG37" s="119"/>
      <c r="AH37" s="119"/>
      <c r="AI37" s="119"/>
      <c r="AJ37" s="119"/>
      <c r="AK37" s="119"/>
      <c r="AL37" s="119"/>
      <c r="AM37" s="119"/>
      <c r="AN37" s="119"/>
      <c r="AO37" s="119"/>
      <c r="AP37" s="119"/>
      <c r="AQ37" s="119"/>
      <c r="AR37" s="119"/>
      <c r="AS37" s="119"/>
      <c r="AT37" s="119"/>
      <c r="AU37" s="119"/>
      <c r="AV37" s="119"/>
      <c r="AW37" s="119"/>
      <c r="AX37" s="119"/>
      <c r="AY37" s="119"/>
      <c r="AZ37" s="119"/>
      <c r="BA37" s="119"/>
      <c r="BB37" s="119"/>
      <c r="BC37" s="119"/>
      <c r="BD37" s="119"/>
      <c r="BE37" s="119"/>
      <c r="BF37" s="119"/>
      <c r="BG37" s="119"/>
      <c r="BH37" s="119"/>
      <c r="BI37" s="119"/>
      <c r="BJ37" s="119"/>
    </row>
    <row r="38" spans="1:62">
      <c r="A38" s="107">
        <f>'DATA SISWA'!A38</f>
        <v>34</v>
      </c>
      <c r="B38" s="107" t="str">
        <f>'DATA SISWA'!B38</f>
        <v>7675</v>
      </c>
      <c r="C38" s="116" t="str">
        <f>'DATA SISWA'!C38</f>
        <v>SYARIF HIDAYATULLOH</v>
      </c>
      <c r="D38" s="107" t="str">
        <f>'DATA SISWA'!D38</f>
        <v>L</v>
      </c>
      <c r="E38" s="107" t="str">
        <f>'DATA SISWA'!E38</f>
        <v>VII-J</v>
      </c>
      <c r="F38" s="119" t="str">
        <f>IF(praktek!K38="","",praktek!K38)</f>
        <v/>
      </c>
      <c r="G38" s="119"/>
      <c r="H38" s="119"/>
      <c r="I38" s="119"/>
      <c r="J38" s="119"/>
      <c r="K38" s="119"/>
      <c r="L38" s="119"/>
      <c r="M38" s="119"/>
      <c r="N38" s="119"/>
      <c r="O38" s="119"/>
      <c r="P38" s="119"/>
      <c r="Q38" s="119"/>
      <c r="R38" s="119"/>
      <c r="S38" s="119"/>
      <c r="T38" s="119"/>
      <c r="U38" s="119"/>
      <c r="V38" s="119"/>
      <c r="W38" s="119"/>
      <c r="X38" s="119"/>
      <c r="Y38" s="119"/>
      <c r="Z38" s="119"/>
      <c r="AA38" s="119"/>
      <c r="AB38" s="119"/>
      <c r="AC38" s="119"/>
      <c r="AD38" s="119"/>
      <c r="AE38" s="119"/>
      <c r="AF38" s="119"/>
      <c r="AG38" s="119"/>
      <c r="AH38" s="119"/>
      <c r="AI38" s="119"/>
      <c r="AJ38" s="119"/>
      <c r="AK38" s="119"/>
      <c r="AL38" s="119"/>
      <c r="AM38" s="119"/>
      <c r="AN38" s="119"/>
      <c r="AO38" s="119"/>
      <c r="AP38" s="119"/>
      <c r="AQ38" s="119"/>
      <c r="AR38" s="119"/>
      <c r="AS38" s="119"/>
      <c r="AT38" s="119"/>
      <c r="AU38" s="119"/>
      <c r="AV38" s="119"/>
      <c r="AW38" s="119"/>
      <c r="AX38" s="119"/>
      <c r="AY38" s="119"/>
      <c r="AZ38" s="119"/>
      <c r="BA38" s="119"/>
      <c r="BB38" s="119"/>
      <c r="BC38" s="119"/>
      <c r="BD38" s="119"/>
      <c r="BE38" s="119"/>
      <c r="BF38" s="119"/>
      <c r="BG38" s="119"/>
      <c r="BH38" s="119"/>
      <c r="BI38" s="119"/>
      <c r="BJ38" s="119"/>
    </row>
    <row r="39" spans="1:62">
      <c r="A39" s="107">
        <f>'DATA SISWA'!A39</f>
        <v>35</v>
      </c>
      <c r="B39" s="107" t="str">
        <f>'DATA SISWA'!B39</f>
        <v>7444</v>
      </c>
      <c r="C39" s="116" t="str">
        <f>'DATA SISWA'!C39</f>
        <v>URVIA ZAHNA ROHANDY</v>
      </c>
      <c r="D39" s="107" t="str">
        <f>'DATA SISWA'!D39</f>
        <v>P</v>
      </c>
      <c r="E39" s="107" t="str">
        <f>'DATA SISWA'!E39</f>
        <v>VII-J</v>
      </c>
      <c r="F39" s="119" t="str">
        <f>IF(praktek!K39="","",praktek!K39)</f>
        <v/>
      </c>
      <c r="G39" s="119"/>
      <c r="H39" s="119"/>
      <c r="I39" s="119"/>
      <c r="J39" s="119"/>
      <c r="K39" s="119"/>
      <c r="L39" s="119"/>
      <c r="M39" s="119"/>
      <c r="N39" s="119"/>
      <c r="O39" s="119"/>
      <c r="P39" s="119"/>
      <c r="Q39" s="119"/>
      <c r="R39" s="119"/>
      <c r="S39" s="119"/>
      <c r="T39" s="119"/>
      <c r="U39" s="119"/>
      <c r="V39" s="119"/>
      <c r="W39" s="119"/>
      <c r="X39" s="119"/>
      <c r="Y39" s="119"/>
      <c r="Z39" s="119"/>
      <c r="AA39" s="119"/>
      <c r="AB39" s="119"/>
      <c r="AC39" s="119"/>
      <c r="AD39" s="119"/>
      <c r="AE39" s="119"/>
      <c r="AF39" s="119"/>
      <c r="AG39" s="119"/>
      <c r="AH39" s="119"/>
      <c r="AI39" s="119"/>
      <c r="AJ39" s="119"/>
      <c r="AK39" s="119"/>
      <c r="AL39" s="119"/>
      <c r="AM39" s="119"/>
      <c r="AN39" s="119"/>
      <c r="AO39" s="119"/>
      <c r="AP39" s="119"/>
      <c r="AQ39" s="119"/>
      <c r="AR39" s="119"/>
      <c r="AS39" s="119"/>
      <c r="AT39" s="119"/>
      <c r="AU39" s="119"/>
      <c r="AV39" s="119"/>
      <c r="AW39" s="119"/>
      <c r="AX39" s="119"/>
      <c r="AY39" s="119"/>
      <c r="AZ39" s="119"/>
      <c r="BA39" s="119"/>
      <c r="BB39" s="119"/>
      <c r="BC39" s="119"/>
      <c r="BD39" s="119"/>
      <c r="BE39" s="119"/>
      <c r="BF39" s="119"/>
      <c r="BG39" s="119"/>
      <c r="BH39" s="119"/>
      <c r="BI39" s="119"/>
      <c r="BJ39" s="119"/>
    </row>
    <row r="40" spans="1:62">
      <c r="A40" s="107">
        <f>'DATA SISWA'!A40</f>
        <v>36</v>
      </c>
      <c r="B40" s="107">
        <f>'DATA SISWA'!B40</f>
        <v>0</v>
      </c>
      <c r="C40" s="116">
        <f>'DATA SISWA'!C40</f>
        <v>0</v>
      </c>
      <c r="D40" s="107">
        <f>'DATA SISWA'!D40</f>
        <v>0</v>
      </c>
      <c r="E40" s="107" t="str">
        <f>'DATA SISWA'!E40</f>
        <v>VII-J</v>
      </c>
      <c r="F40" s="119" t="str">
        <f>IF(praktek!K40="","",praktek!K40)</f>
        <v/>
      </c>
      <c r="G40" s="119"/>
      <c r="H40" s="119"/>
      <c r="I40" s="119"/>
      <c r="J40" s="119"/>
      <c r="K40" s="119"/>
      <c r="L40" s="119"/>
      <c r="M40" s="119"/>
      <c r="N40" s="119"/>
      <c r="O40" s="119"/>
      <c r="P40" s="119"/>
      <c r="Q40" s="119"/>
      <c r="R40" s="119"/>
      <c r="S40" s="119"/>
      <c r="T40" s="119"/>
      <c r="U40" s="119"/>
      <c r="V40" s="119"/>
      <c r="W40" s="119"/>
      <c r="X40" s="119"/>
      <c r="Y40" s="119"/>
      <c r="Z40" s="119"/>
      <c r="AA40" s="119"/>
      <c r="AB40" s="119"/>
      <c r="AC40" s="119"/>
      <c r="AD40" s="119"/>
      <c r="AE40" s="119"/>
      <c r="AF40" s="119"/>
      <c r="AG40" s="119"/>
      <c r="AH40" s="119"/>
      <c r="AI40" s="119"/>
      <c r="AJ40" s="119"/>
      <c r="AK40" s="119"/>
      <c r="AL40" s="119"/>
      <c r="AM40" s="119"/>
      <c r="AN40" s="119"/>
      <c r="AO40" s="119"/>
      <c r="AP40" s="119"/>
      <c r="AQ40" s="119"/>
      <c r="AR40" s="119"/>
      <c r="AS40" s="119"/>
      <c r="AT40" s="119"/>
      <c r="AU40" s="119"/>
      <c r="AV40" s="119"/>
      <c r="AW40" s="119"/>
      <c r="AX40" s="119"/>
      <c r="AY40" s="119"/>
      <c r="AZ40" s="119"/>
      <c r="BA40" s="119"/>
      <c r="BB40" s="119"/>
      <c r="BC40" s="119"/>
      <c r="BD40" s="119"/>
      <c r="BE40" s="119"/>
      <c r="BF40" s="119"/>
      <c r="BG40" s="119"/>
      <c r="BH40" s="119"/>
      <c r="BI40" s="119"/>
      <c r="BJ40" s="119"/>
    </row>
    <row r="41" spans="1:62">
      <c r="A41" s="107">
        <f>'DATA SISWA'!A41</f>
        <v>37</v>
      </c>
      <c r="B41" s="107">
        <f>'DATA SISWA'!B41</f>
        <v>0</v>
      </c>
      <c r="C41" s="116">
        <f>'DATA SISWA'!C41</f>
        <v>0</v>
      </c>
      <c r="D41" s="107">
        <f>'DATA SISWA'!D41</f>
        <v>0</v>
      </c>
      <c r="E41" s="107" t="str">
        <f>'DATA SISWA'!E41</f>
        <v>VII-J</v>
      </c>
      <c r="F41" s="119" t="str">
        <f>IF(praktek!K41="","",praktek!K41)</f>
        <v/>
      </c>
      <c r="G41" s="119"/>
      <c r="H41" s="119"/>
      <c r="I41" s="119"/>
      <c r="J41" s="119"/>
      <c r="K41" s="119"/>
      <c r="L41" s="119"/>
      <c r="M41" s="119"/>
      <c r="N41" s="119"/>
      <c r="O41" s="119"/>
      <c r="P41" s="119"/>
      <c r="Q41" s="119"/>
      <c r="R41" s="119"/>
      <c r="S41" s="119"/>
      <c r="T41" s="119"/>
      <c r="U41" s="119"/>
      <c r="V41" s="119"/>
      <c r="W41" s="119"/>
      <c r="X41" s="119"/>
      <c r="Y41" s="119"/>
      <c r="Z41" s="119"/>
      <c r="AA41" s="119"/>
      <c r="AB41" s="119"/>
      <c r="AC41" s="119"/>
      <c r="AD41" s="119"/>
      <c r="AE41" s="119"/>
      <c r="AF41" s="119"/>
      <c r="AG41" s="119"/>
      <c r="AH41" s="119"/>
      <c r="AI41" s="119"/>
      <c r="AJ41" s="119"/>
      <c r="AK41" s="119"/>
      <c r="AL41" s="119"/>
      <c r="AM41" s="119"/>
      <c r="AN41" s="119"/>
      <c r="AO41" s="119"/>
      <c r="AP41" s="119"/>
      <c r="AQ41" s="119"/>
      <c r="AR41" s="119"/>
      <c r="AS41" s="119"/>
      <c r="AT41" s="119"/>
      <c r="AU41" s="119"/>
      <c r="AV41" s="119"/>
      <c r="AW41" s="119"/>
      <c r="AX41" s="119"/>
      <c r="AY41" s="119"/>
      <c r="AZ41" s="119"/>
      <c r="BA41" s="119"/>
      <c r="BB41" s="119"/>
      <c r="BC41" s="119"/>
      <c r="BD41" s="119"/>
      <c r="BE41" s="119"/>
      <c r="BF41" s="119"/>
      <c r="BG41" s="119"/>
      <c r="BH41" s="119"/>
      <c r="BI41" s="119"/>
      <c r="BJ41" s="119"/>
    </row>
    <row r="42" spans="1:62">
      <c r="A42" s="107">
        <f>'DATA SISWA'!A42</f>
        <v>38</v>
      </c>
      <c r="B42" s="107">
        <f>'DATA SISWA'!B42</f>
        <v>0</v>
      </c>
      <c r="C42" s="116">
        <f>'DATA SISWA'!C42</f>
        <v>0</v>
      </c>
      <c r="D42" s="107">
        <f>'DATA SISWA'!D42</f>
        <v>0</v>
      </c>
      <c r="E42" s="107" t="str">
        <f>'DATA SISWA'!E42</f>
        <v>VII-J</v>
      </c>
      <c r="F42" s="119" t="str">
        <f>IF(praktek!K42="","",praktek!K42)</f>
        <v/>
      </c>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row>
    <row r="43" spans="1:62">
      <c r="A43" s="107">
        <f>'DATA SISWA'!A43</f>
        <v>39</v>
      </c>
      <c r="B43" s="107">
        <f>'DATA SISWA'!B43</f>
        <v>0</v>
      </c>
      <c r="C43" s="116">
        <f>'DATA SISWA'!C43</f>
        <v>0</v>
      </c>
      <c r="D43" s="107">
        <f>'DATA SISWA'!D43</f>
        <v>0</v>
      </c>
      <c r="E43" s="107" t="str">
        <f>'DATA SISWA'!E43</f>
        <v>VII-J</v>
      </c>
      <c r="F43" s="119" t="str">
        <f>IF(praktek!K43="","",praktek!K43)</f>
        <v/>
      </c>
      <c r="G43" s="119"/>
      <c r="H43" s="119"/>
      <c r="I43" s="119"/>
      <c r="J43" s="119"/>
      <c r="K43" s="119"/>
      <c r="L43" s="119"/>
      <c r="M43" s="119"/>
      <c r="N43" s="119"/>
      <c r="O43" s="119"/>
      <c r="P43" s="119"/>
      <c r="Q43" s="119"/>
      <c r="R43" s="119"/>
      <c r="S43" s="119"/>
      <c r="T43" s="119"/>
      <c r="U43" s="119"/>
      <c r="V43" s="119"/>
      <c r="W43" s="119"/>
      <c r="X43" s="119"/>
      <c r="Y43" s="119"/>
      <c r="Z43" s="119"/>
      <c r="AA43" s="119"/>
      <c r="AB43" s="119"/>
      <c r="AC43" s="119"/>
      <c r="AD43" s="119"/>
      <c r="AE43" s="119"/>
      <c r="AF43" s="119"/>
      <c r="AG43" s="119"/>
      <c r="AH43" s="119"/>
      <c r="AI43" s="119"/>
      <c r="AJ43" s="119"/>
      <c r="AK43" s="119"/>
      <c r="AL43" s="119"/>
      <c r="AM43" s="119"/>
      <c r="AN43" s="119"/>
      <c r="AO43" s="119"/>
      <c r="AP43" s="119"/>
      <c r="AQ43" s="119"/>
      <c r="AR43" s="119"/>
      <c r="AS43" s="119"/>
      <c r="AT43" s="119"/>
      <c r="AU43" s="119"/>
      <c r="AV43" s="119"/>
      <c r="AW43" s="119"/>
      <c r="AX43" s="119"/>
      <c r="AY43" s="119"/>
      <c r="AZ43" s="119"/>
      <c r="BA43" s="119"/>
      <c r="BB43" s="119"/>
      <c r="BC43" s="119"/>
      <c r="BD43" s="119"/>
      <c r="BE43" s="119"/>
      <c r="BF43" s="119"/>
      <c r="BG43" s="119"/>
      <c r="BH43" s="119"/>
      <c r="BI43" s="119"/>
      <c r="BJ43" s="119"/>
    </row>
    <row r="44" spans="1:62">
      <c r="A44" s="107">
        <f>'DATA SISWA'!A44</f>
        <v>40</v>
      </c>
      <c r="B44" s="107">
        <f>'DATA SISWA'!B44</f>
        <v>0</v>
      </c>
      <c r="C44" s="116">
        <f>'DATA SISWA'!C44</f>
        <v>0</v>
      </c>
      <c r="D44" s="107">
        <f>'DATA SISWA'!D44</f>
        <v>0</v>
      </c>
      <c r="E44" s="107" t="str">
        <f>'DATA SISWA'!E44</f>
        <v>VII-J</v>
      </c>
      <c r="F44" s="119" t="str">
        <f>IF(praktek!K44="","",praktek!K44)</f>
        <v/>
      </c>
      <c r="G44" s="119"/>
      <c r="H44" s="119"/>
      <c r="I44" s="119"/>
      <c r="J44" s="119"/>
      <c r="K44" s="119"/>
      <c r="L44" s="119"/>
      <c r="M44" s="119"/>
      <c r="N44" s="119"/>
      <c r="O44" s="119"/>
      <c r="P44" s="119"/>
      <c r="Q44" s="119"/>
      <c r="R44" s="119"/>
      <c r="S44" s="119"/>
      <c r="T44" s="119"/>
      <c r="U44" s="119"/>
      <c r="V44" s="119"/>
      <c r="W44" s="119"/>
      <c r="X44" s="119"/>
      <c r="Y44" s="119"/>
      <c r="Z44" s="119"/>
      <c r="AA44" s="119"/>
      <c r="AB44" s="119"/>
      <c r="AC44" s="119"/>
      <c r="AD44" s="119"/>
      <c r="AE44" s="119"/>
      <c r="AF44" s="119"/>
      <c r="AG44" s="119"/>
      <c r="AH44" s="119"/>
      <c r="AI44" s="119"/>
      <c r="AJ44" s="119"/>
      <c r="AK44" s="119"/>
      <c r="AL44" s="119"/>
      <c r="AM44" s="119"/>
      <c r="AN44" s="119"/>
      <c r="AO44" s="119"/>
      <c r="AP44" s="119"/>
      <c r="AQ44" s="119"/>
      <c r="AR44" s="119"/>
      <c r="AS44" s="119"/>
      <c r="AT44" s="119"/>
      <c r="AU44" s="119"/>
      <c r="AV44" s="119"/>
      <c r="AW44" s="119"/>
      <c r="AX44" s="119"/>
      <c r="AY44" s="119"/>
      <c r="AZ44" s="119"/>
      <c r="BA44" s="119"/>
      <c r="BB44" s="119"/>
      <c r="BC44" s="119"/>
      <c r="BD44" s="119"/>
      <c r="BE44" s="119"/>
      <c r="BF44" s="119"/>
      <c r="BG44" s="119"/>
      <c r="BH44" s="119"/>
      <c r="BI44" s="119"/>
      <c r="BJ44" s="119"/>
    </row>
    <row r="45" spans="1:62">
      <c r="F45" s="120"/>
    </row>
  </sheetData>
  <mergeCells count="51">
    <mergeCell ref="BE1:BE3"/>
    <mergeCell ref="BF1:BF3"/>
    <mergeCell ref="BH1:BH3"/>
    <mergeCell ref="BI1:BI3"/>
    <mergeCell ref="BJ1:BJ3"/>
    <mergeCell ref="F2:H2"/>
    <mergeCell ref="K2:M2"/>
    <mergeCell ref="P2:R2"/>
    <mergeCell ref="U2:W2"/>
    <mergeCell ref="Z2:AB2"/>
    <mergeCell ref="I1:I3"/>
    <mergeCell ref="J1:J3"/>
    <mergeCell ref="K1:M1"/>
    <mergeCell ref="N1:N3"/>
    <mergeCell ref="O1:O3"/>
    <mergeCell ref="P1:R1"/>
    <mergeCell ref="F1:H1"/>
    <mergeCell ref="BD1:BD3"/>
    <mergeCell ref="AY2:BA2"/>
    <mergeCell ref="AM1:AM3"/>
    <mergeCell ref="AN1:AN3"/>
    <mergeCell ref="AO1:AQ1"/>
    <mergeCell ref="AR1:AR3"/>
    <mergeCell ref="AS1:AS3"/>
    <mergeCell ref="AT1:AV1"/>
    <mergeCell ref="AO2:AQ2"/>
    <mergeCell ref="AT2:AV2"/>
    <mergeCell ref="AW1:AW3"/>
    <mergeCell ref="AX1:AX3"/>
    <mergeCell ref="AY1:BA1"/>
    <mergeCell ref="BB1:BB3"/>
    <mergeCell ref="BC1:BC3"/>
    <mergeCell ref="AJ1:AL1"/>
    <mergeCell ref="AE2:AG2"/>
    <mergeCell ref="AJ2:AL2"/>
    <mergeCell ref="S1:S3"/>
    <mergeCell ref="T1:T3"/>
    <mergeCell ref="U1:W1"/>
    <mergeCell ref="X1:X3"/>
    <mergeCell ref="Y1:Y3"/>
    <mergeCell ref="Z1:AB1"/>
    <mergeCell ref="AC1:AC3"/>
    <mergeCell ref="AD1:AD3"/>
    <mergeCell ref="AE1:AG1"/>
    <mergeCell ref="AH1:AH3"/>
    <mergeCell ref="AI1:AI3"/>
    <mergeCell ref="A1:A3"/>
    <mergeCell ref="B1:B3"/>
    <mergeCell ref="C1:C3"/>
    <mergeCell ref="D1:D3"/>
    <mergeCell ref="E1:E3"/>
  </mergeCells>
  <dataValidations count="1">
    <dataValidation type="decimal" allowBlank="1" showInputMessage="1" showErrorMessage="1" sqref="N5:O5 S5:T5 X5:Y5 AC5:AD5 AH5:AI5 AM5:AN5 AR5:AS5 AW5:AX5 BB5:BC5">
      <formula1>0</formula1>
      <formula2>100</formula2>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26"/>
  <dimension ref="A1:U55"/>
  <sheetViews>
    <sheetView view="pageBreakPreview" zoomScale="120" zoomScaleSheetLayoutView="120" workbookViewId="0">
      <pane xSplit="5" ySplit="7" topLeftCell="F8" activePane="bottomRight" state="frozen"/>
      <selection pane="topRight" activeCell="F1" sqref="F1"/>
      <selection pane="bottomLeft" activeCell="A5" sqref="A5"/>
      <selection pane="bottomRight"/>
    </sheetView>
  </sheetViews>
  <sheetFormatPr defaultRowHeight="15"/>
  <cols>
    <col min="1" max="1" width="4.85546875" style="95" customWidth="1"/>
    <col min="2" max="2" width="7.140625" style="95" customWidth="1"/>
    <col min="3" max="3" width="32.5703125" style="95" customWidth="1"/>
    <col min="4" max="5" width="5.28515625" style="95" customWidth="1"/>
    <col min="6" max="21" width="4.5703125" style="95" customWidth="1"/>
    <col min="22" max="16384" width="9.140625" style="95"/>
  </cols>
  <sheetData>
    <row r="1" spans="1:21" ht="29.25" thickBot="1">
      <c r="A1" s="194" t="str">
        <f>"DAFTAR NILAI"&amp;" "&amp;menu!D14</f>
        <v>DAFTAR NILAI VII-J</v>
      </c>
      <c r="F1" s="601" t="s">
        <v>324</v>
      </c>
      <c r="G1" s="602"/>
      <c r="H1" s="602"/>
      <c r="I1" s="602"/>
      <c r="J1" s="602"/>
      <c r="K1" s="602"/>
      <c r="L1" s="603"/>
    </row>
    <row r="2" spans="1:21" ht="21" customHeight="1">
      <c r="A2" s="194" t="str">
        <f>menu!D13</f>
        <v>BHS INDONESIA</v>
      </c>
      <c r="O2" s="186" t="s">
        <v>323</v>
      </c>
      <c r="R2" s="195" t="str">
        <f>menu!D11</f>
        <v>LSC ANGGRETA, S. Pd</v>
      </c>
    </row>
    <row r="4" spans="1:21" ht="15" customHeight="1">
      <c r="A4" s="494" t="s">
        <v>15</v>
      </c>
      <c r="B4" s="494" t="s">
        <v>16</v>
      </c>
      <c r="C4" s="497" t="s">
        <v>0</v>
      </c>
      <c r="D4" s="498" t="s">
        <v>1</v>
      </c>
      <c r="E4" s="499" t="s">
        <v>17</v>
      </c>
      <c r="F4" s="498"/>
      <c r="G4" s="498"/>
      <c r="H4" s="498"/>
      <c r="I4" s="604" t="s">
        <v>7</v>
      </c>
      <c r="J4" s="498"/>
      <c r="K4" s="498"/>
      <c r="L4" s="498"/>
      <c r="M4" s="604" t="s">
        <v>7</v>
      </c>
      <c r="N4" s="498"/>
      <c r="O4" s="498"/>
      <c r="P4" s="498"/>
      <c r="Q4" s="604" t="s">
        <v>7</v>
      </c>
      <c r="R4" s="498"/>
      <c r="S4" s="498"/>
      <c r="T4" s="498"/>
      <c r="U4" s="604" t="s">
        <v>7</v>
      </c>
    </row>
    <row r="5" spans="1:21" ht="15" customHeight="1">
      <c r="A5" s="495"/>
      <c r="B5" s="495"/>
      <c r="C5" s="497"/>
      <c r="D5" s="498"/>
      <c r="E5" s="500"/>
      <c r="F5" s="498"/>
      <c r="G5" s="498"/>
      <c r="H5" s="498"/>
      <c r="I5" s="604"/>
      <c r="J5" s="498"/>
      <c r="K5" s="498"/>
      <c r="L5" s="498"/>
      <c r="M5" s="604"/>
      <c r="N5" s="498"/>
      <c r="O5" s="498"/>
      <c r="P5" s="498"/>
      <c r="Q5" s="604"/>
      <c r="R5" s="498"/>
      <c r="S5" s="498"/>
      <c r="T5" s="498"/>
      <c r="U5" s="604"/>
    </row>
    <row r="6" spans="1:21" s="98" customFormat="1" ht="80.25" customHeight="1">
      <c r="A6" s="496"/>
      <c r="B6" s="496"/>
      <c r="C6" s="497"/>
      <c r="D6" s="498"/>
      <c r="E6" s="501"/>
      <c r="F6" s="112" t="s">
        <v>31</v>
      </c>
      <c r="G6" s="113" t="s">
        <v>32</v>
      </c>
      <c r="H6" s="112" t="s">
        <v>33</v>
      </c>
      <c r="I6" s="604"/>
      <c r="J6" s="112" t="s">
        <v>31</v>
      </c>
      <c r="K6" s="113" t="s">
        <v>32</v>
      </c>
      <c r="L6" s="112" t="s">
        <v>33</v>
      </c>
      <c r="M6" s="604"/>
      <c r="N6" s="112" t="s">
        <v>31</v>
      </c>
      <c r="O6" s="113" t="s">
        <v>32</v>
      </c>
      <c r="P6" s="112" t="s">
        <v>33</v>
      </c>
      <c r="Q6" s="604"/>
      <c r="R6" s="112" t="s">
        <v>31</v>
      </c>
      <c r="S6" s="113" t="s">
        <v>32</v>
      </c>
      <c r="T6" s="112" t="s">
        <v>33</v>
      </c>
      <c r="U6" s="604"/>
    </row>
    <row r="7" spans="1:21">
      <c r="A7" s="99">
        <v>1</v>
      </c>
      <c r="B7" s="99">
        <v>2</v>
      </c>
      <c r="C7" s="99">
        <v>3</v>
      </c>
      <c r="D7" s="99">
        <v>4</v>
      </c>
      <c r="E7" s="99">
        <v>5</v>
      </c>
      <c r="F7" s="99">
        <v>6</v>
      </c>
      <c r="G7" s="99">
        <v>7</v>
      </c>
      <c r="H7" s="99">
        <v>8</v>
      </c>
      <c r="I7" s="99">
        <v>9</v>
      </c>
      <c r="J7" s="99">
        <v>10</v>
      </c>
      <c r="K7" s="99">
        <v>11</v>
      </c>
      <c r="L7" s="99">
        <v>12</v>
      </c>
      <c r="M7" s="99">
        <v>13</v>
      </c>
      <c r="N7" s="99">
        <v>14</v>
      </c>
      <c r="O7" s="99">
        <v>15</v>
      </c>
      <c r="P7" s="99">
        <v>16</v>
      </c>
      <c r="Q7" s="99">
        <v>17</v>
      </c>
      <c r="R7" s="99">
        <v>18</v>
      </c>
      <c r="S7" s="99">
        <v>19</v>
      </c>
      <c r="T7" s="99">
        <v>20</v>
      </c>
      <c r="U7" s="99">
        <v>21</v>
      </c>
    </row>
    <row r="8" spans="1:21" ht="17.25" customHeight="1">
      <c r="A8" s="107">
        <f>'DATA SISWA'!A5</f>
        <v>1</v>
      </c>
      <c r="B8" s="107" t="str">
        <f>'DATA SISWA'!B5</f>
        <v>7643</v>
      </c>
      <c r="C8" s="116" t="str">
        <f>'DATA SISWA'!C5</f>
        <v>ABD MANNAN</v>
      </c>
      <c r="D8" s="107" t="str">
        <f>'DATA SISWA'!D5</f>
        <v>L</v>
      </c>
      <c r="E8" s="107" t="str">
        <f>'DATA SISWA'!E5</f>
        <v>VII-J</v>
      </c>
      <c r="F8" s="91"/>
      <c r="G8" s="91"/>
      <c r="H8" s="91"/>
      <c r="I8" s="101"/>
      <c r="J8" s="91"/>
      <c r="K8" s="91"/>
      <c r="L8" s="91"/>
      <c r="M8" s="101"/>
      <c r="N8" s="91"/>
      <c r="O8" s="91"/>
      <c r="P8" s="91"/>
      <c r="Q8" s="101"/>
      <c r="R8" s="91"/>
      <c r="S8" s="91"/>
      <c r="T8" s="91"/>
      <c r="U8" s="101"/>
    </row>
    <row r="9" spans="1:21" ht="18" customHeight="1">
      <c r="A9" s="107">
        <f>'DATA SISWA'!A6</f>
        <v>2</v>
      </c>
      <c r="B9" s="107">
        <f>'DATA SISWA'!B6</f>
        <v>0</v>
      </c>
      <c r="C9" s="116">
        <f>'DATA SISWA'!C6</f>
        <v>0</v>
      </c>
      <c r="D9" s="107">
        <f>'DATA SISWA'!D6</f>
        <v>0</v>
      </c>
      <c r="E9" s="107" t="str">
        <f>'DATA SISWA'!E6</f>
        <v>VII-J</v>
      </c>
      <c r="F9" s="91"/>
      <c r="G9" s="91"/>
      <c r="H9" s="91"/>
      <c r="I9" s="101"/>
      <c r="J9" s="91"/>
      <c r="K9" s="91"/>
      <c r="L9" s="91"/>
      <c r="M9" s="101"/>
      <c r="N9" s="91"/>
      <c r="O9" s="91"/>
      <c r="P9" s="91"/>
      <c r="Q9" s="101"/>
      <c r="R9" s="91"/>
      <c r="S9" s="91"/>
      <c r="T9" s="91"/>
      <c r="U9" s="101"/>
    </row>
    <row r="10" spans="1:21">
      <c r="A10" s="107">
        <f>'DATA SISWA'!A7</f>
        <v>3</v>
      </c>
      <c r="B10" s="107" t="str">
        <f>'DATA SISWA'!B7</f>
        <v>7645</v>
      </c>
      <c r="C10" s="116" t="str">
        <f>'DATA SISWA'!C7</f>
        <v>ACHMAD ALFARESI</v>
      </c>
      <c r="D10" s="107" t="str">
        <f>'DATA SISWA'!D7</f>
        <v>L</v>
      </c>
      <c r="E10" s="107" t="str">
        <f>'DATA SISWA'!E7</f>
        <v>VII-J</v>
      </c>
      <c r="F10" s="91"/>
      <c r="G10" s="91"/>
      <c r="H10" s="91"/>
      <c r="I10" s="101"/>
      <c r="J10" s="91"/>
      <c r="K10" s="91"/>
      <c r="L10" s="91"/>
      <c r="M10" s="101"/>
      <c r="N10" s="91"/>
      <c r="O10" s="91"/>
      <c r="P10" s="91"/>
      <c r="Q10" s="101"/>
      <c r="R10" s="91"/>
      <c r="S10" s="91"/>
      <c r="T10" s="91"/>
      <c r="U10" s="101"/>
    </row>
    <row r="11" spans="1:21">
      <c r="A11" s="107">
        <f>'DATA SISWA'!A8</f>
        <v>4</v>
      </c>
      <c r="B11" s="107" t="str">
        <f>'DATA SISWA'!B8</f>
        <v>7674</v>
      </c>
      <c r="C11" s="116" t="str">
        <f>'DATA SISWA'!C8</f>
        <v>AGITA ZAHRAH MUFIDAH</v>
      </c>
      <c r="D11" s="107" t="str">
        <f>'DATA SISWA'!D8</f>
        <v>P</v>
      </c>
      <c r="E11" s="107" t="str">
        <f>'DATA SISWA'!E8</f>
        <v>VII-J</v>
      </c>
      <c r="F11" s="91"/>
      <c r="G11" s="91"/>
      <c r="H11" s="91"/>
      <c r="I11" s="101"/>
      <c r="J11" s="91"/>
      <c r="K11" s="91"/>
      <c r="L11" s="91"/>
      <c r="M11" s="101"/>
      <c r="N11" s="91"/>
      <c r="O11" s="91"/>
      <c r="P11" s="91"/>
      <c r="Q11" s="101"/>
      <c r="R11" s="91"/>
      <c r="S11" s="91"/>
      <c r="T11" s="91"/>
      <c r="U11" s="101"/>
    </row>
    <row r="12" spans="1:21">
      <c r="A12" s="107">
        <f>'DATA SISWA'!A9</f>
        <v>5</v>
      </c>
      <c r="B12" s="107" t="str">
        <f>'DATA SISWA'!B9</f>
        <v>7646</v>
      </c>
      <c r="C12" s="116" t="str">
        <f>'DATA SISWA'!C9</f>
        <v>AHMAD HAMBALI</v>
      </c>
      <c r="D12" s="107" t="str">
        <f>'DATA SISWA'!D9</f>
        <v>L</v>
      </c>
      <c r="E12" s="107" t="str">
        <f>'DATA SISWA'!E9</f>
        <v>VII-J</v>
      </c>
      <c r="F12" s="91"/>
      <c r="G12" s="91"/>
      <c r="H12" s="91"/>
      <c r="I12" s="101"/>
      <c r="J12" s="91"/>
      <c r="K12" s="91"/>
      <c r="L12" s="91"/>
      <c r="M12" s="101"/>
      <c r="N12" s="91"/>
      <c r="O12" s="91"/>
      <c r="P12" s="91"/>
      <c r="Q12" s="101"/>
      <c r="R12" s="91"/>
      <c r="S12" s="91"/>
      <c r="T12" s="91"/>
      <c r="U12" s="101"/>
    </row>
    <row r="13" spans="1:21">
      <c r="A13" s="107">
        <f>'DATA SISWA'!A10</f>
        <v>6</v>
      </c>
      <c r="B13" s="107" t="str">
        <f>'DATA SISWA'!B10</f>
        <v>7647</v>
      </c>
      <c r="C13" s="116" t="str">
        <f>'DATA SISWA'!C10</f>
        <v>AHMADI</v>
      </c>
      <c r="D13" s="107" t="str">
        <f>'DATA SISWA'!D10</f>
        <v>L</v>
      </c>
      <c r="E13" s="107" t="str">
        <f>'DATA SISWA'!E10</f>
        <v>VII-J</v>
      </c>
      <c r="F13" s="91"/>
      <c r="G13" s="91"/>
      <c r="H13" s="91"/>
      <c r="I13" s="101"/>
      <c r="J13" s="91"/>
      <c r="K13" s="91"/>
      <c r="L13" s="91"/>
      <c r="M13" s="101"/>
      <c r="N13" s="91"/>
      <c r="O13" s="91"/>
      <c r="P13" s="91"/>
      <c r="Q13" s="101"/>
      <c r="R13" s="91"/>
      <c r="S13" s="91"/>
      <c r="T13" s="91"/>
      <c r="U13" s="101"/>
    </row>
    <row r="14" spans="1:21">
      <c r="A14" s="107">
        <f>'DATA SISWA'!A11</f>
        <v>7</v>
      </c>
      <c r="B14" s="107" t="str">
        <f>'DATA SISWA'!B11</f>
        <v>7648</v>
      </c>
      <c r="C14" s="116" t="str">
        <f>'DATA SISWA'!C11</f>
        <v xml:space="preserve">AINUR ROFIK </v>
      </c>
      <c r="D14" s="107" t="str">
        <f>'DATA SISWA'!D11</f>
        <v>L</v>
      </c>
      <c r="E14" s="107" t="str">
        <f>'DATA SISWA'!E11</f>
        <v>VII-J</v>
      </c>
      <c r="F14" s="91"/>
      <c r="G14" s="91"/>
      <c r="H14" s="91"/>
      <c r="I14" s="101"/>
      <c r="J14" s="91"/>
      <c r="K14" s="91"/>
      <c r="L14" s="91"/>
      <c r="M14" s="101"/>
      <c r="N14" s="91"/>
      <c r="O14" s="91"/>
      <c r="P14" s="91"/>
      <c r="Q14" s="101"/>
      <c r="R14" s="91"/>
      <c r="S14" s="91"/>
      <c r="T14" s="91"/>
      <c r="U14" s="101"/>
    </row>
    <row r="15" spans="1:21">
      <c r="A15" s="107">
        <f>'DATA SISWA'!A12</f>
        <v>8</v>
      </c>
      <c r="B15" s="107" t="str">
        <f>'DATA SISWA'!B12</f>
        <v>7377</v>
      </c>
      <c r="C15" s="116" t="str">
        <f>'DATA SISWA'!C12</f>
        <v>AT-THORIQ BINTANG PRAJA</v>
      </c>
      <c r="D15" s="107" t="str">
        <f>'DATA SISWA'!D12</f>
        <v>L</v>
      </c>
      <c r="E15" s="107" t="str">
        <f>'DATA SISWA'!E12</f>
        <v>VII-J</v>
      </c>
      <c r="F15" s="91"/>
      <c r="G15" s="91"/>
      <c r="H15" s="91"/>
      <c r="I15" s="101"/>
      <c r="J15" s="91"/>
      <c r="K15" s="91"/>
      <c r="L15" s="91"/>
      <c r="M15" s="101"/>
      <c r="N15" s="91"/>
      <c r="O15" s="91"/>
      <c r="P15" s="91"/>
      <c r="Q15" s="101"/>
      <c r="R15" s="91"/>
      <c r="S15" s="91"/>
      <c r="T15" s="91"/>
      <c r="U15" s="101"/>
    </row>
    <row r="16" spans="1:21">
      <c r="A16" s="107">
        <f>'DATA SISWA'!A13</f>
        <v>9</v>
      </c>
      <c r="B16" s="107" t="str">
        <f>'DATA SISWA'!B13</f>
        <v>7649</v>
      </c>
      <c r="C16" s="116" t="str">
        <f>'DATA SISWA'!C13</f>
        <v>DEWI WULANDARI</v>
      </c>
      <c r="D16" s="107" t="str">
        <f>'DATA SISWA'!D13</f>
        <v>P</v>
      </c>
      <c r="E16" s="107" t="str">
        <f>'DATA SISWA'!E13</f>
        <v>VII-J</v>
      </c>
      <c r="F16" s="91"/>
      <c r="G16" s="91"/>
      <c r="H16" s="91"/>
      <c r="I16" s="101"/>
      <c r="J16" s="91"/>
      <c r="K16" s="91"/>
      <c r="L16" s="91"/>
      <c r="M16" s="101"/>
      <c r="N16" s="91"/>
      <c r="O16" s="91"/>
      <c r="P16" s="91"/>
      <c r="Q16" s="101"/>
      <c r="R16" s="91"/>
      <c r="S16" s="91"/>
      <c r="T16" s="91"/>
      <c r="U16" s="101"/>
    </row>
    <row r="17" spans="1:21">
      <c r="A17" s="107">
        <f>'DATA SISWA'!A14</f>
        <v>10</v>
      </c>
      <c r="B17" s="107" t="str">
        <f>'DATA SISWA'!B14</f>
        <v>7650</v>
      </c>
      <c r="C17" s="116" t="str">
        <f>'DATA SISWA'!C14</f>
        <v>ENI UMAMAH</v>
      </c>
      <c r="D17" s="107" t="str">
        <f>'DATA SISWA'!D14</f>
        <v>P</v>
      </c>
      <c r="E17" s="107" t="str">
        <f>'DATA SISWA'!E14</f>
        <v>VII-J</v>
      </c>
      <c r="F17" s="91"/>
      <c r="G17" s="91"/>
      <c r="H17" s="91"/>
      <c r="I17" s="101"/>
      <c r="J17" s="91"/>
      <c r="K17" s="91"/>
      <c r="L17" s="91"/>
      <c r="M17" s="101"/>
      <c r="N17" s="91"/>
      <c r="O17" s="91"/>
      <c r="P17" s="91"/>
      <c r="Q17" s="101"/>
      <c r="R17" s="91"/>
      <c r="S17" s="91"/>
      <c r="T17" s="91"/>
      <c r="U17" s="101"/>
    </row>
    <row r="18" spans="1:21">
      <c r="A18" s="107">
        <f>'DATA SISWA'!A15</f>
        <v>11</v>
      </c>
      <c r="B18" s="107" t="str">
        <f>'DATA SISWA'!B15</f>
        <v>7651</v>
      </c>
      <c r="C18" s="116" t="str">
        <f>'DATA SISWA'!C15</f>
        <v>FADIA FASSA</v>
      </c>
      <c r="D18" s="107" t="str">
        <f>'DATA SISWA'!D15</f>
        <v>P</v>
      </c>
      <c r="E18" s="107" t="str">
        <f>'DATA SISWA'!E15</f>
        <v>VII-J</v>
      </c>
      <c r="F18" s="91"/>
      <c r="G18" s="91"/>
      <c r="H18" s="91"/>
      <c r="I18" s="101"/>
      <c r="J18" s="91"/>
      <c r="K18" s="91"/>
      <c r="L18" s="91"/>
      <c r="M18" s="101"/>
      <c r="N18" s="91"/>
      <c r="O18" s="91"/>
      <c r="P18" s="91"/>
      <c r="Q18" s="101"/>
      <c r="R18" s="91"/>
      <c r="S18" s="91"/>
      <c r="T18" s="91"/>
      <c r="U18" s="101"/>
    </row>
    <row r="19" spans="1:21">
      <c r="A19" s="107">
        <f>'DATA SISWA'!A16</f>
        <v>12</v>
      </c>
      <c r="B19" s="107" t="str">
        <f>'DATA SISWA'!B16</f>
        <v>7652</v>
      </c>
      <c r="C19" s="116" t="str">
        <f>'DATA SISWA'!C16</f>
        <v>FATIMATUZ  ZAHROH</v>
      </c>
      <c r="D19" s="107" t="str">
        <f>'DATA SISWA'!D16</f>
        <v>P</v>
      </c>
      <c r="E19" s="107" t="str">
        <f>'DATA SISWA'!E16</f>
        <v>VII-J</v>
      </c>
      <c r="F19" s="91"/>
      <c r="G19" s="91"/>
      <c r="H19" s="91"/>
      <c r="I19" s="101"/>
      <c r="J19" s="91"/>
      <c r="K19" s="91"/>
      <c r="L19" s="91"/>
      <c r="M19" s="101"/>
      <c r="N19" s="91"/>
      <c r="O19" s="91"/>
      <c r="P19" s="91"/>
      <c r="Q19" s="101"/>
      <c r="R19" s="91"/>
      <c r="S19" s="91"/>
      <c r="T19" s="91"/>
      <c r="U19" s="101"/>
    </row>
    <row r="20" spans="1:21">
      <c r="A20" s="107">
        <f>'DATA SISWA'!A17</f>
        <v>13</v>
      </c>
      <c r="B20" s="107" t="str">
        <f>'DATA SISWA'!B17</f>
        <v>7653</v>
      </c>
      <c r="C20" s="116" t="str">
        <f>'DATA SISWA'!C17</f>
        <v>IMAM FATONI</v>
      </c>
      <c r="D20" s="107" t="str">
        <f>'DATA SISWA'!D17</f>
        <v>L</v>
      </c>
      <c r="E20" s="107" t="str">
        <f>'DATA SISWA'!E17</f>
        <v>VII-J</v>
      </c>
      <c r="F20" s="91"/>
      <c r="G20" s="91"/>
      <c r="H20" s="91"/>
      <c r="I20" s="101"/>
      <c r="J20" s="91"/>
      <c r="K20" s="91"/>
      <c r="L20" s="91"/>
      <c r="M20" s="101"/>
      <c r="N20" s="91"/>
      <c r="O20" s="91"/>
      <c r="P20" s="91"/>
      <c r="Q20" s="101"/>
      <c r="R20" s="91"/>
      <c r="S20" s="91"/>
      <c r="T20" s="91"/>
      <c r="U20" s="101"/>
    </row>
    <row r="21" spans="1:21">
      <c r="A21" s="107">
        <f>'DATA SISWA'!A18</f>
        <v>14</v>
      </c>
      <c r="B21" s="107" t="str">
        <f>'DATA SISWA'!B18</f>
        <v>7654</v>
      </c>
      <c r="C21" s="116" t="str">
        <f>'DATA SISWA'!C18</f>
        <v>ISMA SRI WAHYUNI</v>
      </c>
      <c r="D21" s="107" t="str">
        <f>'DATA SISWA'!D18</f>
        <v>P</v>
      </c>
      <c r="E21" s="107" t="str">
        <f>'DATA SISWA'!E18</f>
        <v>VII-J</v>
      </c>
      <c r="F21" s="91"/>
      <c r="G21" s="91"/>
      <c r="H21" s="91"/>
      <c r="I21" s="101"/>
      <c r="J21" s="91"/>
      <c r="K21" s="91"/>
      <c r="L21" s="91"/>
      <c r="M21" s="101"/>
      <c r="N21" s="91"/>
      <c r="O21" s="91"/>
      <c r="P21" s="91"/>
      <c r="Q21" s="101"/>
      <c r="R21" s="91"/>
      <c r="S21" s="91"/>
      <c r="T21" s="91"/>
      <c r="U21" s="101"/>
    </row>
    <row r="22" spans="1:21">
      <c r="A22" s="107">
        <f>'DATA SISWA'!A19</f>
        <v>15</v>
      </c>
      <c r="B22" s="107" t="str">
        <f>'DATA SISWA'!B19</f>
        <v>7655</v>
      </c>
      <c r="C22" s="116" t="str">
        <f>'DATA SISWA'!C19</f>
        <v>JAKFAR SODIK ROMADHONI</v>
      </c>
      <c r="D22" s="107" t="str">
        <f>'DATA SISWA'!D19</f>
        <v>L</v>
      </c>
      <c r="E22" s="107" t="str">
        <f>'DATA SISWA'!E19</f>
        <v>VII-J</v>
      </c>
      <c r="F22" s="91"/>
      <c r="G22" s="91"/>
      <c r="H22" s="91"/>
      <c r="I22" s="101"/>
      <c r="J22" s="91"/>
      <c r="K22" s="91"/>
      <c r="L22" s="91"/>
      <c r="M22" s="101"/>
      <c r="N22" s="91"/>
      <c r="O22" s="91"/>
      <c r="P22" s="91"/>
      <c r="Q22" s="101"/>
      <c r="R22" s="91"/>
      <c r="S22" s="91"/>
      <c r="T22" s="91"/>
      <c r="U22" s="101"/>
    </row>
    <row r="23" spans="1:21">
      <c r="A23" s="107">
        <f>'DATA SISWA'!A20</f>
        <v>16</v>
      </c>
      <c r="B23" s="107" t="str">
        <f>'DATA SISWA'!B20</f>
        <v>7656</v>
      </c>
      <c r="C23" s="116" t="str">
        <f>'DATA SISWA'!C20</f>
        <v>KHOIRIL NISA'</v>
      </c>
      <c r="D23" s="107" t="str">
        <f>'DATA SISWA'!D20</f>
        <v>P</v>
      </c>
      <c r="E23" s="107" t="str">
        <f>'DATA SISWA'!E20</f>
        <v>VII-J</v>
      </c>
      <c r="F23" s="91"/>
      <c r="G23" s="91"/>
      <c r="H23" s="91"/>
      <c r="I23" s="101"/>
      <c r="J23" s="91"/>
      <c r="K23" s="91"/>
      <c r="L23" s="91"/>
      <c r="M23" s="101"/>
      <c r="N23" s="91"/>
      <c r="O23" s="91"/>
      <c r="P23" s="91"/>
      <c r="Q23" s="101"/>
      <c r="R23" s="91"/>
      <c r="S23" s="91"/>
      <c r="T23" s="91"/>
      <c r="U23" s="101"/>
    </row>
    <row r="24" spans="1:21">
      <c r="A24" s="107">
        <f>'DATA SISWA'!A21</f>
        <v>17</v>
      </c>
      <c r="B24" s="107" t="str">
        <f>'DATA SISWA'!B21</f>
        <v>7657</v>
      </c>
      <c r="C24" s="116" t="str">
        <f>'DATA SISWA'!C21</f>
        <v>LATIFA MAHARANI</v>
      </c>
      <c r="D24" s="107" t="str">
        <f>'DATA SISWA'!D21</f>
        <v>P</v>
      </c>
      <c r="E24" s="107" t="str">
        <f>'DATA SISWA'!E21</f>
        <v>VII-J</v>
      </c>
      <c r="F24" s="91"/>
      <c r="G24" s="91"/>
      <c r="H24" s="91"/>
      <c r="I24" s="101"/>
      <c r="J24" s="91"/>
      <c r="K24" s="91"/>
      <c r="L24" s="91"/>
      <c r="M24" s="101"/>
      <c r="N24" s="91"/>
      <c r="O24" s="91"/>
      <c r="P24" s="91"/>
      <c r="Q24" s="101"/>
      <c r="R24" s="91"/>
      <c r="S24" s="91"/>
      <c r="T24" s="91"/>
      <c r="U24" s="101"/>
    </row>
    <row r="25" spans="1:21">
      <c r="A25" s="107">
        <f>'DATA SISWA'!A22</f>
        <v>18</v>
      </c>
      <c r="B25" s="107" t="str">
        <f>'DATA SISWA'!B22</f>
        <v>7658</v>
      </c>
      <c r="C25" s="116" t="str">
        <f>'DATA SISWA'!C22</f>
        <v>LUQMANUL FIKRI SYAIFULLAH</v>
      </c>
      <c r="D25" s="107" t="str">
        <f>'DATA SISWA'!D22</f>
        <v>L</v>
      </c>
      <c r="E25" s="107" t="str">
        <f>'DATA SISWA'!E22</f>
        <v>VII-J</v>
      </c>
      <c r="F25" s="91"/>
      <c r="G25" s="91"/>
      <c r="H25" s="91"/>
      <c r="I25" s="101"/>
      <c r="J25" s="91"/>
      <c r="K25" s="91"/>
      <c r="L25" s="91"/>
      <c r="M25" s="101"/>
      <c r="N25" s="91"/>
      <c r="O25" s="91"/>
      <c r="P25" s="91"/>
      <c r="Q25" s="101"/>
      <c r="R25" s="91"/>
      <c r="S25" s="91"/>
      <c r="T25" s="91"/>
      <c r="U25" s="101"/>
    </row>
    <row r="26" spans="1:21">
      <c r="A26" s="107">
        <f>'DATA SISWA'!A23</f>
        <v>19</v>
      </c>
      <c r="B26" s="107" t="str">
        <f>'DATA SISWA'!B23</f>
        <v>7659</v>
      </c>
      <c r="C26" s="116" t="str">
        <f>'DATA SISWA'!C23</f>
        <v>MAR'ATUS SOLEHAH</v>
      </c>
      <c r="D26" s="107" t="str">
        <f>'DATA SISWA'!D23</f>
        <v>P</v>
      </c>
      <c r="E26" s="107" t="str">
        <f>'DATA SISWA'!E23</f>
        <v>VII-J</v>
      </c>
      <c r="F26" s="91"/>
      <c r="G26" s="91"/>
      <c r="H26" s="91"/>
      <c r="I26" s="101"/>
      <c r="J26" s="91"/>
      <c r="K26" s="91"/>
      <c r="L26" s="91"/>
      <c r="M26" s="101"/>
      <c r="N26" s="91"/>
      <c r="O26" s="91"/>
      <c r="P26" s="91"/>
      <c r="Q26" s="101"/>
      <c r="R26" s="91"/>
      <c r="S26" s="91"/>
      <c r="T26" s="91"/>
      <c r="U26" s="101"/>
    </row>
    <row r="27" spans="1:21">
      <c r="A27" s="107">
        <f>'DATA SISWA'!A24</f>
        <v>20</v>
      </c>
      <c r="B27" s="107" t="str">
        <f>'DATA SISWA'!B24</f>
        <v>7660</v>
      </c>
      <c r="C27" s="116" t="str">
        <f>'DATA SISWA'!C24</f>
        <v>MOCH.  SHOLEH W. H</v>
      </c>
      <c r="D27" s="107" t="str">
        <f>'DATA SISWA'!D24</f>
        <v>L</v>
      </c>
      <c r="E27" s="107" t="str">
        <f>'DATA SISWA'!E24</f>
        <v>VII-J</v>
      </c>
      <c r="F27" s="91"/>
      <c r="G27" s="91"/>
      <c r="H27" s="91"/>
      <c r="I27" s="101"/>
      <c r="J27" s="91"/>
      <c r="K27" s="91"/>
      <c r="L27" s="91"/>
      <c r="M27" s="101"/>
      <c r="N27" s="91"/>
      <c r="O27" s="91"/>
      <c r="P27" s="91"/>
      <c r="Q27" s="101"/>
      <c r="R27" s="91"/>
      <c r="S27" s="91"/>
      <c r="T27" s="91"/>
      <c r="U27" s="101"/>
    </row>
    <row r="28" spans="1:21">
      <c r="A28" s="107">
        <f>'DATA SISWA'!A25</f>
        <v>21</v>
      </c>
      <c r="B28" s="107" t="str">
        <f>'DATA SISWA'!B25</f>
        <v>7661</v>
      </c>
      <c r="C28" s="116" t="str">
        <f>'DATA SISWA'!C25</f>
        <v>MOCH. FAWES</v>
      </c>
      <c r="D28" s="107" t="str">
        <f>'DATA SISWA'!D25</f>
        <v>L</v>
      </c>
      <c r="E28" s="107" t="str">
        <f>'DATA SISWA'!E25</f>
        <v>VII-J</v>
      </c>
      <c r="F28" s="91"/>
      <c r="G28" s="91"/>
      <c r="H28" s="91"/>
      <c r="I28" s="101"/>
      <c r="J28" s="91"/>
      <c r="K28" s="91"/>
      <c r="L28" s="91"/>
      <c r="M28" s="101"/>
      <c r="N28" s="91"/>
      <c r="O28" s="91"/>
      <c r="P28" s="91"/>
      <c r="Q28" s="101"/>
      <c r="R28" s="91"/>
      <c r="S28" s="91"/>
      <c r="T28" s="91"/>
      <c r="U28" s="101"/>
    </row>
    <row r="29" spans="1:21">
      <c r="A29" s="107">
        <f>'DATA SISWA'!A26</f>
        <v>22</v>
      </c>
      <c r="B29" s="107" t="str">
        <f>'DATA SISWA'!B26</f>
        <v>7662</v>
      </c>
      <c r="C29" s="116" t="str">
        <f>'DATA SISWA'!C26</f>
        <v>MOH SAHRUL RAMADON</v>
      </c>
      <c r="D29" s="107" t="str">
        <f>'DATA SISWA'!D26</f>
        <v>L</v>
      </c>
      <c r="E29" s="107" t="str">
        <f>'DATA SISWA'!E26</f>
        <v>VII-J</v>
      </c>
      <c r="F29" s="91"/>
      <c r="G29" s="91"/>
      <c r="H29" s="91"/>
      <c r="I29" s="101"/>
      <c r="J29" s="91"/>
      <c r="K29" s="91"/>
      <c r="L29" s="91"/>
      <c r="M29" s="101"/>
      <c r="N29" s="91"/>
      <c r="O29" s="91"/>
      <c r="P29" s="91"/>
      <c r="Q29" s="101"/>
      <c r="R29" s="91"/>
      <c r="S29" s="91"/>
      <c r="T29" s="91"/>
      <c r="U29" s="101"/>
    </row>
    <row r="30" spans="1:21">
      <c r="A30" s="107">
        <f>'DATA SISWA'!A27</f>
        <v>23</v>
      </c>
      <c r="B30" s="107" t="str">
        <f>'DATA SISWA'!B27</f>
        <v>7664</v>
      </c>
      <c r="C30" s="116" t="str">
        <f>'DATA SISWA'!C27</f>
        <v>MOHAMMAD RAMADAN PURNOMO</v>
      </c>
      <c r="D30" s="107" t="str">
        <f>'DATA SISWA'!D27</f>
        <v>L</v>
      </c>
      <c r="E30" s="107" t="str">
        <f>'DATA SISWA'!E27</f>
        <v>VII-J</v>
      </c>
      <c r="F30" s="91"/>
      <c r="G30" s="91"/>
      <c r="H30" s="91"/>
      <c r="I30" s="101"/>
      <c r="J30" s="91"/>
      <c r="K30" s="91"/>
      <c r="L30" s="91"/>
      <c r="M30" s="101"/>
      <c r="N30" s="91"/>
      <c r="O30" s="91"/>
      <c r="P30" s="91"/>
      <c r="Q30" s="101"/>
      <c r="R30" s="91"/>
      <c r="S30" s="91"/>
      <c r="T30" s="91"/>
      <c r="U30" s="101"/>
    </row>
    <row r="31" spans="1:21">
      <c r="A31" s="107">
        <f>'DATA SISWA'!A28</f>
        <v>24</v>
      </c>
      <c r="B31" s="107" t="str">
        <f>'DATA SISWA'!B28</f>
        <v>7665</v>
      </c>
      <c r="C31" s="116" t="str">
        <f>'DATA SISWA'!C28</f>
        <v>MOHAMMAD ROFI'I</v>
      </c>
      <c r="D31" s="107" t="str">
        <f>'DATA SISWA'!D28</f>
        <v>L</v>
      </c>
      <c r="E31" s="107" t="str">
        <f>'DATA SISWA'!E28</f>
        <v>VII-J</v>
      </c>
      <c r="F31" s="91"/>
      <c r="G31" s="91"/>
      <c r="H31" s="91"/>
      <c r="I31" s="101"/>
      <c r="J31" s="91"/>
      <c r="K31" s="91"/>
      <c r="L31" s="91"/>
      <c r="M31" s="101"/>
      <c r="N31" s="91"/>
      <c r="O31" s="91"/>
      <c r="P31" s="91"/>
      <c r="Q31" s="101"/>
      <c r="R31" s="91"/>
      <c r="S31" s="91"/>
      <c r="T31" s="91"/>
      <c r="U31" s="101"/>
    </row>
    <row r="32" spans="1:21">
      <c r="A32" s="107">
        <f>'DATA SISWA'!A29</f>
        <v>25</v>
      </c>
      <c r="B32" s="107" t="str">
        <f>'DATA SISWA'!B29</f>
        <v>7666</v>
      </c>
      <c r="C32" s="116" t="str">
        <f>'DATA SISWA'!C29</f>
        <v>NI'MATUS SHOLIHA</v>
      </c>
      <c r="D32" s="107" t="str">
        <f>'DATA SISWA'!D29</f>
        <v>P</v>
      </c>
      <c r="E32" s="107" t="str">
        <f>'DATA SISWA'!E29</f>
        <v>VII-J</v>
      </c>
      <c r="F32" s="91"/>
      <c r="G32" s="91"/>
      <c r="H32" s="91"/>
      <c r="I32" s="101"/>
      <c r="J32" s="91"/>
      <c r="K32" s="91"/>
      <c r="L32" s="91"/>
      <c r="M32" s="101"/>
      <c r="N32" s="91"/>
      <c r="O32" s="91"/>
      <c r="P32" s="91"/>
      <c r="Q32" s="101"/>
      <c r="R32" s="91"/>
      <c r="S32" s="91"/>
      <c r="T32" s="91"/>
      <c r="U32" s="101"/>
    </row>
    <row r="33" spans="1:21">
      <c r="A33" s="107">
        <f>'DATA SISWA'!A30</f>
        <v>26</v>
      </c>
      <c r="B33" s="107" t="str">
        <f>'DATA SISWA'!B30</f>
        <v>7676</v>
      </c>
      <c r="C33" s="116" t="str">
        <f>'DATA SISWA'!C30</f>
        <v>PANJI FIKRI ISLAMI</v>
      </c>
      <c r="D33" s="107" t="str">
        <f>'DATA SISWA'!D30</f>
        <v>L</v>
      </c>
      <c r="E33" s="107" t="str">
        <f>'DATA SISWA'!E30</f>
        <v>VII-J</v>
      </c>
      <c r="F33" s="91"/>
      <c r="G33" s="91"/>
      <c r="H33" s="91"/>
      <c r="I33" s="101"/>
      <c r="J33" s="91"/>
      <c r="K33" s="91"/>
      <c r="L33" s="91"/>
      <c r="M33" s="101"/>
      <c r="N33" s="91"/>
      <c r="O33" s="91"/>
      <c r="P33" s="91"/>
      <c r="Q33" s="101"/>
      <c r="R33" s="91"/>
      <c r="S33" s="91"/>
      <c r="T33" s="91"/>
      <c r="U33" s="101"/>
    </row>
    <row r="34" spans="1:21">
      <c r="A34" s="107">
        <f>'DATA SISWA'!A31</f>
        <v>27</v>
      </c>
      <c r="B34" s="107" t="str">
        <f>'DATA SISWA'!B31</f>
        <v>7667</v>
      </c>
      <c r="C34" s="116" t="str">
        <f>'DATA SISWA'!C31</f>
        <v>RACMAT MAULIDI ABDANY</v>
      </c>
      <c r="D34" s="107" t="str">
        <f>'DATA SISWA'!D31</f>
        <v>L</v>
      </c>
      <c r="E34" s="107" t="str">
        <f>'DATA SISWA'!E31</f>
        <v>VII-J</v>
      </c>
      <c r="F34" s="91"/>
      <c r="G34" s="91"/>
      <c r="H34" s="91"/>
      <c r="I34" s="101"/>
      <c r="J34" s="91"/>
      <c r="K34" s="91"/>
      <c r="L34" s="91"/>
      <c r="M34" s="101"/>
      <c r="N34" s="91"/>
      <c r="O34" s="91"/>
      <c r="P34" s="91"/>
      <c r="Q34" s="101"/>
      <c r="R34" s="91"/>
      <c r="S34" s="91"/>
      <c r="T34" s="91"/>
      <c r="U34" s="101"/>
    </row>
    <row r="35" spans="1:21">
      <c r="A35" s="107">
        <f>'DATA SISWA'!A32</f>
        <v>28</v>
      </c>
      <c r="B35" s="107" t="str">
        <f>'DATA SISWA'!B32</f>
        <v>7668</v>
      </c>
      <c r="C35" s="116" t="str">
        <f>'DATA SISWA'!C32</f>
        <v>RAIHAN</v>
      </c>
      <c r="D35" s="107" t="str">
        <f>'DATA SISWA'!D32</f>
        <v>L</v>
      </c>
      <c r="E35" s="107" t="str">
        <f>'DATA SISWA'!E32</f>
        <v>VII-J</v>
      </c>
      <c r="F35" s="91"/>
      <c r="G35" s="91"/>
      <c r="H35" s="91"/>
      <c r="I35" s="101"/>
      <c r="J35" s="91"/>
      <c r="K35" s="91"/>
      <c r="L35" s="91"/>
      <c r="M35" s="101"/>
      <c r="N35" s="91"/>
      <c r="O35" s="91"/>
      <c r="P35" s="91"/>
      <c r="Q35" s="101"/>
      <c r="R35" s="91"/>
      <c r="S35" s="91"/>
      <c r="T35" s="91"/>
      <c r="U35" s="101"/>
    </row>
    <row r="36" spans="1:21">
      <c r="A36" s="107">
        <f>'DATA SISWA'!A33</f>
        <v>29</v>
      </c>
      <c r="B36" s="107" t="str">
        <f>'DATA SISWA'!B33</f>
        <v>7669</v>
      </c>
      <c r="C36" s="116" t="str">
        <f>'DATA SISWA'!C33</f>
        <v>REFITA ANNASTASYA</v>
      </c>
      <c r="D36" s="107" t="str">
        <f>'DATA SISWA'!D33</f>
        <v>P</v>
      </c>
      <c r="E36" s="107" t="str">
        <f>'DATA SISWA'!E33</f>
        <v>VII-J</v>
      </c>
      <c r="F36" s="91"/>
      <c r="G36" s="91"/>
      <c r="H36" s="91"/>
      <c r="I36" s="101"/>
      <c r="J36" s="91"/>
      <c r="K36" s="91"/>
      <c r="L36" s="91"/>
      <c r="M36" s="101"/>
      <c r="N36" s="91"/>
      <c r="O36" s="91"/>
      <c r="P36" s="91"/>
      <c r="Q36" s="101"/>
      <c r="R36" s="91"/>
      <c r="S36" s="91"/>
      <c r="T36" s="91"/>
      <c r="U36" s="101"/>
    </row>
    <row r="37" spans="1:21">
      <c r="A37" s="107">
        <f>'DATA SISWA'!A34</f>
        <v>30</v>
      </c>
      <c r="B37" s="107" t="str">
        <f>'DATA SISWA'!B34</f>
        <v>7670</v>
      </c>
      <c r="C37" s="116" t="str">
        <f>'DATA SISWA'!C34</f>
        <v>RISKIYAH</v>
      </c>
      <c r="D37" s="107" t="str">
        <f>'DATA SISWA'!D34</f>
        <v>P</v>
      </c>
      <c r="E37" s="107" t="str">
        <f>'DATA SISWA'!E34</f>
        <v>VII-J</v>
      </c>
      <c r="F37" s="91"/>
      <c r="G37" s="91"/>
      <c r="H37" s="91"/>
      <c r="I37" s="101"/>
      <c r="J37" s="91"/>
      <c r="K37" s="91"/>
      <c r="L37" s="91"/>
      <c r="M37" s="101"/>
      <c r="N37" s="91"/>
      <c r="O37" s="91"/>
      <c r="P37" s="91"/>
      <c r="Q37" s="101"/>
      <c r="R37" s="91"/>
      <c r="S37" s="91"/>
      <c r="T37" s="91"/>
      <c r="U37" s="101"/>
    </row>
    <row r="38" spans="1:21">
      <c r="A38" s="107">
        <f>'DATA SISWA'!A35</f>
        <v>31</v>
      </c>
      <c r="B38" s="107" t="str">
        <f>'DATA SISWA'!B35</f>
        <v>7671</v>
      </c>
      <c r="C38" s="116" t="str">
        <f>'DATA SISWA'!C35</f>
        <v>SALILATUL HUSNA</v>
      </c>
      <c r="D38" s="107" t="str">
        <f>'DATA SISWA'!D35</f>
        <v>P</v>
      </c>
      <c r="E38" s="107" t="str">
        <f>'DATA SISWA'!E35</f>
        <v>VII-J</v>
      </c>
      <c r="F38" s="91"/>
      <c r="G38" s="91"/>
      <c r="H38" s="91"/>
      <c r="I38" s="101"/>
      <c r="J38" s="91"/>
      <c r="K38" s="91"/>
      <c r="L38" s="91"/>
      <c r="M38" s="101"/>
      <c r="N38" s="91"/>
      <c r="O38" s="91"/>
      <c r="P38" s="91"/>
      <c r="Q38" s="101"/>
      <c r="R38" s="91"/>
      <c r="S38" s="91"/>
      <c r="T38" s="91"/>
      <c r="U38" s="101"/>
    </row>
    <row r="39" spans="1:21">
      <c r="A39" s="107">
        <f>'DATA SISWA'!A36</f>
        <v>32</v>
      </c>
      <c r="B39" s="107" t="str">
        <f>'DATA SISWA'!B36</f>
        <v>7672</v>
      </c>
      <c r="C39" s="116" t="str">
        <f>'DATA SISWA'!C36</f>
        <v>SALMA NABILA</v>
      </c>
      <c r="D39" s="107" t="str">
        <f>'DATA SISWA'!D36</f>
        <v>P</v>
      </c>
      <c r="E39" s="107" t="str">
        <f>'DATA SISWA'!E36</f>
        <v>VII-J</v>
      </c>
      <c r="F39" s="91"/>
      <c r="G39" s="91"/>
      <c r="H39" s="91"/>
      <c r="I39" s="101"/>
      <c r="J39" s="91"/>
      <c r="K39" s="91"/>
      <c r="L39" s="91"/>
      <c r="M39" s="101"/>
      <c r="N39" s="91"/>
      <c r="O39" s="91"/>
      <c r="P39" s="91"/>
      <c r="Q39" s="101"/>
      <c r="R39" s="91"/>
      <c r="S39" s="91"/>
      <c r="T39" s="91"/>
      <c r="U39" s="101"/>
    </row>
    <row r="40" spans="1:21">
      <c r="A40" s="107">
        <f>'DATA SISWA'!A37</f>
        <v>33</v>
      </c>
      <c r="B40" s="107" t="str">
        <f>'DATA SISWA'!B37</f>
        <v>7673</v>
      </c>
      <c r="C40" s="116" t="str">
        <f>'DATA SISWA'!C37</f>
        <v>SITI AINUR ROHIMAH</v>
      </c>
      <c r="D40" s="107" t="str">
        <f>'DATA SISWA'!D37</f>
        <v>P</v>
      </c>
      <c r="E40" s="107" t="str">
        <f>'DATA SISWA'!E37</f>
        <v>VII-J</v>
      </c>
      <c r="F40" s="91"/>
      <c r="G40" s="91"/>
      <c r="H40" s="91"/>
      <c r="I40" s="101"/>
      <c r="J40" s="91"/>
      <c r="K40" s="91"/>
      <c r="L40" s="91"/>
      <c r="M40" s="101"/>
      <c r="N40" s="91"/>
      <c r="O40" s="91"/>
      <c r="P40" s="91"/>
      <c r="Q40" s="101"/>
      <c r="R40" s="91"/>
      <c r="S40" s="91"/>
      <c r="T40" s="91"/>
      <c r="U40" s="101"/>
    </row>
    <row r="41" spans="1:21">
      <c r="A41" s="107">
        <f>'DATA SISWA'!A38</f>
        <v>34</v>
      </c>
      <c r="B41" s="107" t="str">
        <f>'DATA SISWA'!B38</f>
        <v>7675</v>
      </c>
      <c r="C41" s="116" t="str">
        <f>'DATA SISWA'!C38</f>
        <v>SYARIF HIDAYATULLOH</v>
      </c>
      <c r="D41" s="107" t="str">
        <f>'DATA SISWA'!D38</f>
        <v>L</v>
      </c>
      <c r="E41" s="107" t="str">
        <f>'DATA SISWA'!E38</f>
        <v>VII-J</v>
      </c>
      <c r="F41" s="91"/>
      <c r="G41" s="91"/>
      <c r="H41" s="91"/>
      <c r="I41" s="101"/>
      <c r="J41" s="91"/>
      <c r="K41" s="91"/>
      <c r="L41" s="91"/>
      <c r="M41" s="101"/>
      <c r="N41" s="91"/>
      <c r="O41" s="91"/>
      <c r="P41" s="91"/>
      <c r="Q41" s="101"/>
      <c r="R41" s="91"/>
      <c r="S41" s="91"/>
      <c r="T41" s="91"/>
      <c r="U41" s="101"/>
    </row>
    <row r="42" spans="1:21">
      <c r="A42" s="107">
        <f>'DATA SISWA'!A39</f>
        <v>35</v>
      </c>
      <c r="B42" s="107" t="str">
        <f>'DATA SISWA'!B39</f>
        <v>7444</v>
      </c>
      <c r="C42" s="116" t="str">
        <f>'DATA SISWA'!C39</f>
        <v>URVIA ZAHNA ROHANDY</v>
      </c>
      <c r="D42" s="107" t="str">
        <f>'DATA SISWA'!D39</f>
        <v>P</v>
      </c>
      <c r="E42" s="107" t="str">
        <f>'DATA SISWA'!E39</f>
        <v>VII-J</v>
      </c>
      <c r="F42" s="91"/>
      <c r="G42" s="91"/>
      <c r="H42" s="91"/>
      <c r="I42" s="101"/>
      <c r="J42" s="91"/>
      <c r="K42" s="91"/>
      <c r="L42" s="91"/>
      <c r="M42" s="101"/>
      <c r="N42" s="91"/>
      <c r="O42" s="91"/>
      <c r="P42" s="91"/>
      <c r="Q42" s="101"/>
      <c r="R42" s="91"/>
      <c r="S42" s="91"/>
      <c r="T42" s="91"/>
      <c r="U42" s="101"/>
    </row>
    <row r="43" spans="1:21">
      <c r="A43" s="107">
        <f>'DATA SISWA'!A40</f>
        <v>36</v>
      </c>
      <c r="B43" s="107">
        <f>'DATA SISWA'!B40</f>
        <v>0</v>
      </c>
      <c r="C43" s="116">
        <f>'DATA SISWA'!C40</f>
        <v>0</v>
      </c>
      <c r="D43" s="107">
        <f>'DATA SISWA'!D40</f>
        <v>0</v>
      </c>
      <c r="E43" s="107" t="str">
        <f>'DATA SISWA'!E40</f>
        <v>VII-J</v>
      </c>
      <c r="F43" s="91"/>
      <c r="G43" s="91"/>
      <c r="H43" s="91"/>
      <c r="I43" s="101"/>
      <c r="J43" s="91"/>
      <c r="K43" s="91"/>
      <c r="L43" s="91"/>
      <c r="M43" s="101"/>
      <c r="N43" s="91"/>
      <c r="O43" s="91"/>
      <c r="P43" s="91"/>
      <c r="Q43" s="101"/>
      <c r="R43" s="91"/>
      <c r="S43" s="91"/>
      <c r="T43" s="91"/>
      <c r="U43" s="101"/>
    </row>
    <row r="44" spans="1:21">
      <c r="A44" s="107">
        <f>'DATA SISWA'!A41</f>
        <v>37</v>
      </c>
      <c r="B44" s="107">
        <f>'DATA SISWA'!B41</f>
        <v>0</v>
      </c>
      <c r="C44" s="116">
        <f>'DATA SISWA'!C41</f>
        <v>0</v>
      </c>
      <c r="D44" s="107">
        <f>'DATA SISWA'!D41</f>
        <v>0</v>
      </c>
      <c r="E44" s="107" t="str">
        <f>'DATA SISWA'!E41</f>
        <v>VII-J</v>
      </c>
      <c r="F44" s="91"/>
      <c r="G44" s="91"/>
      <c r="H44" s="91"/>
      <c r="I44" s="101"/>
      <c r="J44" s="91"/>
      <c r="K44" s="91"/>
      <c r="L44" s="91"/>
      <c r="M44" s="101"/>
      <c r="N44" s="91"/>
      <c r="O44" s="91"/>
      <c r="P44" s="91"/>
      <c r="Q44" s="101"/>
      <c r="R44" s="91"/>
      <c r="S44" s="91"/>
      <c r="T44" s="91"/>
      <c r="U44" s="101"/>
    </row>
    <row r="45" spans="1:21">
      <c r="A45" s="107">
        <f>'DATA SISWA'!A42</f>
        <v>38</v>
      </c>
      <c r="B45" s="107">
        <f>'DATA SISWA'!B42</f>
        <v>0</v>
      </c>
      <c r="C45" s="116">
        <f>'DATA SISWA'!C42</f>
        <v>0</v>
      </c>
      <c r="D45" s="107">
        <f>'DATA SISWA'!D42</f>
        <v>0</v>
      </c>
      <c r="E45" s="107" t="str">
        <f>'DATA SISWA'!E42</f>
        <v>VII-J</v>
      </c>
      <c r="F45" s="91"/>
      <c r="G45" s="91"/>
      <c r="H45" s="91"/>
      <c r="I45" s="101"/>
      <c r="J45" s="91"/>
      <c r="K45" s="91"/>
      <c r="L45" s="91"/>
      <c r="M45" s="101"/>
      <c r="N45" s="91"/>
      <c r="O45" s="91"/>
      <c r="P45" s="91"/>
      <c r="Q45" s="101"/>
      <c r="R45" s="91"/>
      <c r="S45" s="91"/>
      <c r="T45" s="91"/>
      <c r="U45" s="101"/>
    </row>
    <row r="46" spans="1:21">
      <c r="A46" s="107">
        <f>'DATA SISWA'!A43</f>
        <v>39</v>
      </c>
      <c r="B46" s="107">
        <f>'DATA SISWA'!B43</f>
        <v>0</v>
      </c>
      <c r="C46" s="116">
        <f>'DATA SISWA'!C43</f>
        <v>0</v>
      </c>
      <c r="D46" s="107">
        <f>'DATA SISWA'!D43</f>
        <v>0</v>
      </c>
      <c r="E46" s="107" t="str">
        <f>'DATA SISWA'!E43</f>
        <v>VII-J</v>
      </c>
      <c r="F46" s="91"/>
      <c r="G46" s="91"/>
      <c r="H46" s="91"/>
      <c r="I46" s="101"/>
      <c r="J46" s="91"/>
      <c r="K46" s="91"/>
      <c r="L46" s="91"/>
      <c r="M46" s="101"/>
      <c r="N46" s="91"/>
      <c r="O46" s="91"/>
      <c r="P46" s="91"/>
      <c r="Q46" s="101"/>
      <c r="R46" s="91"/>
      <c r="S46" s="91"/>
      <c r="T46" s="91"/>
      <c r="U46" s="101"/>
    </row>
    <row r="47" spans="1:21">
      <c r="A47" s="107">
        <f>'DATA SISWA'!A44</f>
        <v>40</v>
      </c>
      <c r="B47" s="107">
        <f>'DATA SISWA'!B44</f>
        <v>0</v>
      </c>
      <c r="C47" s="116">
        <f>'DATA SISWA'!C44</f>
        <v>0</v>
      </c>
      <c r="D47" s="107">
        <f>'DATA SISWA'!D44</f>
        <v>0</v>
      </c>
      <c r="E47" s="107" t="str">
        <f>'DATA SISWA'!E44</f>
        <v>VII-J</v>
      </c>
      <c r="F47" s="91"/>
      <c r="G47" s="91"/>
      <c r="H47" s="91"/>
      <c r="I47" s="101"/>
      <c r="J47" s="91"/>
      <c r="K47" s="91"/>
      <c r="L47" s="91"/>
      <c r="M47" s="101"/>
      <c r="N47" s="91"/>
      <c r="O47" s="91"/>
      <c r="P47" s="91"/>
      <c r="Q47" s="101"/>
      <c r="R47" s="91"/>
      <c r="S47" s="91"/>
      <c r="T47" s="91"/>
      <c r="U47" s="101"/>
    </row>
    <row r="48" spans="1:21">
      <c r="A48" s="107">
        <f>'DATA SISWA'!A45</f>
        <v>41</v>
      </c>
      <c r="B48" s="107">
        <f>'DATA SISWA'!B45</f>
        <v>0</v>
      </c>
      <c r="C48" s="116">
        <f>'DATA SISWA'!C45</f>
        <v>0</v>
      </c>
      <c r="D48" s="107">
        <f>'DATA SISWA'!D45</f>
        <v>0</v>
      </c>
      <c r="E48" s="107" t="str">
        <f>'DATA SISWA'!E45</f>
        <v>VII-J</v>
      </c>
      <c r="F48" s="91"/>
      <c r="G48" s="91"/>
      <c r="H48" s="91"/>
      <c r="I48" s="101"/>
      <c r="J48" s="91"/>
      <c r="K48" s="91"/>
      <c r="L48" s="91"/>
      <c r="M48" s="101"/>
      <c r="N48" s="91"/>
      <c r="O48" s="91"/>
      <c r="P48" s="91"/>
      <c r="Q48" s="101"/>
      <c r="R48" s="91"/>
      <c r="S48" s="91"/>
      <c r="T48" s="91"/>
      <c r="U48" s="101"/>
    </row>
    <row r="49" spans="1:21">
      <c r="A49" s="107">
        <f>'DATA SISWA'!A46</f>
        <v>42</v>
      </c>
      <c r="B49" s="107">
        <f>'DATA SISWA'!B46</f>
        <v>0</v>
      </c>
      <c r="C49" s="116">
        <f>'DATA SISWA'!C46</f>
        <v>0</v>
      </c>
      <c r="D49" s="107">
        <f>'DATA SISWA'!D46</f>
        <v>0</v>
      </c>
      <c r="E49" s="107" t="str">
        <f>'DATA SISWA'!E46</f>
        <v>VII-J</v>
      </c>
      <c r="F49" s="91"/>
      <c r="G49" s="91"/>
      <c r="H49" s="91"/>
      <c r="I49" s="101"/>
      <c r="J49" s="91"/>
      <c r="K49" s="91"/>
      <c r="L49" s="91"/>
      <c r="M49" s="101"/>
      <c r="N49" s="91"/>
      <c r="O49" s="91"/>
      <c r="P49" s="91"/>
      <c r="Q49" s="101"/>
      <c r="R49" s="91"/>
      <c r="S49" s="91"/>
      <c r="T49" s="91"/>
      <c r="U49" s="101"/>
    </row>
    <row r="50" spans="1:21">
      <c r="A50" s="107">
        <f>'DATA SISWA'!A47</f>
        <v>43</v>
      </c>
      <c r="B50" s="107">
        <f>'DATA SISWA'!B47</f>
        <v>0</v>
      </c>
      <c r="C50" s="116">
        <f>'DATA SISWA'!C47</f>
        <v>0</v>
      </c>
      <c r="D50" s="107">
        <f>'DATA SISWA'!D47</f>
        <v>0</v>
      </c>
      <c r="E50" s="107" t="str">
        <f>'DATA SISWA'!E47</f>
        <v>VII-J</v>
      </c>
      <c r="F50" s="91"/>
      <c r="G50" s="91"/>
      <c r="H50" s="91"/>
      <c r="I50" s="101"/>
      <c r="J50" s="91"/>
      <c r="K50" s="91"/>
      <c r="L50" s="91"/>
      <c r="M50" s="101"/>
      <c r="N50" s="91"/>
      <c r="O50" s="91"/>
      <c r="P50" s="91"/>
      <c r="Q50" s="101"/>
      <c r="R50" s="91"/>
      <c r="S50" s="91"/>
      <c r="T50" s="91"/>
      <c r="U50" s="101"/>
    </row>
    <row r="51" spans="1:21">
      <c r="A51" s="107">
        <f>'DATA SISWA'!A48</f>
        <v>44</v>
      </c>
      <c r="B51" s="107">
        <f>'DATA SISWA'!B48</f>
        <v>0</v>
      </c>
      <c r="C51" s="116">
        <f>'DATA SISWA'!C48</f>
        <v>0</v>
      </c>
      <c r="D51" s="107">
        <f>'DATA SISWA'!D48</f>
        <v>0</v>
      </c>
      <c r="E51" s="107" t="str">
        <f>'DATA SISWA'!E48</f>
        <v>VII-J</v>
      </c>
      <c r="F51" s="91"/>
      <c r="G51" s="91"/>
      <c r="H51" s="91"/>
      <c r="I51" s="101"/>
      <c r="J51" s="91"/>
      <c r="K51" s="91"/>
      <c r="L51" s="91"/>
      <c r="M51" s="101"/>
      <c r="N51" s="91"/>
      <c r="O51" s="91"/>
      <c r="P51" s="91"/>
      <c r="Q51" s="101"/>
      <c r="R51" s="91"/>
      <c r="S51" s="91"/>
      <c r="T51" s="91"/>
      <c r="U51" s="101"/>
    </row>
    <row r="52" spans="1:21">
      <c r="A52" s="107">
        <f>'DATA SISWA'!A49</f>
        <v>45</v>
      </c>
      <c r="B52" s="107">
        <f>'DATA SISWA'!B49</f>
        <v>0</v>
      </c>
      <c r="C52" s="116">
        <f>'DATA SISWA'!C49</f>
        <v>0</v>
      </c>
      <c r="D52" s="107">
        <f>'DATA SISWA'!D49</f>
        <v>0</v>
      </c>
      <c r="E52" s="107" t="str">
        <f>'DATA SISWA'!E49</f>
        <v>VII-J</v>
      </c>
      <c r="F52" s="91"/>
      <c r="G52" s="91"/>
      <c r="H52" s="91"/>
      <c r="I52" s="101"/>
      <c r="J52" s="91"/>
      <c r="K52" s="91"/>
      <c r="L52" s="91"/>
      <c r="M52" s="101"/>
      <c r="N52" s="91"/>
      <c r="O52" s="91"/>
      <c r="P52" s="91"/>
      <c r="Q52" s="101"/>
      <c r="R52" s="91"/>
      <c r="S52" s="91"/>
      <c r="T52" s="91"/>
      <c r="U52" s="101"/>
    </row>
    <row r="53" spans="1:21">
      <c r="A53" s="107">
        <f>'DATA SISWA'!A50</f>
        <v>46</v>
      </c>
      <c r="B53" s="107">
        <f>'DATA SISWA'!B50</f>
        <v>0</v>
      </c>
      <c r="C53" s="116">
        <f>'DATA SISWA'!C50</f>
        <v>0</v>
      </c>
      <c r="D53" s="107">
        <f>'DATA SISWA'!D50</f>
        <v>0</v>
      </c>
      <c r="E53" s="107" t="str">
        <f>'DATA SISWA'!E50</f>
        <v>VII-J</v>
      </c>
      <c r="F53" s="91"/>
      <c r="G53" s="91"/>
      <c r="H53" s="91"/>
      <c r="I53" s="101"/>
      <c r="J53" s="91"/>
      <c r="K53" s="91"/>
      <c r="L53" s="91"/>
      <c r="M53" s="101"/>
      <c r="N53" s="91"/>
      <c r="O53" s="91"/>
      <c r="P53" s="91"/>
      <c r="Q53" s="101"/>
      <c r="R53" s="91"/>
      <c r="S53" s="91"/>
      <c r="T53" s="91"/>
      <c r="U53" s="101"/>
    </row>
    <row r="54" spans="1:21">
      <c r="A54" s="107">
        <f>'DATA SISWA'!A51</f>
        <v>47</v>
      </c>
      <c r="B54" s="107">
        <f>'DATA SISWA'!B51</f>
        <v>0</v>
      </c>
      <c r="C54" s="116">
        <f>'DATA SISWA'!C51</f>
        <v>0</v>
      </c>
      <c r="D54" s="107">
        <f>'DATA SISWA'!D51</f>
        <v>0</v>
      </c>
      <c r="E54" s="107" t="str">
        <f>'DATA SISWA'!E51</f>
        <v>VII-J</v>
      </c>
      <c r="F54" s="91"/>
      <c r="G54" s="91"/>
      <c r="H54" s="91"/>
      <c r="I54" s="101"/>
      <c r="J54" s="91"/>
      <c r="K54" s="91"/>
      <c r="L54" s="91"/>
      <c r="M54" s="101"/>
      <c r="N54" s="91"/>
      <c r="O54" s="91"/>
      <c r="P54" s="91"/>
      <c r="Q54" s="101"/>
      <c r="R54" s="91"/>
      <c r="S54" s="91"/>
      <c r="T54" s="91"/>
      <c r="U54" s="101"/>
    </row>
    <row r="55" spans="1:21">
      <c r="A55" s="107">
        <f>'DATA SISWA'!A52</f>
        <v>48</v>
      </c>
      <c r="B55" s="107">
        <f>'DATA SISWA'!B52</f>
        <v>0</v>
      </c>
      <c r="C55" s="116">
        <f>'DATA SISWA'!C52</f>
        <v>0</v>
      </c>
      <c r="D55" s="107">
        <f>'DATA SISWA'!D52</f>
        <v>0</v>
      </c>
      <c r="E55" s="107" t="str">
        <f>'DATA SISWA'!E52</f>
        <v>VII-J</v>
      </c>
      <c r="F55" s="91"/>
      <c r="G55" s="91"/>
      <c r="H55" s="91"/>
      <c r="I55" s="101"/>
      <c r="J55" s="91"/>
      <c r="K55" s="91"/>
      <c r="L55" s="91"/>
      <c r="M55" s="101"/>
      <c r="N55" s="91"/>
      <c r="O55" s="91"/>
      <c r="P55" s="91"/>
      <c r="Q55" s="101"/>
      <c r="R55" s="91"/>
      <c r="S55" s="91"/>
      <c r="T55" s="91"/>
      <c r="U55" s="101"/>
    </row>
  </sheetData>
  <sheetProtection formatCells="0" formatColumns="0" formatRows="0" insertColumns="0" insertRows="0" insertHyperlinks="0" deleteColumns="0" deleteRows="0"/>
  <mergeCells count="18">
    <mergeCell ref="Q4:Q6"/>
    <mergeCell ref="R4:T4"/>
    <mergeCell ref="U4:U6"/>
    <mergeCell ref="F5:H5"/>
    <mergeCell ref="J5:L5"/>
    <mergeCell ref="N5:P5"/>
    <mergeCell ref="R5:T5"/>
    <mergeCell ref="I4:I6"/>
    <mergeCell ref="J4:L4"/>
    <mergeCell ref="M4:M6"/>
    <mergeCell ref="N4:P4"/>
    <mergeCell ref="F4:H4"/>
    <mergeCell ref="F1:L1"/>
    <mergeCell ref="A4:A6"/>
    <mergeCell ref="B4:B6"/>
    <mergeCell ref="C4:C6"/>
    <mergeCell ref="D4:D6"/>
    <mergeCell ref="E4:E6"/>
  </mergeCells>
  <dataValidations count="1">
    <dataValidation type="decimal" allowBlank="1" showInputMessage="1" showErrorMessage="1" sqref="H8:I55 M8:M55 Q8:Q55 U8:U55 F8:F55">
      <formula1>0</formula1>
      <formula2>100</formula2>
    </dataValidation>
  </dataValidations>
  <pageMargins left="0.70866141732283472" right="0.70866141732283472" top="0.74803149606299213" bottom="0.74803149606299213" header="0.31496062992125984" footer="0.31496062992125984"/>
  <pageSetup paperSize="768" orientation="landscape" horizontalDpi="120" verticalDpi="72" r:id="rId1"/>
  <drawing r:id="rId2"/>
</worksheet>
</file>

<file path=xl/worksheets/sheet13.xml><?xml version="1.0" encoding="utf-8"?>
<worksheet xmlns="http://schemas.openxmlformats.org/spreadsheetml/2006/main" xmlns:r="http://schemas.openxmlformats.org/officeDocument/2006/relationships">
  <sheetPr codeName="Sheet7"/>
  <dimension ref="A1:BK52"/>
  <sheetViews>
    <sheetView view="pageBreakPreview" zoomScale="85" zoomScaleSheetLayoutView="85" workbookViewId="0">
      <pane xSplit="5" ySplit="4" topLeftCell="F38" activePane="bottomRight" state="frozen"/>
      <selection pane="topRight" activeCell="F1" sqref="F1"/>
      <selection pane="bottomLeft" activeCell="A5" sqref="A5"/>
      <selection pane="bottomRight" sqref="A1:A3"/>
    </sheetView>
  </sheetViews>
  <sheetFormatPr defaultRowHeight="15"/>
  <cols>
    <col min="1" max="1" width="4.85546875" style="95" customWidth="1"/>
    <col min="2" max="2" width="7.140625" style="95" customWidth="1"/>
    <col min="3" max="3" width="32.5703125" style="95" customWidth="1"/>
    <col min="4" max="5" width="5.28515625" style="95" customWidth="1"/>
    <col min="6" max="34" width="5.7109375" style="95" customWidth="1"/>
    <col min="35" max="35" width="6.7109375" style="95" customWidth="1"/>
    <col min="36" max="39" width="5.7109375" style="95" customWidth="1"/>
    <col min="40" max="40" width="6.7109375" style="95" customWidth="1"/>
    <col min="41" max="44" width="5.7109375" style="95" customWidth="1"/>
    <col min="45" max="45" width="6.7109375" style="95" customWidth="1"/>
    <col min="46" max="49" width="5.7109375" style="95" customWidth="1"/>
    <col min="50" max="50" width="6.7109375" style="95" customWidth="1"/>
    <col min="51" max="54" width="5.7109375" style="95" customWidth="1"/>
    <col min="55" max="57" width="6.7109375" style="95" customWidth="1"/>
    <col min="58" max="60" width="7.85546875" style="102" customWidth="1"/>
    <col min="61" max="61" width="7.85546875" style="103" customWidth="1"/>
    <col min="62" max="62" width="10.42578125" style="103" customWidth="1"/>
    <col min="63" max="63" width="51" style="95" customWidth="1"/>
    <col min="64" max="16384" width="9.140625" style="95"/>
  </cols>
  <sheetData>
    <row r="1" spans="1:63" ht="66" customHeight="1">
      <c r="A1" s="494" t="s">
        <v>15</v>
      </c>
      <c r="B1" s="494" t="s">
        <v>16</v>
      </c>
      <c r="C1" s="497" t="s">
        <v>0</v>
      </c>
      <c r="D1" s="498" t="s">
        <v>1</v>
      </c>
      <c r="E1" s="499" t="s">
        <v>17</v>
      </c>
      <c r="F1" s="605" t="str">
        <f>IF(KDOKE!B29="","",KDOKE!B29)</f>
        <v>Menyimpulkan isi puisi rakyat (pantun, syair, dan bentuk puisi rakyat setempat) yang disajikan dalam bentuk tulis dan lisan</v>
      </c>
      <c r="G1" s="605"/>
      <c r="H1" s="605"/>
      <c r="I1" s="605"/>
      <c r="J1" s="594" t="s">
        <v>7</v>
      </c>
      <c r="K1" s="605" t="str">
        <f>IF(KDOKE!B30="","",KDOKE!B30)</f>
        <v>Mengungkapkan gagasan, perasaan, dan pesan dalam bentuk puisi rakyat secara lisan dan tulis dengan memperhatikan struktur, rima dan penggunaan bahasa</v>
      </c>
      <c r="L1" s="605"/>
      <c r="M1" s="605"/>
      <c r="N1" s="605"/>
      <c r="O1" s="594" t="s">
        <v>7</v>
      </c>
      <c r="P1" s="605" t="str">
        <f>IF(KDOKE!B31="","",KDOKE!B31)</f>
        <v>Menceritakan kembali isi cerita rakyat fabel/ legenda dari daerah setempat yang  pernah dibaca atau didengar</v>
      </c>
      <c r="Q1" s="605"/>
      <c r="R1" s="605"/>
      <c r="S1" s="605"/>
      <c r="T1" s="594" t="s">
        <v>7</v>
      </c>
      <c r="U1" s="605" t="str">
        <f>IF(KDOKE!B32="","",KDOKE!B32)</f>
        <v>Menceritakan isi fabel/ legenda daerah setempat yang dibaca dan didengar</v>
      </c>
      <c r="V1" s="605"/>
      <c r="W1" s="605"/>
      <c r="X1" s="605"/>
      <c r="Y1" s="594" t="s">
        <v>7</v>
      </c>
      <c r="Z1" s="605" t="str">
        <f>IF(KDOKE!B33="","",KDOKE!B33)</f>
        <v>Menyimpulkan isi (kabar, keperluan, permintaan, atau permohonan) dari surat pribadi dan surat dinas yang dibaca dan didengar</v>
      </c>
      <c r="AA1" s="605"/>
      <c r="AB1" s="605"/>
      <c r="AC1" s="605"/>
      <c r="AD1" s="594" t="s">
        <v>7</v>
      </c>
      <c r="AE1" s="605" t="str">
        <f>IF(KDOKE!B34="","",KDOKE!B34)</f>
        <v>Menulis surat ( pribadi dan dinas) untuk kepentingan  resmi dengan memperhatikan struktur teks, kebahasaan dan isi</v>
      </c>
      <c r="AF1" s="605"/>
      <c r="AG1" s="605"/>
      <c r="AH1" s="605"/>
      <c r="AI1" s="594" t="s">
        <v>7</v>
      </c>
      <c r="AJ1" s="605" t="str">
        <f>IF(KDOKE!B35="","",KDOKE!B35)</f>
        <v>Membuat peta pikiran / rangkuman alur tentang isi buku nonfiksi / buku fiksi yang dibaca</v>
      </c>
      <c r="AK1" s="605"/>
      <c r="AL1" s="605"/>
      <c r="AM1" s="605"/>
      <c r="AN1" s="594" t="s">
        <v>7</v>
      </c>
      <c r="AO1" s="605" t="str">
        <f>IF(KDOKE!B36="","",KDOKE!B36)</f>
        <v>Menyajikan tanggapan terhadap isi buku fiksi dan nonfiksi yang dibaca</v>
      </c>
      <c r="AP1" s="605"/>
      <c r="AQ1" s="605"/>
      <c r="AR1" s="605"/>
      <c r="AS1" s="598" t="s">
        <v>7</v>
      </c>
      <c r="AT1" s="605" t="str">
        <f>IF(KDOKE!B37="","",KDOKE!B37)</f>
        <v/>
      </c>
      <c r="AU1" s="605"/>
      <c r="AV1" s="605"/>
      <c r="AW1" s="605"/>
      <c r="AX1" s="598" t="s">
        <v>7</v>
      </c>
      <c r="AY1" s="605" t="str">
        <f>IF(KDOKE!B38="","",KDOKE!B38)</f>
        <v/>
      </c>
      <c r="AZ1" s="605"/>
      <c r="BA1" s="605"/>
      <c r="BB1" s="605"/>
      <c r="BC1" s="598" t="s">
        <v>7</v>
      </c>
      <c r="BD1" s="554" t="s">
        <v>407</v>
      </c>
      <c r="BE1" s="544" t="s">
        <v>27</v>
      </c>
      <c r="BF1" s="606" t="s">
        <v>28</v>
      </c>
      <c r="BG1" s="609" t="s">
        <v>30</v>
      </c>
      <c r="BH1" s="94" t="s">
        <v>313</v>
      </c>
      <c r="BI1" s="583" t="s">
        <v>408</v>
      </c>
      <c r="BJ1" s="563" t="s">
        <v>289</v>
      </c>
      <c r="BK1" s="560" t="s">
        <v>36</v>
      </c>
    </row>
    <row r="2" spans="1:63" ht="15" customHeight="1">
      <c r="A2" s="495"/>
      <c r="B2" s="495"/>
      <c r="C2" s="497"/>
      <c r="D2" s="498"/>
      <c r="E2" s="500"/>
      <c r="F2" s="543">
        <f>IF(KDOKE!A29="","",KDOKE!A29)</f>
        <v>41</v>
      </c>
      <c r="G2" s="543"/>
      <c r="H2" s="543"/>
      <c r="I2" s="543"/>
      <c r="J2" s="594"/>
      <c r="K2" s="543">
        <f>IF(KDOKE!A30="","",KDOKE!A30)</f>
        <v>42</v>
      </c>
      <c r="L2" s="543"/>
      <c r="M2" s="543"/>
      <c r="N2" s="543"/>
      <c r="O2" s="594"/>
      <c r="P2" s="543">
        <f>IF(KDOKE!A31="","",KDOKE!A31)</f>
        <v>43</v>
      </c>
      <c r="Q2" s="543"/>
      <c r="R2" s="543"/>
      <c r="S2" s="543"/>
      <c r="T2" s="594"/>
      <c r="U2" s="543">
        <f>IF(KDOKE!A32="","",KDOKE!A32)</f>
        <v>44</v>
      </c>
      <c r="V2" s="543"/>
      <c r="W2" s="543"/>
      <c r="X2" s="543"/>
      <c r="Y2" s="594"/>
      <c r="Z2" s="543">
        <f>IF(KDOKE!A33="","",KDOKE!A33)</f>
        <v>45</v>
      </c>
      <c r="AA2" s="543"/>
      <c r="AB2" s="543"/>
      <c r="AC2" s="543"/>
      <c r="AD2" s="594"/>
      <c r="AE2" s="543">
        <f>IF(KDOKE!A34="","",KDOKE!A34)</f>
        <v>46</v>
      </c>
      <c r="AF2" s="543"/>
      <c r="AG2" s="543"/>
      <c r="AH2" s="543"/>
      <c r="AI2" s="594"/>
      <c r="AJ2" s="543">
        <f>IF(KDOKE!A35="","",KDOKE!A35)</f>
        <v>47</v>
      </c>
      <c r="AK2" s="543"/>
      <c r="AL2" s="543"/>
      <c r="AM2" s="543"/>
      <c r="AN2" s="594"/>
      <c r="AO2" s="543">
        <f>IF(KDOKE!A36="","",KDOKE!A36)</f>
        <v>48</v>
      </c>
      <c r="AP2" s="543"/>
      <c r="AQ2" s="543"/>
      <c r="AR2" s="543"/>
      <c r="AS2" s="599"/>
      <c r="AT2" s="543">
        <f>IF(KDOKE!A37="","",KDOKE!A37)</f>
        <v>49</v>
      </c>
      <c r="AU2" s="543"/>
      <c r="AV2" s="543"/>
      <c r="AW2" s="543"/>
      <c r="AX2" s="599"/>
      <c r="AY2" s="543">
        <f>IF(KDOKE!A38="","",KDOKE!A38)</f>
        <v>50</v>
      </c>
      <c r="AZ2" s="543"/>
      <c r="BA2" s="543"/>
      <c r="BB2" s="543"/>
      <c r="BC2" s="599"/>
      <c r="BD2" s="612"/>
      <c r="BE2" s="544"/>
      <c r="BF2" s="607"/>
      <c r="BG2" s="610"/>
      <c r="BH2" s="289">
        <f>menu!B18</f>
        <v>72</v>
      </c>
      <c r="BI2" s="584"/>
      <c r="BJ2" s="564"/>
      <c r="BK2" s="561"/>
    </row>
    <row r="3" spans="1:63" s="98" customFormat="1" ht="80.25" customHeight="1">
      <c r="A3" s="496"/>
      <c r="B3" s="496"/>
      <c r="C3" s="497"/>
      <c r="D3" s="498"/>
      <c r="E3" s="501"/>
      <c r="F3" s="112" t="s">
        <v>461</v>
      </c>
      <c r="G3" s="112" t="s">
        <v>31</v>
      </c>
      <c r="H3" s="113" t="s">
        <v>32</v>
      </c>
      <c r="I3" s="112" t="s">
        <v>33</v>
      </c>
      <c r="J3" s="594"/>
      <c r="K3" s="112" t="s">
        <v>461</v>
      </c>
      <c r="L3" s="112" t="s">
        <v>31</v>
      </c>
      <c r="M3" s="113" t="s">
        <v>32</v>
      </c>
      <c r="N3" s="112" t="s">
        <v>33</v>
      </c>
      <c r="O3" s="594"/>
      <c r="P3" s="112" t="s">
        <v>461</v>
      </c>
      <c r="Q3" s="112" t="s">
        <v>31</v>
      </c>
      <c r="R3" s="113" t="s">
        <v>32</v>
      </c>
      <c r="S3" s="112" t="s">
        <v>33</v>
      </c>
      <c r="T3" s="594"/>
      <c r="U3" s="112" t="s">
        <v>461</v>
      </c>
      <c r="V3" s="112" t="s">
        <v>31</v>
      </c>
      <c r="W3" s="113" t="s">
        <v>32</v>
      </c>
      <c r="X3" s="112" t="s">
        <v>33</v>
      </c>
      <c r="Y3" s="594"/>
      <c r="Z3" s="112" t="s">
        <v>461</v>
      </c>
      <c r="AA3" s="112" t="s">
        <v>31</v>
      </c>
      <c r="AB3" s="113" t="s">
        <v>32</v>
      </c>
      <c r="AC3" s="112" t="s">
        <v>33</v>
      </c>
      <c r="AD3" s="594"/>
      <c r="AE3" s="112" t="s">
        <v>461</v>
      </c>
      <c r="AF3" s="112" t="s">
        <v>31</v>
      </c>
      <c r="AG3" s="113" t="s">
        <v>32</v>
      </c>
      <c r="AH3" s="112" t="s">
        <v>33</v>
      </c>
      <c r="AI3" s="594"/>
      <c r="AJ3" s="112" t="s">
        <v>461</v>
      </c>
      <c r="AK3" s="112" t="s">
        <v>31</v>
      </c>
      <c r="AL3" s="113" t="s">
        <v>32</v>
      </c>
      <c r="AM3" s="112" t="s">
        <v>33</v>
      </c>
      <c r="AN3" s="594"/>
      <c r="AO3" s="112" t="s">
        <v>461</v>
      </c>
      <c r="AP3" s="112" t="s">
        <v>31</v>
      </c>
      <c r="AQ3" s="113" t="s">
        <v>32</v>
      </c>
      <c r="AR3" s="112" t="s">
        <v>33</v>
      </c>
      <c r="AS3" s="600"/>
      <c r="AT3" s="112" t="s">
        <v>461</v>
      </c>
      <c r="AU3" s="112" t="s">
        <v>31</v>
      </c>
      <c r="AV3" s="113" t="s">
        <v>32</v>
      </c>
      <c r="AW3" s="112" t="s">
        <v>33</v>
      </c>
      <c r="AX3" s="600"/>
      <c r="AY3" s="112" t="s">
        <v>461</v>
      </c>
      <c r="AZ3" s="112" t="s">
        <v>31</v>
      </c>
      <c r="BA3" s="113" t="s">
        <v>32</v>
      </c>
      <c r="BB3" s="112" t="s">
        <v>33</v>
      </c>
      <c r="BC3" s="600"/>
      <c r="BD3" s="555"/>
      <c r="BE3" s="544"/>
      <c r="BF3" s="608"/>
      <c r="BG3" s="611"/>
      <c r="BH3" s="115" t="s">
        <v>314</v>
      </c>
      <c r="BI3" s="585"/>
      <c r="BJ3" s="565"/>
      <c r="BK3" s="562"/>
    </row>
    <row r="4" spans="1:63">
      <c r="A4" s="99">
        <v>1</v>
      </c>
      <c r="B4" s="99">
        <v>2</v>
      </c>
      <c r="C4" s="99">
        <v>3</v>
      </c>
      <c r="D4" s="99">
        <v>4</v>
      </c>
      <c r="E4" s="99">
        <v>5</v>
      </c>
      <c r="F4" s="99">
        <v>6</v>
      </c>
      <c r="G4" s="99">
        <v>7</v>
      </c>
      <c r="H4" s="99">
        <v>8</v>
      </c>
      <c r="I4" s="99">
        <v>9</v>
      </c>
      <c r="J4" s="99">
        <v>10</v>
      </c>
      <c r="K4" s="99">
        <v>11</v>
      </c>
      <c r="L4" s="99">
        <v>12</v>
      </c>
      <c r="M4" s="99">
        <v>13</v>
      </c>
      <c r="N4" s="99">
        <v>14</v>
      </c>
      <c r="O4" s="99">
        <v>15</v>
      </c>
      <c r="P4" s="99">
        <v>16</v>
      </c>
      <c r="Q4" s="99">
        <v>17</v>
      </c>
      <c r="R4" s="99">
        <v>18</v>
      </c>
      <c r="S4" s="99">
        <v>19</v>
      </c>
      <c r="T4" s="99">
        <v>20</v>
      </c>
      <c r="U4" s="99">
        <v>21</v>
      </c>
      <c r="V4" s="99">
        <v>22</v>
      </c>
      <c r="W4" s="99">
        <v>23</v>
      </c>
      <c r="X4" s="99">
        <v>24</v>
      </c>
      <c r="Y4" s="99">
        <v>25</v>
      </c>
      <c r="Z4" s="99">
        <v>26</v>
      </c>
      <c r="AA4" s="99">
        <v>27</v>
      </c>
      <c r="AB4" s="99">
        <v>28</v>
      </c>
      <c r="AC4" s="99">
        <v>29</v>
      </c>
      <c r="AD4" s="99">
        <v>30</v>
      </c>
      <c r="AE4" s="99">
        <v>31</v>
      </c>
      <c r="AF4" s="99">
        <v>32</v>
      </c>
      <c r="AG4" s="99">
        <v>33</v>
      </c>
      <c r="AH4" s="99">
        <v>34</v>
      </c>
      <c r="AI4" s="99">
        <v>35</v>
      </c>
      <c r="AJ4" s="99">
        <v>36</v>
      </c>
      <c r="AK4" s="99">
        <v>37</v>
      </c>
      <c r="AL4" s="99">
        <v>38</v>
      </c>
      <c r="AM4" s="99">
        <v>39</v>
      </c>
      <c r="AN4" s="99">
        <v>40</v>
      </c>
      <c r="AO4" s="99">
        <v>41</v>
      </c>
      <c r="AP4" s="99">
        <v>42</v>
      </c>
      <c r="AQ4" s="99">
        <v>43</v>
      </c>
      <c r="AR4" s="99">
        <v>44</v>
      </c>
      <c r="AS4" s="99">
        <v>45</v>
      </c>
      <c r="AT4" s="99">
        <v>46</v>
      </c>
      <c r="AU4" s="99">
        <v>47</v>
      </c>
      <c r="AV4" s="99">
        <v>48</v>
      </c>
      <c r="AW4" s="99">
        <v>49</v>
      </c>
      <c r="AX4" s="99">
        <v>50</v>
      </c>
      <c r="AY4" s="99">
        <v>51</v>
      </c>
      <c r="AZ4" s="99">
        <v>52</v>
      </c>
      <c r="BA4" s="99">
        <v>53</v>
      </c>
      <c r="BB4" s="99">
        <v>54</v>
      </c>
      <c r="BC4" s="99">
        <v>55</v>
      </c>
      <c r="BD4" s="99">
        <v>56</v>
      </c>
      <c r="BE4" s="99">
        <v>57</v>
      </c>
      <c r="BF4" s="99">
        <v>58</v>
      </c>
      <c r="BG4" s="99">
        <v>59</v>
      </c>
      <c r="BH4" s="99">
        <v>60</v>
      </c>
      <c r="BI4" s="99">
        <v>61</v>
      </c>
      <c r="BJ4" s="99">
        <v>62</v>
      </c>
      <c r="BK4" s="99">
        <v>63</v>
      </c>
    </row>
    <row r="5" spans="1:63" ht="17.25" customHeight="1">
      <c r="A5" s="107">
        <f>'DATA SISWA'!A5</f>
        <v>1</v>
      </c>
      <c r="B5" s="107" t="str">
        <f>'DATA SISWA'!B5</f>
        <v>7643</v>
      </c>
      <c r="C5" s="116" t="str">
        <f>'DATA SISWA'!C5</f>
        <v>ABD MANNAN</v>
      </c>
      <c r="D5" s="107" t="str">
        <f>'DATA SISWA'!D5</f>
        <v>L</v>
      </c>
      <c r="E5" s="107" t="str">
        <f>'DATA SISWA'!E5</f>
        <v>VII-J</v>
      </c>
      <c r="F5" s="91"/>
      <c r="G5" s="407"/>
      <c r="H5" s="91">
        <v>78</v>
      </c>
      <c r="I5" s="91"/>
      <c r="J5" s="309">
        <f>IF(AND(F5="",G5="",H5="",I5=""),"",AVERAGE(F5:I5))</f>
        <v>78</v>
      </c>
      <c r="K5" s="91"/>
      <c r="L5" s="407"/>
      <c r="M5" s="91">
        <v>78</v>
      </c>
      <c r="N5" s="91"/>
      <c r="O5" s="309">
        <f>IF(AND(K5="",L5="",M5="",N5=""),"",AVERAGE(K5:N5))</f>
        <v>78</v>
      </c>
      <c r="P5" s="91"/>
      <c r="Q5" s="91"/>
      <c r="R5" s="91">
        <v>78</v>
      </c>
      <c r="S5" s="91"/>
      <c r="T5" s="309">
        <f>IF(AND(P5="",Q5="",R5="",S5=""),"",AVERAGE(P5:S5))</f>
        <v>78</v>
      </c>
      <c r="U5" s="91"/>
      <c r="V5" s="91"/>
      <c r="W5" s="91">
        <v>78</v>
      </c>
      <c r="X5" s="91"/>
      <c r="Y5" s="309">
        <f>IF(AND(U5="",V5="",W5="",X5=""),"",AVERAGE(U5:X5))</f>
        <v>78</v>
      </c>
      <c r="Z5" s="91"/>
      <c r="AA5" s="91"/>
      <c r="AB5" s="91"/>
      <c r="AC5" s="91"/>
      <c r="AD5" s="309" t="str">
        <f>IF(AND(Z5="",AA5="",AB5="",AC5=""),"",AVERAGE(Z5:AC5))</f>
        <v/>
      </c>
      <c r="AE5" s="91"/>
      <c r="AF5" s="91"/>
      <c r="AG5" s="91"/>
      <c r="AH5" s="91"/>
      <c r="AI5" s="309" t="str">
        <f>IF(AND(AE5="",AF5="",AG5="",AH5=""),"",AVERAGE(AE5:AH5))</f>
        <v/>
      </c>
      <c r="AJ5" s="91"/>
      <c r="AK5" s="91"/>
      <c r="AL5" s="91"/>
      <c r="AM5" s="91"/>
      <c r="AN5" s="309" t="str">
        <f>IF(AND(AJ5="",AK5="",AL5="",AM5=""),"",AVERAGE(AJ5:AM5))</f>
        <v/>
      </c>
      <c r="AO5" s="91"/>
      <c r="AP5" s="91"/>
      <c r="AQ5" s="91"/>
      <c r="AR5" s="91"/>
      <c r="AS5" s="309" t="str">
        <f>IF(AND(AO5="",AP5="",AQ5="",AR5=""),"",AVERAGE(AO5:AR5))</f>
        <v/>
      </c>
      <c r="AT5" s="91"/>
      <c r="AU5" s="91"/>
      <c r="AV5" s="91"/>
      <c r="AW5" s="91"/>
      <c r="AX5" s="309" t="str">
        <f>IF(AND(AT5="",AU5="",AV5="",AW5=""),"",AVERAGE(AT5:AW5))</f>
        <v/>
      </c>
      <c r="AY5" s="91"/>
      <c r="AZ5" s="91"/>
      <c r="BA5" s="91"/>
      <c r="BB5" s="91"/>
      <c r="BC5" s="309" t="str">
        <f>IF(AND(AY5="",AZ5="",BA5="",BB5=""),"",AVERAGE(AY5:BB5))</f>
        <v/>
      </c>
      <c r="BD5" s="310">
        <f>IF(AND(J5="",O5=""),"",MAX(BC5,AX5,AS5,AN5,AI5,AD5,Y5,T5,O5,J5))</f>
        <v>78</v>
      </c>
      <c r="BE5" s="311">
        <f t="shared" ref="BE5:BE52" si="0">IF(AND(J5="",O5=""),"",AVERAGE(BC5,AX5,AS5,AN5,AI5,AD5,Y5,T5,O5,J5))</f>
        <v>78</v>
      </c>
      <c r="BF5" s="312">
        <f>IF(BE5="","",ROUND(BE5,0))</f>
        <v>78</v>
      </c>
      <c r="BG5" s="313" t="str">
        <f>IF(BF5="","",IF(BF5&gt;85,"A",IF(BF5&gt;70,"B",IF(BF5&gt;55,"C","D"))))</f>
        <v>B</v>
      </c>
      <c r="BH5" s="106" t="str">
        <f>IF(BF5="","",IF(BF5&gt;=$BH$2,"TUNTAS","TIDAK"))</f>
        <v>TUNTAS</v>
      </c>
      <c r="BI5" s="107" t="str">
        <f>IF(BF5="","",IF(BF5&gt;85,"Sangat terampil",IF(BF5&gt;70,"Terampil",IF(BF5&gt;55,"Cukup terampil","Kurang terampil"))))</f>
        <v>Terampil</v>
      </c>
      <c r="BJ5" s="116" t="str">
        <f>IF(BD5="","",VLOOKUP(BD5,DATAKET!$B$3:$C$12,2,FALSE))</f>
        <v>Menyimpulkan isi puisi rakyat (pantun, syair, dan bentuk puisi rakyat setempat) yang disajikan dalam bentuk tulis dan lisan</v>
      </c>
      <c r="BK5" s="105" t="str">
        <f>IF(BF5="","",BI5&amp;" "&amp;BJ5)</f>
        <v>Terampil Menyimpulkan isi puisi rakyat (pantun, syair, dan bentuk puisi rakyat setempat) yang disajikan dalam bentuk tulis dan lisan</v>
      </c>
    </row>
    <row r="6" spans="1:63" ht="18" customHeight="1">
      <c r="A6" s="107">
        <f>'DATA SISWA'!A6</f>
        <v>2</v>
      </c>
      <c r="B6" s="107">
        <f>'DATA SISWA'!B6</f>
        <v>0</v>
      </c>
      <c r="C6" s="116">
        <f>'DATA SISWA'!C6</f>
        <v>0</v>
      </c>
      <c r="D6" s="107">
        <f>'DATA SISWA'!D6</f>
        <v>0</v>
      </c>
      <c r="E6" s="107" t="str">
        <f>'DATA SISWA'!E6</f>
        <v>VII-J</v>
      </c>
      <c r="F6" s="91"/>
      <c r="G6" s="407"/>
      <c r="H6" s="91"/>
      <c r="I6" s="91"/>
      <c r="J6" s="309" t="str">
        <f t="shared" ref="J6:J52" si="1">IF(AND(F6="",G6="",H6="",I6=""),"",AVERAGE(F6:I6))</f>
        <v/>
      </c>
      <c r="K6" s="91"/>
      <c r="L6" s="407"/>
      <c r="M6" s="91"/>
      <c r="N6" s="91"/>
      <c r="O6" s="309" t="str">
        <f t="shared" ref="O6:O52" si="2">IF(AND(K6="",L6="",M6="",N6=""),"",AVERAGE(K6:N6))</f>
        <v/>
      </c>
      <c r="P6" s="91"/>
      <c r="Q6" s="91"/>
      <c r="R6" s="91"/>
      <c r="S6" s="91"/>
      <c r="T6" s="309" t="str">
        <f t="shared" ref="T6:T52" si="3">IF(AND(P6="",Q6="",R6="",S6=""),"",AVERAGE(P6:S6))</f>
        <v/>
      </c>
      <c r="U6" s="91"/>
      <c r="V6" s="91"/>
      <c r="W6" s="91"/>
      <c r="X6" s="91"/>
      <c r="Y6" s="309" t="str">
        <f t="shared" ref="Y6:Y52" si="4">IF(AND(U6="",V6="",W6="",X6=""),"",AVERAGE(U6:X6))</f>
        <v/>
      </c>
      <c r="Z6" s="91"/>
      <c r="AA6" s="91"/>
      <c r="AB6" s="91"/>
      <c r="AC6" s="91"/>
      <c r="AD6" s="309" t="str">
        <f t="shared" ref="AD6:AD52" si="5">IF(AND(Z6="",AA6="",AB6="",AC6=""),"",AVERAGE(Z6:AC6))</f>
        <v/>
      </c>
      <c r="AE6" s="91"/>
      <c r="AF6" s="91"/>
      <c r="AG6" s="91"/>
      <c r="AH6" s="91"/>
      <c r="AI6" s="309" t="str">
        <f t="shared" ref="AI6:AI52" si="6">IF(AND(AE6="",AF6="",AG6="",AH6=""),"",AVERAGE(AE6:AH6))</f>
        <v/>
      </c>
      <c r="AJ6" s="91"/>
      <c r="AK6" s="91"/>
      <c r="AL6" s="91"/>
      <c r="AM6" s="91"/>
      <c r="AN6" s="309" t="str">
        <f t="shared" ref="AN6:AN52" si="7">IF(AND(AJ6="",AK6="",AL6="",AM6=""),"",AVERAGE(AJ6:AM6))</f>
        <v/>
      </c>
      <c r="AO6" s="91"/>
      <c r="AP6" s="91"/>
      <c r="AQ6" s="91"/>
      <c r="AR6" s="91"/>
      <c r="AS6" s="309" t="str">
        <f t="shared" ref="AS6:AS52" si="8">IF(AND(AO6="",AP6="",AQ6="",AR6=""),"",AVERAGE(AO6:AR6))</f>
        <v/>
      </c>
      <c r="AT6" s="91"/>
      <c r="AU6" s="91"/>
      <c r="AV6" s="91"/>
      <c r="AW6" s="91"/>
      <c r="AX6" s="309" t="str">
        <f t="shared" ref="AX6:AX52" si="9">IF(AND(AT6="",AU6="",AV6="",AW6=""),"",AVERAGE(AT6:AW6))</f>
        <v/>
      </c>
      <c r="AY6" s="91"/>
      <c r="AZ6" s="91"/>
      <c r="BA6" s="91"/>
      <c r="BB6" s="91"/>
      <c r="BC6" s="309" t="str">
        <f t="shared" ref="BC6:BC52" si="10">IF(AND(AY6="",AZ6="",BA6="",BB6=""),"",AVERAGE(AY6:BB6))</f>
        <v/>
      </c>
      <c r="BD6" s="310" t="str">
        <f t="shared" ref="BD6:BD52" si="11">IF(AND(J6="",O6=""),"",MAX(BC6,AX6,AS6,AN6,AI6,AD6,Y6,T6,O6,J6))</f>
        <v/>
      </c>
      <c r="BE6" s="311" t="str">
        <f t="shared" si="0"/>
        <v/>
      </c>
      <c r="BF6" s="312" t="str">
        <f t="shared" ref="BF6:BF52" si="12">IF(BE6="","",ROUND(BE6,0))</f>
        <v/>
      </c>
      <c r="BG6" s="313" t="str">
        <f t="shared" ref="BG6:BG52" si="13">IF(BF6="","",IF(BF6&gt;85,"A",IF(BF6&gt;70,"B",IF(BF6&gt;55,"C","D"))))</f>
        <v/>
      </c>
      <c r="BH6" s="106" t="str">
        <f t="shared" ref="BH6:BH52" si="14">IF(BF6="","",IF(BF6&gt;=$BH$2,"TUNTAS","TIDAK"))</f>
        <v/>
      </c>
      <c r="BI6" s="107" t="str">
        <f t="shared" ref="BI6:BI52" si="15">IF(BF6="","",IF(BF6&gt;85,"Sangat terampil",IF(BF6&gt;70,"Terampil",IF(BF6&gt;55,"Cukup terampil","Kurang terampil"))))</f>
        <v/>
      </c>
      <c r="BJ6" s="116" t="str">
        <f>IF(BD6="","",VLOOKUP(BD6,DATAKET!$D$3:$E$12,2,FALSE))</f>
        <v/>
      </c>
      <c r="BK6" s="105" t="str">
        <f t="shared" ref="BK6:BK52" si="16">IF(BF6="","",BI6&amp;" "&amp;BJ6)</f>
        <v/>
      </c>
    </row>
    <row r="7" spans="1:63" ht="16.5">
      <c r="A7" s="107">
        <f>'DATA SISWA'!A7</f>
        <v>3</v>
      </c>
      <c r="B7" s="107" t="str">
        <f>'DATA SISWA'!B7</f>
        <v>7645</v>
      </c>
      <c r="C7" s="116" t="str">
        <f>'DATA SISWA'!C7</f>
        <v>ACHMAD ALFARESI</v>
      </c>
      <c r="D7" s="107" t="str">
        <f>'DATA SISWA'!D7</f>
        <v>L</v>
      </c>
      <c r="E7" s="107" t="str">
        <f>'DATA SISWA'!E7</f>
        <v>VII-J</v>
      </c>
      <c r="F7" s="91"/>
      <c r="G7" s="407"/>
      <c r="H7" s="91">
        <v>79</v>
      </c>
      <c r="I7" s="91"/>
      <c r="J7" s="309">
        <f t="shared" si="1"/>
        <v>79</v>
      </c>
      <c r="K7" s="91"/>
      <c r="L7" s="407"/>
      <c r="M7" s="91">
        <v>79</v>
      </c>
      <c r="N7" s="91"/>
      <c r="O7" s="309">
        <f t="shared" si="2"/>
        <v>79</v>
      </c>
      <c r="P7" s="91"/>
      <c r="Q7" s="91"/>
      <c r="R7" s="91">
        <v>79</v>
      </c>
      <c r="S7" s="91"/>
      <c r="T7" s="309">
        <f t="shared" si="3"/>
        <v>79</v>
      </c>
      <c r="U7" s="91"/>
      <c r="V7" s="91"/>
      <c r="W7" s="91">
        <v>79</v>
      </c>
      <c r="X7" s="91"/>
      <c r="Y7" s="309">
        <f t="shared" si="4"/>
        <v>79</v>
      </c>
      <c r="Z7" s="91"/>
      <c r="AA7" s="91"/>
      <c r="AB7" s="91"/>
      <c r="AC7" s="91"/>
      <c r="AD7" s="309" t="str">
        <f t="shared" si="5"/>
        <v/>
      </c>
      <c r="AE7" s="91"/>
      <c r="AF7" s="91"/>
      <c r="AG7" s="91"/>
      <c r="AH7" s="91"/>
      <c r="AI7" s="309" t="str">
        <f t="shared" si="6"/>
        <v/>
      </c>
      <c r="AJ7" s="91"/>
      <c r="AK7" s="91"/>
      <c r="AL7" s="91"/>
      <c r="AM7" s="91"/>
      <c r="AN7" s="309" t="str">
        <f t="shared" si="7"/>
        <v/>
      </c>
      <c r="AO7" s="91"/>
      <c r="AP7" s="91"/>
      <c r="AQ7" s="91"/>
      <c r="AR7" s="91"/>
      <c r="AS7" s="309" t="str">
        <f t="shared" si="8"/>
        <v/>
      </c>
      <c r="AT7" s="91"/>
      <c r="AU7" s="91"/>
      <c r="AV7" s="91"/>
      <c r="AW7" s="91"/>
      <c r="AX7" s="309" t="str">
        <f t="shared" si="9"/>
        <v/>
      </c>
      <c r="AY7" s="91"/>
      <c r="AZ7" s="91"/>
      <c r="BA7" s="91"/>
      <c r="BB7" s="91"/>
      <c r="BC7" s="309" t="str">
        <f t="shared" si="10"/>
        <v/>
      </c>
      <c r="BD7" s="310">
        <f t="shared" si="11"/>
        <v>79</v>
      </c>
      <c r="BE7" s="311">
        <f t="shared" si="0"/>
        <v>79</v>
      </c>
      <c r="BF7" s="312">
        <f t="shared" si="12"/>
        <v>79</v>
      </c>
      <c r="BG7" s="313" t="str">
        <f t="shared" si="13"/>
        <v>B</v>
      </c>
      <c r="BH7" s="106" t="str">
        <f t="shared" si="14"/>
        <v>TUNTAS</v>
      </c>
      <c r="BI7" s="107" t="str">
        <f t="shared" si="15"/>
        <v>Terampil</v>
      </c>
      <c r="BJ7" s="116" t="str">
        <f>IF(BD7="","",VLOOKUP(BD7,DATAKET!$F$3:$G$12,2,FALSE))</f>
        <v>Menyimpulkan isi puisi rakyat (pantun, syair, dan bentuk puisi rakyat setempat) yang disajikan dalam bentuk tulis dan lisan</v>
      </c>
      <c r="BK7" s="105" t="str">
        <f t="shared" si="16"/>
        <v>Terampil Menyimpulkan isi puisi rakyat (pantun, syair, dan bentuk puisi rakyat setempat) yang disajikan dalam bentuk tulis dan lisan</v>
      </c>
    </row>
    <row r="8" spans="1:63" ht="16.5">
      <c r="A8" s="107">
        <f>'DATA SISWA'!A8</f>
        <v>4</v>
      </c>
      <c r="B8" s="107" t="str">
        <f>'DATA SISWA'!B8</f>
        <v>7674</v>
      </c>
      <c r="C8" s="116" t="str">
        <f>'DATA SISWA'!C8</f>
        <v>AGITA ZAHRAH MUFIDAH</v>
      </c>
      <c r="D8" s="107" t="str">
        <f>'DATA SISWA'!D8</f>
        <v>P</v>
      </c>
      <c r="E8" s="107" t="str">
        <f>'DATA SISWA'!E8</f>
        <v>VII-J</v>
      </c>
      <c r="F8" s="91"/>
      <c r="G8" s="407"/>
      <c r="H8" s="91">
        <v>78</v>
      </c>
      <c r="I8" s="91"/>
      <c r="J8" s="309">
        <f t="shared" si="1"/>
        <v>78</v>
      </c>
      <c r="K8" s="91"/>
      <c r="L8" s="407"/>
      <c r="M8" s="91">
        <v>78</v>
      </c>
      <c r="N8" s="91"/>
      <c r="O8" s="309">
        <f t="shared" si="2"/>
        <v>78</v>
      </c>
      <c r="P8" s="91"/>
      <c r="Q8" s="91"/>
      <c r="R8" s="91">
        <v>78</v>
      </c>
      <c r="S8" s="91"/>
      <c r="T8" s="309">
        <f t="shared" si="3"/>
        <v>78</v>
      </c>
      <c r="U8" s="91"/>
      <c r="V8" s="91"/>
      <c r="W8" s="91">
        <v>78</v>
      </c>
      <c r="X8" s="91"/>
      <c r="Y8" s="309">
        <f t="shared" si="4"/>
        <v>78</v>
      </c>
      <c r="Z8" s="91"/>
      <c r="AA8" s="91"/>
      <c r="AB8" s="91"/>
      <c r="AC8" s="91"/>
      <c r="AD8" s="309" t="str">
        <f t="shared" si="5"/>
        <v/>
      </c>
      <c r="AE8" s="91"/>
      <c r="AF8" s="91"/>
      <c r="AG8" s="91"/>
      <c r="AH8" s="91"/>
      <c r="AI8" s="309" t="str">
        <f t="shared" si="6"/>
        <v/>
      </c>
      <c r="AJ8" s="91"/>
      <c r="AK8" s="91"/>
      <c r="AL8" s="91"/>
      <c r="AM8" s="91"/>
      <c r="AN8" s="309" t="str">
        <f t="shared" si="7"/>
        <v/>
      </c>
      <c r="AO8" s="91"/>
      <c r="AP8" s="91"/>
      <c r="AQ8" s="91"/>
      <c r="AR8" s="91"/>
      <c r="AS8" s="309" t="str">
        <f t="shared" si="8"/>
        <v/>
      </c>
      <c r="AT8" s="91"/>
      <c r="AU8" s="91"/>
      <c r="AV8" s="91"/>
      <c r="AW8" s="91"/>
      <c r="AX8" s="309" t="str">
        <f t="shared" si="9"/>
        <v/>
      </c>
      <c r="AY8" s="91"/>
      <c r="AZ8" s="91"/>
      <c r="BA8" s="91"/>
      <c r="BB8" s="91"/>
      <c r="BC8" s="309" t="str">
        <f t="shared" si="10"/>
        <v/>
      </c>
      <c r="BD8" s="310">
        <f t="shared" si="11"/>
        <v>78</v>
      </c>
      <c r="BE8" s="311">
        <f t="shared" si="0"/>
        <v>78</v>
      </c>
      <c r="BF8" s="312">
        <f t="shared" si="12"/>
        <v>78</v>
      </c>
      <c r="BG8" s="313" t="str">
        <f t="shared" si="13"/>
        <v>B</v>
      </c>
      <c r="BH8" s="106" t="str">
        <f t="shared" si="14"/>
        <v>TUNTAS</v>
      </c>
      <c r="BI8" s="107" t="str">
        <f t="shared" si="15"/>
        <v>Terampil</v>
      </c>
      <c r="BJ8" s="116" t="str">
        <f>IF(BD8="","",VLOOKUP(BD8,DATAKET!$H$3:$I$12,2,FALSE))</f>
        <v>Menyimpulkan isi puisi rakyat (pantun, syair, dan bentuk puisi rakyat setempat) yang disajikan dalam bentuk tulis dan lisan</v>
      </c>
      <c r="BK8" s="105" t="str">
        <f t="shared" si="16"/>
        <v>Terampil Menyimpulkan isi puisi rakyat (pantun, syair, dan bentuk puisi rakyat setempat) yang disajikan dalam bentuk tulis dan lisan</v>
      </c>
    </row>
    <row r="9" spans="1:63" ht="16.5">
      <c r="A9" s="107">
        <f>'DATA SISWA'!A9</f>
        <v>5</v>
      </c>
      <c r="B9" s="107" t="str">
        <f>'DATA SISWA'!B9</f>
        <v>7646</v>
      </c>
      <c r="C9" s="116" t="str">
        <f>'DATA SISWA'!C9</f>
        <v>AHMAD HAMBALI</v>
      </c>
      <c r="D9" s="107" t="str">
        <f>'DATA SISWA'!D9</f>
        <v>L</v>
      </c>
      <c r="E9" s="107" t="str">
        <f>'DATA SISWA'!E9</f>
        <v>VII-J</v>
      </c>
      <c r="F9" s="91"/>
      <c r="G9" s="407"/>
      <c r="H9" s="91">
        <v>79</v>
      </c>
      <c r="I9" s="91"/>
      <c r="J9" s="309">
        <f t="shared" si="1"/>
        <v>79</v>
      </c>
      <c r="K9" s="91"/>
      <c r="L9" s="407"/>
      <c r="M9" s="91">
        <v>79</v>
      </c>
      <c r="N9" s="91"/>
      <c r="O9" s="309">
        <f t="shared" si="2"/>
        <v>79</v>
      </c>
      <c r="P9" s="91"/>
      <c r="Q9" s="91"/>
      <c r="R9" s="91">
        <v>79</v>
      </c>
      <c r="S9" s="91"/>
      <c r="T9" s="309">
        <f t="shared" si="3"/>
        <v>79</v>
      </c>
      <c r="U9" s="91"/>
      <c r="V9" s="91"/>
      <c r="W9" s="91">
        <v>79</v>
      </c>
      <c r="X9" s="91"/>
      <c r="Y9" s="309">
        <f t="shared" si="4"/>
        <v>79</v>
      </c>
      <c r="Z9" s="91"/>
      <c r="AA9" s="91"/>
      <c r="AB9" s="91"/>
      <c r="AC9" s="91"/>
      <c r="AD9" s="309" t="str">
        <f t="shared" si="5"/>
        <v/>
      </c>
      <c r="AE9" s="91"/>
      <c r="AF9" s="91"/>
      <c r="AG9" s="91"/>
      <c r="AH9" s="91"/>
      <c r="AI9" s="309" t="str">
        <f t="shared" si="6"/>
        <v/>
      </c>
      <c r="AJ9" s="91"/>
      <c r="AK9" s="91"/>
      <c r="AL9" s="91"/>
      <c r="AM9" s="91"/>
      <c r="AN9" s="309" t="str">
        <f t="shared" si="7"/>
        <v/>
      </c>
      <c r="AO9" s="91"/>
      <c r="AP9" s="91"/>
      <c r="AQ9" s="91"/>
      <c r="AR9" s="91"/>
      <c r="AS9" s="309" t="str">
        <f t="shared" si="8"/>
        <v/>
      </c>
      <c r="AT9" s="91"/>
      <c r="AU9" s="91"/>
      <c r="AV9" s="91"/>
      <c r="AW9" s="91"/>
      <c r="AX9" s="309" t="str">
        <f t="shared" si="9"/>
        <v/>
      </c>
      <c r="AY9" s="91"/>
      <c r="AZ9" s="91"/>
      <c r="BA9" s="91"/>
      <c r="BB9" s="91"/>
      <c r="BC9" s="309" t="str">
        <f t="shared" si="10"/>
        <v/>
      </c>
      <c r="BD9" s="310">
        <f t="shared" si="11"/>
        <v>79</v>
      </c>
      <c r="BE9" s="311">
        <f t="shared" si="0"/>
        <v>79</v>
      </c>
      <c r="BF9" s="312">
        <f t="shared" si="12"/>
        <v>79</v>
      </c>
      <c r="BG9" s="313" t="str">
        <f t="shared" si="13"/>
        <v>B</v>
      </c>
      <c r="BH9" s="106" t="str">
        <f t="shared" si="14"/>
        <v>TUNTAS</v>
      </c>
      <c r="BI9" s="107" t="str">
        <f t="shared" si="15"/>
        <v>Terampil</v>
      </c>
      <c r="BJ9" s="116" t="str">
        <f>IF(BD9="","",VLOOKUP(BD9,DATAKET!$J$3:$K$12,2,FALSE))</f>
        <v>Menyimpulkan isi puisi rakyat (pantun, syair, dan bentuk puisi rakyat setempat) yang disajikan dalam bentuk tulis dan lisan</v>
      </c>
      <c r="BK9" s="105" t="str">
        <f t="shared" si="16"/>
        <v>Terampil Menyimpulkan isi puisi rakyat (pantun, syair, dan bentuk puisi rakyat setempat) yang disajikan dalam bentuk tulis dan lisan</v>
      </c>
    </row>
    <row r="10" spans="1:63" ht="16.5">
      <c r="A10" s="107">
        <f>'DATA SISWA'!A10</f>
        <v>6</v>
      </c>
      <c r="B10" s="107" t="str">
        <f>'DATA SISWA'!B10</f>
        <v>7647</v>
      </c>
      <c r="C10" s="116" t="str">
        <f>'DATA SISWA'!C10</f>
        <v>AHMADI</v>
      </c>
      <c r="D10" s="107" t="str">
        <f>'DATA SISWA'!D10</f>
        <v>L</v>
      </c>
      <c r="E10" s="107" t="str">
        <f>'DATA SISWA'!E10</f>
        <v>VII-J</v>
      </c>
      <c r="F10" s="91"/>
      <c r="G10" s="407"/>
      <c r="H10" s="91">
        <v>80</v>
      </c>
      <c r="I10" s="91"/>
      <c r="J10" s="309">
        <f t="shared" si="1"/>
        <v>80</v>
      </c>
      <c r="K10" s="91"/>
      <c r="L10" s="407"/>
      <c r="M10" s="91">
        <v>80</v>
      </c>
      <c r="N10" s="91"/>
      <c r="O10" s="309">
        <f t="shared" si="2"/>
        <v>80</v>
      </c>
      <c r="P10" s="91"/>
      <c r="Q10" s="91"/>
      <c r="R10" s="91">
        <v>80</v>
      </c>
      <c r="S10" s="91"/>
      <c r="T10" s="309">
        <f t="shared" si="3"/>
        <v>80</v>
      </c>
      <c r="U10" s="91"/>
      <c r="V10" s="91"/>
      <c r="W10" s="91">
        <v>80</v>
      </c>
      <c r="X10" s="91"/>
      <c r="Y10" s="309">
        <f t="shared" si="4"/>
        <v>80</v>
      </c>
      <c r="Z10" s="91"/>
      <c r="AA10" s="91"/>
      <c r="AB10" s="91"/>
      <c r="AC10" s="91"/>
      <c r="AD10" s="309" t="str">
        <f t="shared" si="5"/>
        <v/>
      </c>
      <c r="AE10" s="91"/>
      <c r="AF10" s="91"/>
      <c r="AG10" s="91"/>
      <c r="AH10" s="91"/>
      <c r="AI10" s="309" t="str">
        <f t="shared" si="6"/>
        <v/>
      </c>
      <c r="AJ10" s="91"/>
      <c r="AK10" s="91"/>
      <c r="AL10" s="91"/>
      <c r="AM10" s="91"/>
      <c r="AN10" s="309" t="str">
        <f t="shared" si="7"/>
        <v/>
      </c>
      <c r="AO10" s="91"/>
      <c r="AP10" s="91"/>
      <c r="AQ10" s="91"/>
      <c r="AR10" s="91"/>
      <c r="AS10" s="309" t="str">
        <f t="shared" si="8"/>
        <v/>
      </c>
      <c r="AT10" s="91"/>
      <c r="AU10" s="91"/>
      <c r="AV10" s="91"/>
      <c r="AW10" s="91"/>
      <c r="AX10" s="309" t="str">
        <f t="shared" si="9"/>
        <v/>
      </c>
      <c r="AY10" s="91"/>
      <c r="AZ10" s="91"/>
      <c r="BA10" s="91"/>
      <c r="BB10" s="91"/>
      <c r="BC10" s="309" t="str">
        <f t="shared" si="10"/>
        <v/>
      </c>
      <c r="BD10" s="310">
        <f t="shared" si="11"/>
        <v>80</v>
      </c>
      <c r="BE10" s="311">
        <f t="shared" si="0"/>
        <v>80</v>
      </c>
      <c r="BF10" s="312">
        <f t="shared" si="12"/>
        <v>80</v>
      </c>
      <c r="BG10" s="313" t="str">
        <f t="shared" si="13"/>
        <v>B</v>
      </c>
      <c r="BH10" s="106" t="str">
        <f t="shared" si="14"/>
        <v>TUNTAS</v>
      </c>
      <c r="BI10" s="107" t="str">
        <f t="shared" si="15"/>
        <v>Terampil</v>
      </c>
      <c r="BJ10" s="116" t="str">
        <f>IF(BD10="","",VLOOKUP(BD10,DATAKET!$L$3:$M$12,2,FALSE))</f>
        <v>Menyimpulkan isi puisi rakyat (pantun, syair, dan bentuk puisi rakyat setempat) yang disajikan dalam bentuk tulis dan lisan</v>
      </c>
      <c r="BK10" s="105" t="str">
        <f t="shared" si="16"/>
        <v>Terampil Menyimpulkan isi puisi rakyat (pantun, syair, dan bentuk puisi rakyat setempat) yang disajikan dalam bentuk tulis dan lisan</v>
      </c>
    </row>
    <row r="11" spans="1:63" ht="16.5">
      <c r="A11" s="107">
        <f>'DATA SISWA'!A11</f>
        <v>7</v>
      </c>
      <c r="B11" s="107" t="str">
        <f>'DATA SISWA'!B11</f>
        <v>7648</v>
      </c>
      <c r="C11" s="116" t="str">
        <f>'DATA SISWA'!C11</f>
        <v xml:space="preserve">AINUR ROFIK </v>
      </c>
      <c r="D11" s="107" t="str">
        <f>'DATA SISWA'!D11</f>
        <v>L</v>
      </c>
      <c r="E11" s="107" t="str">
        <f>'DATA SISWA'!E11</f>
        <v>VII-J</v>
      </c>
      <c r="F11" s="91"/>
      <c r="G11" s="407"/>
      <c r="H11" s="91">
        <v>80</v>
      </c>
      <c r="I11" s="91"/>
      <c r="J11" s="309">
        <f t="shared" si="1"/>
        <v>80</v>
      </c>
      <c r="K11" s="91"/>
      <c r="L11" s="407"/>
      <c r="M11" s="91">
        <v>80</v>
      </c>
      <c r="N11" s="91"/>
      <c r="O11" s="309">
        <f t="shared" si="2"/>
        <v>80</v>
      </c>
      <c r="P11" s="91"/>
      <c r="Q11" s="91"/>
      <c r="R11" s="91">
        <v>80</v>
      </c>
      <c r="S11" s="91"/>
      <c r="T11" s="309">
        <f t="shared" si="3"/>
        <v>80</v>
      </c>
      <c r="U11" s="91"/>
      <c r="V11" s="91"/>
      <c r="W11" s="91">
        <v>80</v>
      </c>
      <c r="X11" s="91"/>
      <c r="Y11" s="309">
        <f t="shared" si="4"/>
        <v>80</v>
      </c>
      <c r="Z11" s="91"/>
      <c r="AA11" s="91"/>
      <c r="AB11" s="91"/>
      <c r="AC11" s="91"/>
      <c r="AD11" s="309" t="str">
        <f t="shared" si="5"/>
        <v/>
      </c>
      <c r="AE11" s="91"/>
      <c r="AF11" s="91"/>
      <c r="AG11" s="91"/>
      <c r="AH11" s="91"/>
      <c r="AI11" s="309" t="str">
        <f t="shared" si="6"/>
        <v/>
      </c>
      <c r="AJ11" s="91"/>
      <c r="AK11" s="91"/>
      <c r="AL11" s="91"/>
      <c r="AM11" s="91"/>
      <c r="AN11" s="309" t="str">
        <f t="shared" si="7"/>
        <v/>
      </c>
      <c r="AO11" s="91"/>
      <c r="AP11" s="91"/>
      <c r="AQ11" s="91"/>
      <c r="AR11" s="91"/>
      <c r="AS11" s="309" t="str">
        <f t="shared" si="8"/>
        <v/>
      </c>
      <c r="AT11" s="91"/>
      <c r="AU11" s="91"/>
      <c r="AV11" s="91"/>
      <c r="AW11" s="91"/>
      <c r="AX11" s="309" t="str">
        <f t="shared" si="9"/>
        <v/>
      </c>
      <c r="AY11" s="91"/>
      <c r="AZ11" s="91"/>
      <c r="BA11" s="91"/>
      <c r="BB11" s="91"/>
      <c r="BC11" s="309" t="str">
        <f t="shared" si="10"/>
        <v/>
      </c>
      <c r="BD11" s="310">
        <f t="shared" si="11"/>
        <v>80</v>
      </c>
      <c r="BE11" s="311">
        <f t="shared" si="0"/>
        <v>80</v>
      </c>
      <c r="BF11" s="312">
        <f t="shared" si="12"/>
        <v>80</v>
      </c>
      <c r="BG11" s="313" t="str">
        <f t="shared" si="13"/>
        <v>B</v>
      </c>
      <c r="BH11" s="106" t="str">
        <f t="shared" si="14"/>
        <v>TUNTAS</v>
      </c>
      <c r="BI11" s="107" t="str">
        <f t="shared" si="15"/>
        <v>Terampil</v>
      </c>
      <c r="BJ11" s="116" t="str">
        <f>IF(BD11="","",VLOOKUP(BD11,DATAKET!$N$3:$O$12,2,FALSE))</f>
        <v>Menyimpulkan isi puisi rakyat (pantun, syair, dan bentuk puisi rakyat setempat) yang disajikan dalam bentuk tulis dan lisan</v>
      </c>
      <c r="BK11" s="105" t="str">
        <f t="shared" si="16"/>
        <v>Terampil Menyimpulkan isi puisi rakyat (pantun, syair, dan bentuk puisi rakyat setempat) yang disajikan dalam bentuk tulis dan lisan</v>
      </c>
    </row>
    <row r="12" spans="1:63" ht="16.5">
      <c r="A12" s="107">
        <f>'DATA SISWA'!A12</f>
        <v>8</v>
      </c>
      <c r="B12" s="107" t="str">
        <f>'DATA SISWA'!B12</f>
        <v>7377</v>
      </c>
      <c r="C12" s="116" t="str">
        <f>'DATA SISWA'!C12</f>
        <v>AT-THORIQ BINTANG PRAJA</v>
      </c>
      <c r="D12" s="107" t="str">
        <f>'DATA SISWA'!D12</f>
        <v>L</v>
      </c>
      <c r="E12" s="107" t="str">
        <f>'DATA SISWA'!E12</f>
        <v>VII-J</v>
      </c>
      <c r="F12" s="91"/>
      <c r="G12" s="407"/>
      <c r="H12" s="91">
        <v>79</v>
      </c>
      <c r="I12" s="91"/>
      <c r="J12" s="309">
        <f t="shared" si="1"/>
        <v>79</v>
      </c>
      <c r="K12" s="91"/>
      <c r="L12" s="407"/>
      <c r="M12" s="91">
        <v>79</v>
      </c>
      <c r="N12" s="91"/>
      <c r="O12" s="309">
        <f t="shared" si="2"/>
        <v>79</v>
      </c>
      <c r="P12" s="91"/>
      <c r="Q12" s="91"/>
      <c r="R12" s="91">
        <v>79</v>
      </c>
      <c r="S12" s="91"/>
      <c r="T12" s="309">
        <f t="shared" si="3"/>
        <v>79</v>
      </c>
      <c r="U12" s="91"/>
      <c r="V12" s="91"/>
      <c r="W12" s="91">
        <v>79</v>
      </c>
      <c r="X12" s="91"/>
      <c r="Y12" s="309">
        <f t="shared" si="4"/>
        <v>79</v>
      </c>
      <c r="Z12" s="91"/>
      <c r="AA12" s="91"/>
      <c r="AB12" s="91"/>
      <c r="AC12" s="91"/>
      <c r="AD12" s="309" t="str">
        <f t="shared" si="5"/>
        <v/>
      </c>
      <c r="AE12" s="91"/>
      <c r="AF12" s="91"/>
      <c r="AG12" s="91"/>
      <c r="AH12" s="91"/>
      <c r="AI12" s="309" t="str">
        <f t="shared" si="6"/>
        <v/>
      </c>
      <c r="AJ12" s="91"/>
      <c r="AK12" s="91"/>
      <c r="AL12" s="91"/>
      <c r="AM12" s="91"/>
      <c r="AN12" s="309" t="str">
        <f t="shared" si="7"/>
        <v/>
      </c>
      <c r="AO12" s="91"/>
      <c r="AP12" s="91"/>
      <c r="AQ12" s="91"/>
      <c r="AR12" s="91"/>
      <c r="AS12" s="309" t="str">
        <f t="shared" si="8"/>
        <v/>
      </c>
      <c r="AT12" s="91"/>
      <c r="AU12" s="91"/>
      <c r="AV12" s="91"/>
      <c r="AW12" s="91"/>
      <c r="AX12" s="309" t="str">
        <f t="shared" si="9"/>
        <v/>
      </c>
      <c r="AY12" s="91"/>
      <c r="AZ12" s="91"/>
      <c r="BA12" s="91"/>
      <c r="BB12" s="91"/>
      <c r="BC12" s="309" t="str">
        <f t="shared" si="10"/>
        <v/>
      </c>
      <c r="BD12" s="310">
        <f t="shared" si="11"/>
        <v>79</v>
      </c>
      <c r="BE12" s="311">
        <f t="shared" si="0"/>
        <v>79</v>
      </c>
      <c r="BF12" s="312">
        <f t="shared" si="12"/>
        <v>79</v>
      </c>
      <c r="BG12" s="313" t="str">
        <f t="shared" si="13"/>
        <v>B</v>
      </c>
      <c r="BH12" s="106" t="str">
        <f t="shared" si="14"/>
        <v>TUNTAS</v>
      </c>
      <c r="BI12" s="107" t="str">
        <f t="shared" si="15"/>
        <v>Terampil</v>
      </c>
      <c r="BJ12" s="116" t="str">
        <f>IF(BD12="","",VLOOKUP(BD12,DATAKET!$P$3:$Q$12,2,FALSE))</f>
        <v>Menyimpulkan isi puisi rakyat (pantun, syair, dan bentuk puisi rakyat setempat) yang disajikan dalam bentuk tulis dan lisan</v>
      </c>
      <c r="BK12" s="105" t="str">
        <f t="shared" si="16"/>
        <v>Terampil Menyimpulkan isi puisi rakyat (pantun, syair, dan bentuk puisi rakyat setempat) yang disajikan dalam bentuk tulis dan lisan</v>
      </c>
    </row>
    <row r="13" spans="1:63" ht="16.5">
      <c r="A13" s="107">
        <f>'DATA SISWA'!A13</f>
        <v>9</v>
      </c>
      <c r="B13" s="107" t="str">
        <f>'DATA SISWA'!B13</f>
        <v>7649</v>
      </c>
      <c r="C13" s="116" t="str">
        <f>'DATA SISWA'!C13</f>
        <v>DEWI WULANDARI</v>
      </c>
      <c r="D13" s="107" t="str">
        <f>'DATA SISWA'!D13</f>
        <v>P</v>
      </c>
      <c r="E13" s="107" t="str">
        <f>'DATA SISWA'!E13</f>
        <v>VII-J</v>
      </c>
      <c r="F13" s="91"/>
      <c r="G13" s="407"/>
      <c r="H13" s="91">
        <v>78</v>
      </c>
      <c r="I13" s="91"/>
      <c r="J13" s="309">
        <f t="shared" si="1"/>
        <v>78</v>
      </c>
      <c r="K13" s="91"/>
      <c r="L13" s="407"/>
      <c r="M13" s="91">
        <v>78</v>
      </c>
      <c r="N13" s="91"/>
      <c r="O13" s="309">
        <f t="shared" si="2"/>
        <v>78</v>
      </c>
      <c r="P13" s="91"/>
      <c r="Q13" s="91"/>
      <c r="R13" s="91">
        <v>78</v>
      </c>
      <c r="S13" s="91"/>
      <c r="T13" s="309">
        <f t="shared" si="3"/>
        <v>78</v>
      </c>
      <c r="U13" s="91"/>
      <c r="V13" s="91"/>
      <c r="W13" s="91">
        <v>78</v>
      </c>
      <c r="X13" s="91"/>
      <c r="Y13" s="309">
        <f t="shared" si="4"/>
        <v>78</v>
      </c>
      <c r="Z13" s="91"/>
      <c r="AA13" s="91"/>
      <c r="AB13" s="91"/>
      <c r="AC13" s="91"/>
      <c r="AD13" s="309" t="str">
        <f t="shared" si="5"/>
        <v/>
      </c>
      <c r="AE13" s="91"/>
      <c r="AF13" s="91"/>
      <c r="AG13" s="91"/>
      <c r="AH13" s="91"/>
      <c r="AI13" s="309" t="str">
        <f t="shared" si="6"/>
        <v/>
      </c>
      <c r="AJ13" s="91"/>
      <c r="AK13" s="91"/>
      <c r="AL13" s="91"/>
      <c r="AM13" s="91"/>
      <c r="AN13" s="309" t="str">
        <f t="shared" si="7"/>
        <v/>
      </c>
      <c r="AO13" s="91"/>
      <c r="AP13" s="91"/>
      <c r="AQ13" s="91"/>
      <c r="AR13" s="91"/>
      <c r="AS13" s="309" t="str">
        <f t="shared" si="8"/>
        <v/>
      </c>
      <c r="AT13" s="91"/>
      <c r="AU13" s="91"/>
      <c r="AV13" s="91"/>
      <c r="AW13" s="91"/>
      <c r="AX13" s="309" t="str">
        <f t="shared" si="9"/>
        <v/>
      </c>
      <c r="AY13" s="91"/>
      <c r="AZ13" s="91"/>
      <c r="BA13" s="91"/>
      <c r="BB13" s="91"/>
      <c r="BC13" s="309" t="str">
        <f t="shared" si="10"/>
        <v/>
      </c>
      <c r="BD13" s="310">
        <f t="shared" si="11"/>
        <v>78</v>
      </c>
      <c r="BE13" s="311">
        <f t="shared" si="0"/>
        <v>78</v>
      </c>
      <c r="BF13" s="312">
        <f t="shared" si="12"/>
        <v>78</v>
      </c>
      <c r="BG13" s="313" t="str">
        <f t="shared" si="13"/>
        <v>B</v>
      </c>
      <c r="BH13" s="106" t="str">
        <f t="shared" si="14"/>
        <v>TUNTAS</v>
      </c>
      <c r="BI13" s="107" t="str">
        <f t="shared" si="15"/>
        <v>Terampil</v>
      </c>
      <c r="BJ13" s="116" t="str">
        <f>IF(BD13="","",VLOOKUP(BD13,DATAKET!$R$3:$S$12,2,FALSE))</f>
        <v>Menyimpulkan isi puisi rakyat (pantun, syair, dan bentuk puisi rakyat setempat) yang disajikan dalam bentuk tulis dan lisan</v>
      </c>
      <c r="BK13" s="105" t="str">
        <f t="shared" si="16"/>
        <v>Terampil Menyimpulkan isi puisi rakyat (pantun, syair, dan bentuk puisi rakyat setempat) yang disajikan dalam bentuk tulis dan lisan</v>
      </c>
    </row>
    <row r="14" spans="1:63" ht="16.5">
      <c r="A14" s="107">
        <f>'DATA SISWA'!A14</f>
        <v>10</v>
      </c>
      <c r="B14" s="107" t="str">
        <f>'DATA SISWA'!B14</f>
        <v>7650</v>
      </c>
      <c r="C14" s="116" t="str">
        <f>'DATA SISWA'!C14</f>
        <v>ENI UMAMAH</v>
      </c>
      <c r="D14" s="107" t="str">
        <f>'DATA SISWA'!D14</f>
        <v>P</v>
      </c>
      <c r="E14" s="107" t="str">
        <f>'DATA SISWA'!E14</f>
        <v>VII-J</v>
      </c>
      <c r="F14" s="91"/>
      <c r="G14" s="407"/>
      <c r="H14" s="91">
        <v>79</v>
      </c>
      <c r="I14" s="91"/>
      <c r="J14" s="309">
        <f t="shared" si="1"/>
        <v>79</v>
      </c>
      <c r="K14" s="91"/>
      <c r="L14" s="407"/>
      <c r="M14" s="91">
        <v>79</v>
      </c>
      <c r="N14" s="91"/>
      <c r="O14" s="309">
        <f t="shared" si="2"/>
        <v>79</v>
      </c>
      <c r="P14" s="91"/>
      <c r="Q14" s="91"/>
      <c r="R14" s="91">
        <v>79</v>
      </c>
      <c r="S14" s="91"/>
      <c r="T14" s="309">
        <f t="shared" si="3"/>
        <v>79</v>
      </c>
      <c r="U14" s="91"/>
      <c r="V14" s="91"/>
      <c r="W14" s="91">
        <v>79</v>
      </c>
      <c r="X14" s="91"/>
      <c r="Y14" s="309">
        <f t="shared" si="4"/>
        <v>79</v>
      </c>
      <c r="Z14" s="91"/>
      <c r="AA14" s="91"/>
      <c r="AB14" s="91"/>
      <c r="AC14" s="91"/>
      <c r="AD14" s="309" t="str">
        <f t="shared" si="5"/>
        <v/>
      </c>
      <c r="AE14" s="91"/>
      <c r="AF14" s="91"/>
      <c r="AG14" s="91"/>
      <c r="AH14" s="91"/>
      <c r="AI14" s="309" t="str">
        <f t="shared" si="6"/>
        <v/>
      </c>
      <c r="AJ14" s="91"/>
      <c r="AK14" s="91"/>
      <c r="AL14" s="91"/>
      <c r="AM14" s="91"/>
      <c r="AN14" s="309" t="str">
        <f t="shared" si="7"/>
        <v/>
      </c>
      <c r="AO14" s="91"/>
      <c r="AP14" s="91"/>
      <c r="AQ14" s="91"/>
      <c r="AR14" s="91"/>
      <c r="AS14" s="309" t="str">
        <f t="shared" si="8"/>
        <v/>
      </c>
      <c r="AT14" s="91"/>
      <c r="AU14" s="91"/>
      <c r="AV14" s="91"/>
      <c r="AW14" s="91"/>
      <c r="AX14" s="309" t="str">
        <f t="shared" si="9"/>
        <v/>
      </c>
      <c r="AY14" s="91"/>
      <c r="AZ14" s="91"/>
      <c r="BA14" s="91"/>
      <c r="BB14" s="91"/>
      <c r="BC14" s="309" t="str">
        <f t="shared" si="10"/>
        <v/>
      </c>
      <c r="BD14" s="310">
        <f t="shared" si="11"/>
        <v>79</v>
      </c>
      <c r="BE14" s="311">
        <f t="shared" si="0"/>
        <v>79</v>
      </c>
      <c r="BF14" s="312">
        <f t="shared" si="12"/>
        <v>79</v>
      </c>
      <c r="BG14" s="313" t="str">
        <f t="shared" si="13"/>
        <v>B</v>
      </c>
      <c r="BH14" s="106" t="str">
        <f t="shared" si="14"/>
        <v>TUNTAS</v>
      </c>
      <c r="BI14" s="107" t="str">
        <f t="shared" si="15"/>
        <v>Terampil</v>
      </c>
      <c r="BJ14" s="116" t="str">
        <f>IF(BD14="","",VLOOKUP(BD14,DATAKET!$T$3:$U$12,2,FALSE))</f>
        <v>Menyimpulkan isi puisi rakyat (pantun, syair, dan bentuk puisi rakyat setempat) yang disajikan dalam bentuk tulis dan lisan</v>
      </c>
      <c r="BK14" s="105" t="str">
        <f t="shared" si="16"/>
        <v>Terampil Menyimpulkan isi puisi rakyat (pantun, syair, dan bentuk puisi rakyat setempat) yang disajikan dalam bentuk tulis dan lisan</v>
      </c>
    </row>
    <row r="15" spans="1:63" ht="16.5">
      <c r="A15" s="107">
        <f>'DATA SISWA'!A15</f>
        <v>11</v>
      </c>
      <c r="B15" s="107" t="str">
        <f>'DATA SISWA'!B15</f>
        <v>7651</v>
      </c>
      <c r="C15" s="116" t="str">
        <f>'DATA SISWA'!C15</f>
        <v>FADIA FASSA</v>
      </c>
      <c r="D15" s="107" t="str">
        <f>'DATA SISWA'!D15</f>
        <v>P</v>
      </c>
      <c r="E15" s="107" t="str">
        <f>'DATA SISWA'!E15</f>
        <v>VII-J</v>
      </c>
      <c r="F15" s="91"/>
      <c r="G15" s="407"/>
      <c r="H15" s="91">
        <v>80</v>
      </c>
      <c r="I15" s="91"/>
      <c r="J15" s="309">
        <f t="shared" si="1"/>
        <v>80</v>
      </c>
      <c r="K15" s="91"/>
      <c r="L15" s="407"/>
      <c r="M15" s="91">
        <v>80</v>
      </c>
      <c r="N15" s="91"/>
      <c r="O15" s="309">
        <f t="shared" si="2"/>
        <v>80</v>
      </c>
      <c r="P15" s="91"/>
      <c r="Q15" s="91"/>
      <c r="R15" s="91">
        <v>80</v>
      </c>
      <c r="S15" s="91"/>
      <c r="T15" s="309">
        <f t="shared" si="3"/>
        <v>80</v>
      </c>
      <c r="U15" s="91"/>
      <c r="V15" s="91"/>
      <c r="W15" s="91">
        <v>80</v>
      </c>
      <c r="X15" s="91"/>
      <c r="Y15" s="309">
        <f t="shared" si="4"/>
        <v>80</v>
      </c>
      <c r="Z15" s="91"/>
      <c r="AA15" s="91"/>
      <c r="AB15" s="91"/>
      <c r="AC15" s="91"/>
      <c r="AD15" s="309" t="str">
        <f t="shared" si="5"/>
        <v/>
      </c>
      <c r="AE15" s="91"/>
      <c r="AF15" s="91"/>
      <c r="AG15" s="91"/>
      <c r="AH15" s="91"/>
      <c r="AI15" s="309" t="str">
        <f t="shared" si="6"/>
        <v/>
      </c>
      <c r="AJ15" s="91"/>
      <c r="AK15" s="91"/>
      <c r="AL15" s="91"/>
      <c r="AM15" s="91"/>
      <c r="AN15" s="309" t="str">
        <f t="shared" si="7"/>
        <v/>
      </c>
      <c r="AO15" s="91"/>
      <c r="AP15" s="91"/>
      <c r="AQ15" s="91"/>
      <c r="AR15" s="91"/>
      <c r="AS15" s="309" t="str">
        <f t="shared" si="8"/>
        <v/>
      </c>
      <c r="AT15" s="91"/>
      <c r="AU15" s="91"/>
      <c r="AV15" s="91"/>
      <c r="AW15" s="91"/>
      <c r="AX15" s="309" t="str">
        <f t="shared" si="9"/>
        <v/>
      </c>
      <c r="AY15" s="91"/>
      <c r="AZ15" s="91"/>
      <c r="BA15" s="91"/>
      <c r="BB15" s="91"/>
      <c r="BC15" s="309" t="str">
        <f t="shared" si="10"/>
        <v/>
      </c>
      <c r="BD15" s="310">
        <f t="shared" si="11"/>
        <v>80</v>
      </c>
      <c r="BE15" s="311">
        <f t="shared" si="0"/>
        <v>80</v>
      </c>
      <c r="BF15" s="312">
        <f t="shared" si="12"/>
        <v>80</v>
      </c>
      <c r="BG15" s="313" t="str">
        <f t="shared" si="13"/>
        <v>B</v>
      </c>
      <c r="BH15" s="106" t="str">
        <f t="shared" si="14"/>
        <v>TUNTAS</v>
      </c>
      <c r="BI15" s="107" t="str">
        <f t="shared" si="15"/>
        <v>Terampil</v>
      </c>
      <c r="BJ15" s="116" t="str">
        <f>IF(BD15="","",VLOOKUP(BD15,DATAKET!$V$3:$W$12,2,FALSE))</f>
        <v>Menyimpulkan isi puisi rakyat (pantun, syair, dan bentuk puisi rakyat setempat) yang disajikan dalam bentuk tulis dan lisan</v>
      </c>
      <c r="BK15" s="105" t="str">
        <f t="shared" si="16"/>
        <v>Terampil Menyimpulkan isi puisi rakyat (pantun, syair, dan bentuk puisi rakyat setempat) yang disajikan dalam bentuk tulis dan lisan</v>
      </c>
    </row>
    <row r="16" spans="1:63" ht="16.5">
      <c r="A16" s="107">
        <f>'DATA SISWA'!A16</f>
        <v>12</v>
      </c>
      <c r="B16" s="107" t="str">
        <f>'DATA SISWA'!B16</f>
        <v>7652</v>
      </c>
      <c r="C16" s="116" t="str">
        <f>'DATA SISWA'!C16</f>
        <v>FATIMATUZ  ZAHROH</v>
      </c>
      <c r="D16" s="107" t="str">
        <f>'DATA SISWA'!D16</f>
        <v>P</v>
      </c>
      <c r="E16" s="107" t="str">
        <f>'DATA SISWA'!E16</f>
        <v>VII-J</v>
      </c>
      <c r="F16" s="91"/>
      <c r="G16" s="407"/>
      <c r="H16" s="91">
        <v>80</v>
      </c>
      <c r="I16" s="91"/>
      <c r="J16" s="309">
        <f t="shared" si="1"/>
        <v>80</v>
      </c>
      <c r="K16" s="91"/>
      <c r="L16" s="407"/>
      <c r="M16" s="91">
        <v>80</v>
      </c>
      <c r="N16" s="91"/>
      <c r="O16" s="309">
        <f t="shared" si="2"/>
        <v>80</v>
      </c>
      <c r="P16" s="91"/>
      <c r="Q16" s="91"/>
      <c r="R16" s="91">
        <v>80</v>
      </c>
      <c r="S16" s="91"/>
      <c r="T16" s="309">
        <f t="shared" si="3"/>
        <v>80</v>
      </c>
      <c r="U16" s="91"/>
      <c r="V16" s="91"/>
      <c r="W16" s="91">
        <v>80</v>
      </c>
      <c r="X16" s="91"/>
      <c r="Y16" s="309">
        <f t="shared" si="4"/>
        <v>80</v>
      </c>
      <c r="Z16" s="91"/>
      <c r="AA16" s="91"/>
      <c r="AB16" s="91"/>
      <c r="AC16" s="91"/>
      <c r="AD16" s="309" t="str">
        <f t="shared" si="5"/>
        <v/>
      </c>
      <c r="AE16" s="91"/>
      <c r="AF16" s="91"/>
      <c r="AG16" s="91"/>
      <c r="AH16" s="91"/>
      <c r="AI16" s="309" t="str">
        <f t="shared" si="6"/>
        <v/>
      </c>
      <c r="AJ16" s="91"/>
      <c r="AK16" s="91"/>
      <c r="AL16" s="91"/>
      <c r="AM16" s="91"/>
      <c r="AN16" s="309" t="str">
        <f t="shared" si="7"/>
        <v/>
      </c>
      <c r="AO16" s="91"/>
      <c r="AP16" s="91"/>
      <c r="AQ16" s="91"/>
      <c r="AR16" s="91"/>
      <c r="AS16" s="309" t="str">
        <f t="shared" si="8"/>
        <v/>
      </c>
      <c r="AT16" s="91"/>
      <c r="AU16" s="91"/>
      <c r="AV16" s="91"/>
      <c r="AW16" s="91"/>
      <c r="AX16" s="309" t="str">
        <f t="shared" si="9"/>
        <v/>
      </c>
      <c r="AY16" s="91"/>
      <c r="AZ16" s="91"/>
      <c r="BA16" s="91"/>
      <c r="BB16" s="91"/>
      <c r="BC16" s="309" t="str">
        <f t="shared" si="10"/>
        <v/>
      </c>
      <c r="BD16" s="310">
        <f t="shared" si="11"/>
        <v>80</v>
      </c>
      <c r="BE16" s="311">
        <f t="shared" si="0"/>
        <v>80</v>
      </c>
      <c r="BF16" s="312">
        <f t="shared" si="12"/>
        <v>80</v>
      </c>
      <c r="BG16" s="313" t="str">
        <f t="shared" si="13"/>
        <v>B</v>
      </c>
      <c r="BH16" s="106" t="str">
        <f t="shared" si="14"/>
        <v>TUNTAS</v>
      </c>
      <c r="BI16" s="107" t="str">
        <f t="shared" si="15"/>
        <v>Terampil</v>
      </c>
      <c r="BJ16" s="116" t="str">
        <f>IF(BD16="","",VLOOKUP(BD16,DATAKET!$X$3:$Y$12,2,FALSE))</f>
        <v>Menyimpulkan isi puisi rakyat (pantun, syair, dan bentuk puisi rakyat setempat) yang disajikan dalam bentuk tulis dan lisan</v>
      </c>
      <c r="BK16" s="105" t="str">
        <f t="shared" si="16"/>
        <v>Terampil Menyimpulkan isi puisi rakyat (pantun, syair, dan bentuk puisi rakyat setempat) yang disajikan dalam bentuk tulis dan lisan</v>
      </c>
    </row>
    <row r="17" spans="1:63" ht="16.5">
      <c r="A17" s="107">
        <f>'DATA SISWA'!A17</f>
        <v>13</v>
      </c>
      <c r="B17" s="107" t="str">
        <f>'DATA SISWA'!B17</f>
        <v>7653</v>
      </c>
      <c r="C17" s="116" t="str">
        <f>'DATA SISWA'!C17</f>
        <v>IMAM FATONI</v>
      </c>
      <c r="D17" s="107" t="str">
        <f>'DATA SISWA'!D17</f>
        <v>L</v>
      </c>
      <c r="E17" s="107" t="str">
        <f>'DATA SISWA'!E17</f>
        <v>VII-J</v>
      </c>
      <c r="F17" s="91"/>
      <c r="G17" s="407"/>
      <c r="H17" s="91">
        <v>79</v>
      </c>
      <c r="I17" s="91"/>
      <c r="J17" s="309">
        <f t="shared" si="1"/>
        <v>79</v>
      </c>
      <c r="K17" s="91"/>
      <c r="L17" s="407"/>
      <c r="M17" s="91">
        <v>79</v>
      </c>
      <c r="N17" s="91"/>
      <c r="O17" s="309">
        <f t="shared" si="2"/>
        <v>79</v>
      </c>
      <c r="P17" s="91"/>
      <c r="Q17" s="91"/>
      <c r="R17" s="91">
        <v>79</v>
      </c>
      <c r="S17" s="91"/>
      <c r="T17" s="309">
        <f t="shared" si="3"/>
        <v>79</v>
      </c>
      <c r="U17" s="91"/>
      <c r="V17" s="91"/>
      <c r="W17" s="91">
        <v>79</v>
      </c>
      <c r="X17" s="91"/>
      <c r="Y17" s="309">
        <f t="shared" si="4"/>
        <v>79</v>
      </c>
      <c r="Z17" s="91"/>
      <c r="AA17" s="91"/>
      <c r="AB17" s="91"/>
      <c r="AC17" s="91"/>
      <c r="AD17" s="309" t="str">
        <f t="shared" si="5"/>
        <v/>
      </c>
      <c r="AE17" s="91"/>
      <c r="AF17" s="91"/>
      <c r="AG17" s="91"/>
      <c r="AH17" s="91"/>
      <c r="AI17" s="309" t="str">
        <f t="shared" si="6"/>
        <v/>
      </c>
      <c r="AJ17" s="91"/>
      <c r="AK17" s="91"/>
      <c r="AL17" s="91"/>
      <c r="AM17" s="91"/>
      <c r="AN17" s="309" t="str">
        <f t="shared" si="7"/>
        <v/>
      </c>
      <c r="AO17" s="91"/>
      <c r="AP17" s="91"/>
      <c r="AQ17" s="91"/>
      <c r="AR17" s="91"/>
      <c r="AS17" s="309" t="str">
        <f t="shared" si="8"/>
        <v/>
      </c>
      <c r="AT17" s="91"/>
      <c r="AU17" s="91"/>
      <c r="AV17" s="91"/>
      <c r="AW17" s="91"/>
      <c r="AX17" s="309" t="str">
        <f t="shared" si="9"/>
        <v/>
      </c>
      <c r="AY17" s="91"/>
      <c r="AZ17" s="91"/>
      <c r="BA17" s="91"/>
      <c r="BB17" s="91"/>
      <c r="BC17" s="309" t="str">
        <f t="shared" si="10"/>
        <v/>
      </c>
      <c r="BD17" s="310">
        <f t="shared" si="11"/>
        <v>79</v>
      </c>
      <c r="BE17" s="311">
        <f t="shared" si="0"/>
        <v>79</v>
      </c>
      <c r="BF17" s="312">
        <f t="shared" si="12"/>
        <v>79</v>
      </c>
      <c r="BG17" s="313" t="str">
        <f t="shared" si="13"/>
        <v>B</v>
      </c>
      <c r="BH17" s="106" t="str">
        <f t="shared" si="14"/>
        <v>TUNTAS</v>
      </c>
      <c r="BI17" s="107" t="str">
        <f t="shared" si="15"/>
        <v>Terampil</v>
      </c>
      <c r="BJ17" s="116" t="str">
        <f>IF(BD17="","",VLOOKUP(BD17,DATAKET!$Z$3:$AA$12,2,FALSE))</f>
        <v>Menyimpulkan isi puisi rakyat (pantun, syair, dan bentuk puisi rakyat setempat) yang disajikan dalam bentuk tulis dan lisan</v>
      </c>
      <c r="BK17" s="105" t="str">
        <f t="shared" si="16"/>
        <v>Terampil Menyimpulkan isi puisi rakyat (pantun, syair, dan bentuk puisi rakyat setempat) yang disajikan dalam bentuk tulis dan lisan</v>
      </c>
    </row>
    <row r="18" spans="1:63" ht="16.5">
      <c r="A18" s="107">
        <f>'DATA SISWA'!A18</f>
        <v>14</v>
      </c>
      <c r="B18" s="107" t="str">
        <f>'DATA SISWA'!B18</f>
        <v>7654</v>
      </c>
      <c r="C18" s="116" t="str">
        <f>'DATA SISWA'!C18</f>
        <v>ISMA SRI WAHYUNI</v>
      </c>
      <c r="D18" s="107" t="str">
        <f>'DATA SISWA'!D18</f>
        <v>P</v>
      </c>
      <c r="E18" s="107" t="str">
        <f>'DATA SISWA'!E18</f>
        <v>VII-J</v>
      </c>
      <c r="F18" s="91"/>
      <c r="G18" s="407"/>
      <c r="H18" s="91">
        <v>78</v>
      </c>
      <c r="I18" s="91"/>
      <c r="J18" s="309">
        <f t="shared" si="1"/>
        <v>78</v>
      </c>
      <c r="K18" s="91"/>
      <c r="L18" s="407"/>
      <c r="M18" s="91">
        <v>78</v>
      </c>
      <c r="N18" s="91"/>
      <c r="O18" s="309">
        <f t="shared" si="2"/>
        <v>78</v>
      </c>
      <c r="P18" s="91"/>
      <c r="Q18" s="91"/>
      <c r="R18" s="91">
        <v>78</v>
      </c>
      <c r="S18" s="91"/>
      <c r="T18" s="309">
        <f t="shared" si="3"/>
        <v>78</v>
      </c>
      <c r="U18" s="91"/>
      <c r="V18" s="91"/>
      <c r="W18" s="91">
        <v>78</v>
      </c>
      <c r="X18" s="91"/>
      <c r="Y18" s="309">
        <f t="shared" si="4"/>
        <v>78</v>
      </c>
      <c r="Z18" s="91"/>
      <c r="AA18" s="91"/>
      <c r="AB18" s="91"/>
      <c r="AC18" s="91"/>
      <c r="AD18" s="309" t="str">
        <f t="shared" si="5"/>
        <v/>
      </c>
      <c r="AE18" s="91"/>
      <c r="AF18" s="91"/>
      <c r="AG18" s="91"/>
      <c r="AH18" s="91"/>
      <c r="AI18" s="309" t="str">
        <f t="shared" si="6"/>
        <v/>
      </c>
      <c r="AJ18" s="91"/>
      <c r="AK18" s="91"/>
      <c r="AL18" s="91"/>
      <c r="AM18" s="91"/>
      <c r="AN18" s="309" t="str">
        <f t="shared" si="7"/>
        <v/>
      </c>
      <c r="AO18" s="91"/>
      <c r="AP18" s="91"/>
      <c r="AQ18" s="91"/>
      <c r="AR18" s="91"/>
      <c r="AS18" s="309" t="str">
        <f t="shared" si="8"/>
        <v/>
      </c>
      <c r="AT18" s="91"/>
      <c r="AU18" s="91"/>
      <c r="AV18" s="91"/>
      <c r="AW18" s="91"/>
      <c r="AX18" s="309" t="str">
        <f t="shared" si="9"/>
        <v/>
      </c>
      <c r="AY18" s="91"/>
      <c r="AZ18" s="91"/>
      <c r="BA18" s="91"/>
      <c r="BB18" s="91"/>
      <c r="BC18" s="309" t="str">
        <f t="shared" si="10"/>
        <v/>
      </c>
      <c r="BD18" s="310">
        <f t="shared" si="11"/>
        <v>78</v>
      </c>
      <c r="BE18" s="311">
        <f t="shared" si="0"/>
        <v>78</v>
      </c>
      <c r="BF18" s="312">
        <f t="shared" si="12"/>
        <v>78</v>
      </c>
      <c r="BG18" s="313" t="str">
        <f t="shared" si="13"/>
        <v>B</v>
      </c>
      <c r="BH18" s="106" t="str">
        <f t="shared" si="14"/>
        <v>TUNTAS</v>
      </c>
      <c r="BI18" s="107" t="str">
        <f t="shared" si="15"/>
        <v>Terampil</v>
      </c>
      <c r="BJ18" s="116" t="str">
        <f>IF(BD18="","",VLOOKUP(BD18,DATAKET!$AB$3:$AC$12,2,FALSE))</f>
        <v>Menyimpulkan isi puisi rakyat (pantun, syair, dan bentuk puisi rakyat setempat) yang disajikan dalam bentuk tulis dan lisan</v>
      </c>
      <c r="BK18" s="105" t="str">
        <f t="shared" si="16"/>
        <v>Terampil Menyimpulkan isi puisi rakyat (pantun, syair, dan bentuk puisi rakyat setempat) yang disajikan dalam bentuk tulis dan lisan</v>
      </c>
    </row>
    <row r="19" spans="1:63" ht="16.5">
      <c r="A19" s="107">
        <f>'DATA SISWA'!A19</f>
        <v>15</v>
      </c>
      <c r="B19" s="107" t="str">
        <f>'DATA SISWA'!B19</f>
        <v>7655</v>
      </c>
      <c r="C19" s="116" t="str">
        <f>'DATA SISWA'!C19</f>
        <v>JAKFAR SODIK ROMADHONI</v>
      </c>
      <c r="D19" s="107" t="str">
        <f>'DATA SISWA'!D19</f>
        <v>L</v>
      </c>
      <c r="E19" s="107" t="str">
        <f>'DATA SISWA'!E19</f>
        <v>VII-J</v>
      </c>
      <c r="F19" s="91"/>
      <c r="G19" s="407"/>
      <c r="H19" s="91">
        <v>79</v>
      </c>
      <c r="I19" s="91"/>
      <c r="J19" s="309">
        <f t="shared" si="1"/>
        <v>79</v>
      </c>
      <c r="K19" s="91"/>
      <c r="L19" s="407"/>
      <c r="M19" s="91">
        <v>79</v>
      </c>
      <c r="N19" s="91"/>
      <c r="O19" s="309">
        <f t="shared" si="2"/>
        <v>79</v>
      </c>
      <c r="P19" s="91"/>
      <c r="Q19" s="91"/>
      <c r="R19" s="91">
        <v>79</v>
      </c>
      <c r="S19" s="91"/>
      <c r="T19" s="309">
        <f t="shared" si="3"/>
        <v>79</v>
      </c>
      <c r="U19" s="91"/>
      <c r="V19" s="91"/>
      <c r="W19" s="91">
        <v>79</v>
      </c>
      <c r="X19" s="91"/>
      <c r="Y19" s="309">
        <f t="shared" si="4"/>
        <v>79</v>
      </c>
      <c r="Z19" s="91"/>
      <c r="AA19" s="91"/>
      <c r="AB19" s="91"/>
      <c r="AC19" s="91"/>
      <c r="AD19" s="309" t="str">
        <f t="shared" si="5"/>
        <v/>
      </c>
      <c r="AE19" s="91"/>
      <c r="AF19" s="91"/>
      <c r="AG19" s="91"/>
      <c r="AH19" s="91"/>
      <c r="AI19" s="309" t="str">
        <f t="shared" si="6"/>
        <v/>
      </c>
      <c r="AJ19" s="91"/>
      <c r="AK19" s="91"/>
      <c r="AL19" s="91"/>
      <c r="AM19" s="91"/>
      <c r="AN19" s="309" t="str">
        <f t="shared" si="7"/>
        <v/>
      </c>
      <c r="AO19" s="91"/>
      <c r="AP19" s="91"/>
      <c r="AQ19" s="91"/>
      <c r="AR19" s="91"/>
      <c r="AS19" s="309" t="str">
        <f t="shared" si="8"/>
        <v/>
      </c>
      <c r="AT19" s="91"/>
      <c r="AU19" s="91"/>
      <c r="AV19" s="91"/>
      <c r="AW19" s="91"/>
      <c r="AX19" s="309" t="str">
        <f t="shared" si="9"/>
        <v/>
      </c>
      <c r="AY19" s="91"/>
      <c r="AZ19" s="91"/>
      <c r="BA19" s="91"/>
      <c r="BB19" s="91"/>
      <c r="BC19" s="309" t="str">
        <f t="shared" si="10"/>
        <v/>
      </c>
      <c r="BD19" s="310">
        <f t="shared" si="11"/>
        <v>79</v>
      </c>
      <c r="BE19" s="311">
        <f t="shared" si="0"/>
        <v>79</v>
      </c>
      <c r="BF19" s="312">
        <f t="shared" si="12"/>
        <v>79</v>
      </c>
      <c r="BG19" s="313" t="str">
        <f t="shared" si="13"/>
        <v>B</v>
      </c>
      <c r="BH19" s="106" t="str">
        <f t="shared" si="14"/>
        <v>TUNTAS</v>
      </c>
      <c r="BI19" s="107" t="str">
        <f t="shared" si="15"/>
        <v>Terampil</v>
      </c>
      <c r="BJ19" s="116" t="str">
        <f>IF(BD19="","",VLOOKUP(BD19,DATAKET!$AD$3:$AE$12,2,FALSE))</f>
        <v>Menyimpulkan isi puisi rakyat (pantun, syair, dan bentuk puisi rakyat setempat) yang disajikan dalam bentuk tulis dan lisan</v>
      </c>
      <c r="BK19" s="105" t="str">
        <f t="shared" si="16"/>
        <v>Terampil Menyimpulkan isi puisi rakyat (pantun, syair, dan bentuk puisi rakyat setempat) yang disajikan dalam bentuk tulis dan lisan</v>
      </c>
    </row>
    <row r="20" spans="1:63" ht="16.5">
      <c r="A20" s="107">
        <f>'DATA SISWA'!A20</f>
        <v>16</v>
      </c>
      <c r="B20" s="107" t="str">
        <f>'DATA SISWA'!B20</f>
        <v>7656</v>
      </c>
      <c r="C20" s="116" t="str">
        <f>'DATA SISWA'!C20</f>
        <v>KHOIRIL NISA'</v>
      </c>
      <c r="D20" s="107" t="str">
        <f>'DATA SISWA'!D20</f>
        <v>P</v>
      </c>
      <c r="E20" s="107" t="str">
        <f>'DATA SISWA'!E20</f>
        <v>VII-J</v>
      </c>
      <c r="F20" s="91"/>
      <c r="G20" s="407"/>
      <c r="H20" s="91">
        <v>80</v>
      </c>
      <c r="I20" s="91"/>
      <c r="J20" s="309">
        <f t="shared" si="1"/>
        <v>80</v>
      </c>
      <c r="K20" s="91"/>
      <c r="L20" s="407"/>
      <c r="M20" s="91">
        <v>80</v>
      </c>
      <c r="N20" s="91"/>
      <c r="O20" s="309">
        <f t="shared" si="2"/>
        <v>80</v>
      </c>
      <c r="P20" s="91"/>
      <c r="Q20" s="91"/>
      <c r="R20" s="91">
        <v>80</v>
      </c>
      <c r="S20" s="91"/>
      <c r="T20" s="309">
        <f t="shared" si="3"/>
        <v>80</v>
      </c>
      <c r="U20" s="91"/>
      <c r="V20" s="91"/>
      <c r="W20" s="91">
        <v>80</v>
      </c>
      <c r="X20" s="91"/>
      <c r="Y20" s="309">
        <f t="shared" si="4"/>
        <v>80</v>
      </c>
      <c r="Z20" s="91"/>
      <c r="AA20" s="91"/>
      <c r="AB20" s="91"/>
      <c r="AC20" s="91"/>
      <c r="AD20" s="309" t="str">
        <f t="shared" si="5"/>
        <v/>
      </c>
      <c r="AE20" s="91"/>
      <c r="AF20" s="91"/>
      <c r="AG20" s="91"/>
      <c r="AH20" s="91"/>
      <c r="AI20" s="309" t="str">
        <f t="shared" si="6"/>
        <v/>
      </c>
      <c r="AJ20" s="91"/>
      <c r="AK20" s="91"/>
      <c r="AL20" s="91"/>
      <c r="AM20" s="91"/>
      <c r="AN20" s="309" t="str">
        <f t="shared" si="7"/>
        <v/>
      </c>
      <c r="AO20" s="91"/>
      <c r="AP20" s="91"/>
      <c r="AQ20" s="91"/>
      <c r="AR20" s="91"/>
      <c r="AS20" s="309" t="str">
        <f t="shared" si="8"/>
        <v/>
      </c>
      <c r="AT20" s="91"/>
      <c r="AU20" s="91"/>
      <c r="AV20" s="91"/>
      <c r="AW20" s="91"/>
      <c r="AX20" s="309" t="str">
        <f t="shared" si="9"/>
        <v/>
      </c>
      <c r="AY20" s="91"/>
      <c r="AZ20" s="91"/>
      <c r="BA20" s="91"/>
      <c r="BB20" s="91"/>
      <c r="BC20" s="309" t="str">
        <f t="shared" si="10"/>
        <v/>
      </c>
      <c r="BD20" s="310">
        <f t="shared" si="11"/>
        <v>80</v>
      </c>
      <c r="BE20" s="311">
        <f t="shared" si="0"/>
        <v>80</v>
      </c>
      <c r="BF20" s="312">
        <f t="shared" si="12"/>
        <v>80</v>
      </c>
      <c r="BG20" s="313" t="str">
        <f t="shared" si="13"/>
        <v>B</v>
      </c>
      <c r="BH20" s="106" t="str">
        <f t="shared" si="14"/>
        <v>TUNTAS</v>
      </c>
      <c r="BI20" s="107" t="str">
        <f t="shared" si="15"/>
        <v>Terampil</v>
      </c>
      <c r="BJ20" s="116" t="str">
        <f>IF(BD20="","",VLOOKUP(BD20,DATAKET!$AF$3:$AG$12,2,FALSE))</f>
        <v>Menyimpulkan isi puisi rakyat (pantun, syair, dan bentuk puisi rakyat setempat) yang disajikan dalam bentuk tulis dan lisan</v>
      </c>
      <c r="BK20" s="105" t="str">
        <f t="shared" si="16"/>
        <v>Terampil Menyimpulkan isi puisi rakyat (pantun, syair, dan bentuk puisi rakyat setempat) yang disajikan dalam bentuk tulis dan lisan</v>
      </c>
    </row>
    <row r="21" spans="1:63" ht="16.5">
      <c r="A21" s="107">
        <f>'DATA SISWA'!A21</f>
        <v>17</v>
      </c>
      <c r="B21" s="107" t="str">
        <f>'DATA SISWA'!B21</f>
        <v>7657</v>
      </c>
      <c r="C21" s="116" t="str">
        <f>'DATA SISWA'!C21</f>
        <v>LATIFA MAHARANI</v>
      </c>
      <c r="D21" s="107" t="str">
        <f>'DATA SISWA'!D21</f>
        <v>P</v>
      </c>
      <c r="E21" s="107" t="str">
        <f>'DATA SISWA'!E21</f>
        <v>VII-J</v>
      </c>
      <c r="F21" s="91"/>
      <c r="G21" s="407"/>
      <c r="H21" s="91">
        <v>80</v>
      </c>
      <c r="I21" s="91"/>
      <c r="J21" s="309">
        <f t="shared" si="1"/>
        <v>80</v>
      </c>
      <c r="K21" s="91"/>
      <c r="L21" s="407"/>
      <c r="M21" s="91">
        <v>80</v>
      </c>
      <c r="N21" s="91"/>
      <c r="O21" s="309">
        <f t="shared" si="2"/>
        <v>80</v>
      </c>
      <c r="P21" s="91"/>
      <c r="Q21" s="91"/>
      <c r="R21" s="91">
        <v>80</v>
      </c>
      <c r="S21" s="91"/>
      <c r="T21" s="309">
        <f t="shared" si="3"/>
        <v>80</v>
      </c>
      <c r="U21" s="91"/>
      <c r="V21" s="91"/>
      <c r="W21" s="91">
        <v>80</v>
      </c>
      <c r="X21" s="91"/>
      <c r="Y21" s="309">
        <f t="shared" si="4"/>
        <v>80</v>
      </c>
      <c r="Z21" s="91"/>
      <c r="AA21" s="91"/>
      <c r="AB21" s="91"/>
      <c r="AC21" s="91"/>
      <c r="AD21" s="309" t="str">
        <f t="shared" si="5"/>
        <v/>
      </c>
      <c r="AE21" s="91"/>
      <c r="AF21" s="91"/>
      <c r="AG21" s="91"/>
      <c r="AH21" s="91"/>
      <c r="AI21" s="309" t="str">
        <f t="shared" si="6"/>
        <v/>
      </c>
      <c r="AJ21" s="91"/>
      <c r="AK21" s="91"/>
      <c r="AL21" s="91"/>
      <c r="AM21" s="91"/>
      <c r="AN21" s="309" t="str">
        <f t="shared" si="7"/>
        <v/>
      </c>
      <c r="AO21" s="91"/>
      <c r="AP21" s="91"/>
      <c r="AQ21" s="91"/>
      <c r="AR21" s="91"/>
      <c r="AS21" s="309" t="str">
        <f t="shared" si="8"/>
        <v/>
      </c>
      <c r="AT21" s="91"/>
      <c r="AU21" s="91"/>
      <c r="AV21" s="91"/>
      <c r="AW21" s="91"/>
      <c r="AX21" s="309" t="str">
        <f t="shared" si="9"/>
        <v/>
      </c>
      <c r="AY21" s="91"/>
      <c r="AZ21" s="91"/>
      <c r="BA21" s="91"/>
      <c r="BB21" s="91"/>
      <c r="BC21" s="309" t="str">
        <f t="shared" si="10"/>
        <v/>
      </c>
      <c r="BD21" s="310">
        <f t="shared" si="11"/>
        <v>80</v>
      </c>
      <c r="BE21" s="311">
        <f t="shared" si="0"/>
        <v>80</v>
      </c>
      <c r="BF21" s="312">
        <f t="shared" si="12"/>
        <v>80</v>
      </c>
      <c r="BG21" s="313" t="str">
        <f t="shared" si="13"/>
        <v>B</v>
      </c>
      <c r="BH21" s="106" t="str">
        <f t="shared" si="14"/>
        <v>TUNTAS</v>
      </c>
      <c r="BI21" s="107" t="str">
        <f t="shared" si="15"/>
        <v>Terampil</v>
      </c>
      <c r="BJ21" s="116" t="str">
        <f>IF(BD21="","",VLOOKUP(BD21,DATAKET!$AH$3:$AI$12,2,FALSE))</f>
        <v>Menyimpulkan isi puisi rakyat (pantun, syair, dan bentuk puisi rakyat setempat) yang disajikan dalam bentuk tulis dan lisan</v>
      </c>
      <c r="BK21" s="105" t="str">
        <f t="shared" si="16"/>
        <v>Terampil Menyimpulkan isi puisi rakyat (pantun, syair, dan bentuk puisi rakyat setempat) yang disajikan dalam bentuk tulis dan lisan</v>
      </c>
    </row>
    <row r="22" spans="1:63" ht="16.5">
      <c r="A22" s="107">
        <f>'DATA SISWA'!A22</f>
        <v>18</v>
      </c>
      <c r="B22" s="107" t="str">
        <f>'DATA SISWA'!B22</f>
        <v>7658</v>
      </c>
      <c r="C22" s="116" t="str">
        <f>'DATA SISWA'!C22</f>
        <v>LUQMANUL FIKRI SYAIFULLAH</v>
      </c>
      <c r="D22" s="107" t="str">
        <f>'DATA SISWA'!D22</f>
        <v>L</v>
      </c>
      <c r="E22" s="107" t="str">
        <f>'DATA SISWA'!E22</f>
        <v>VII-J</v>
      </c>
      <c r="F22" s="91"/>
      <c r="G22" s="407"/>
      <c r="H22" s="91">
        <v>79</v>
      </c>
      <c r="I22" s="91"/>
      <c r="J22" s="309">
        <f t="shared" si="1"/>
        <v>79</v>
      </c>
      <c r="K22" s="91"/>
      <c r="L22" s="407"/>
      <c r="M22" s="91">
        <v>79</v>
      </c>
      <c r="N22" s="91"/>
      <c r="O22" s="309">
        <f t="shared" si="2"/>
        <v>79</v>
      </c>
      <c r="P22" s="91"/>
      <c r="Q22" s="91"/>
      <c r="R22" s="91">
        <v>79</v>
      </c>
      <c r="S22" s="91"/>
      <c r="T22" s="309">
        <f t="shared" si="3"/>
        <v>79</v>
      </c>
      <c r="U22" s="91"/>
      <c r="V22" s="91"/>
      <c r="W22" s="91">
        <v>79</v>
      </c>
      <c r="X22" s="91"/>
      <c r="Y22" s="309">
        <f t="shared" si="4"/>
        <v>79</v>
      </c>
      <c r="Z22" s="91"/>
      <c r="AA22" s="91"/>
      <c r="AB22" s="91"/>
      <c r="AC22" s="91"/>
      <c r="AD22" s="309" t="str">
        <f t="shared" si="5"/>
        <v/>
      </c>
      <c r="AE22" s="91"/>
      <c r="AF22" s="91"/>
      <c r="AG22" s="91"/>
      <c r="AH22" s="91"/>
      <c r="AI22" s="309" t="str">
        <f t="shared" si="6"/>
        <v/>
      </c>
      <c r="AJ22" s="91"/>
      <c r="AK22" s="91"/>
      <c r="AL22" s="91"/>
      <c r="AM22" s="91"/>
      <c r="AN22" s="309" t="str">
        <f t="shared" si="7"/>
        <v/>
      </c>
      <c r="AO22" s="91"/>
      <c r="AP22" s="91"/>
      <c r="AQ22" s="91"/>
      <c r="AR22" s="91"/>
      <c r="AS22" s="309" t="str">
        <f t="shared" si="8"/>
        <v/>
      </c>
      <c r="AT22" s="91"/>
      <c r="AU22" s="91"/>
      <c r="AV22" s="91"/>
      <c r="AW22" s="91"/>
      <c r="AX22" s="309" t="str">
        <f t="shared" si="9"/>
        <v/>
      </c>
      <c r="AY22" s="91"/>
      <c r="AZ22" s="91"/>
      <c r="BA22" s="91"/>
      <c r="BB22" s="91"/>
      <c r="BC22" s="309" t="str">
        <f t="shared" si="10"/>
        <v/>
      </c>
      <c r="BD22" s="310">
        <f t="shared" si="11"/>
        <v>79</v>
      </c>
      <c r="BE22" s="311">
        <f t="shared" si="0"/>
        <v>79</v>
      </c>
      <c r="BF22" s="312">
        <f t="shared" si="12"/>
        <v>79</v>
      </c>
      <c r="BG22" s="313" t="str">
        <f t="shared" si="13"/>
        <v>B</v>
      </c>
      <c r="BH22" s="106" t="str">
        <f t="shared" si="14"/>
        <v>TUNTAS</v>
      </c>
      <c r="BI22" s="107" t="str">
        <f t="shared" si="15"/>
        <v>Terampil</v>
      </c>
      <c r="BJ22" s="116" t="str">
        <f>IF(BD22="","",VLOOKUP(BD22,DATAKET!$AJ$3:$AK$12,2,FALSE))</f>
        <v>Menyimpulkan isi puisi rakyat (pantun, syair, dan bentuk puisi rakyat setempat) yang disajikan dalam bentuk tulis dan lisan</v>
      </c>
      <c r="BK22" s="105" t="str">
        <f t="shared" si="16"/>
        <v>Terampil Menyimpulkan isi puisi rakyat (pantun, syair, dan bentuk puisi rakyat setempat) yang disajikan dalam bentuk tulis dan lisan</v>
      </c>
    </row>
    <row r="23" spans="1:63" ht="16.5">
      <c r="A23" s="107">
        <f>'DATA SISWA'!A23</f>
        <v>19</v>
      </c>
      <c r="B23" s="107" t="str">
        <f>'DATA SISWA'!B23</f>
        <v>7659</v>
      </c>
      <c r="C23" s="116" t="str">
        <f>'DATA SISWA'!C23</f>
        <v>MAR'ATUS SOLEHAH</v>
      </c>
      <c r="D23" s="107" t="str">
        <f>'DATA SISWA'!D23</f>
        <v>P</v>
      </c>
      <c r="E23" s="107" t="str">
        <f>'DATA SISWA'!E23</f>
        <v>VII-J</v>
      </c>
      <c r="F23" s="91"/>
      <c r="G23" s="407"/>
      <c r="H23" s="91">
        <v>78</v>
      </c>
      <c r="I23" s="91"/>
      <c r="J23" s="309">
        <f t="shared" si="1"/>
        <v>78</v>
      </c>
      <c r="K23" s="91"/>
      <c r="L23" s="407"/>
      <c r="M23" s="91">
        <v>78</v>
      </c>
      <c r="N23" s="91"/>
      <c r="O23" s="309">
        <f t="shared" si="2"/>
        <v>78</v>
      </c>
      <c r="P23" s="91"/>
      <c r="Q23" s="91"/>
      <c r="R23" s="91">
        <v>78</v>
      </c>
      <c r="S23" s="91"/>
      <c r="T23" s="309">
        <f t="shared" si="3"/>
        <v>78</v>
      </c>
      <c r="U23" s="91"/>
      <c r="V23" s="91"/>
      <c r="W23" s="91">
        <v>78</v>
      </c>
      <c r="X23" s="91"/>
      <c r="Y23" s="309">
        <f t="shared" si="4"/>
        <v>78</v>
      </c>
      <c r="Z23" s="91"/>
      <c r="AA23" s="91"/>
      <c r="AB23" s="91"/>
      <c r="AC23" s="91"/>
      <c r="AD23" s="309" t="str">
        <f t="shared" si="5"/>
        <v/>
      </c>
      <c r="AE23" s="91"/>
      <c r="AF23" s="91"/>
      <c r="AG23" s="91"/>
      <c r="AH23" s="91"/>
      <c r="AI23" s="309" t="str">
        <f t="shared" si="6"/>
        <v/>
      </c>
      <c r="AJ23" s="91"/>
      <c r="AK23" s="91"/>
      <c r="AL23" s="91"/>
      <c r="AM23" s="91"/>
      <c r="AN23" s="309" t="str">
        <f t="shared" si="7"/>
        <v/>
      </c>
      <c r="AO23" s="91"/>
      <c r="AP23" s="91"/>
      <c r="AQ23" s="91"/>
      <c r="AR23" s="91"/>
      <c r="AS23" s="309" t="str">
        <f t="shared" si="8"/>
        <v/>
      </c>
      <c r="AT23" s="91"/>
      <c r="AU23" s="91"/>
      <c r="AV23" s="91"/>
      <c r="AW23" s="91"/>
      <c r="AX23" s="309" t="str">
        <f t="shared" si="9"/>
        <v/>
      </c>
      <c r="AY23" s="91"/>
      <c r="AZ23" s="91"/>
      <c r="BA23" s="91"/>
      <c r="BB23" s="91"/>
      <c r="BC23" s="309" t="str">
        <f t="shared" si="10"/>
        <v/>
      </c>
      <c r="BD23" s="310">
        <f t="shared" si="11"/>
        <v>78</v>
      </c>
      <c r="BE23" s="311">
        <f t="shared" si="0"/>
        <v>78</v>
      </c>
      <c r="BF23" s="312">
        <f t="shared" si="12"/>
        <v>78</v>
      </c>
      <c r="BG23" s="313" t="str">
        <f t="shared" si="13"/>
        <v>B</v>
      </c>
      <c r="BH23" s="106" t="str">
        <f t="shared" si="14"/>
        <v>TUNTAS</v>
      </c>
      <c r="BI23" s="107" t="str">
        <f t="shared" si="15"/>
        <v>Terampil</v>
      </c>
      <c r="BJ23" s="116" t="str">
        <f>IF(BD23="","",VLOOKUP(BD23,DATAKET!$AL$3:$AM$12,2,FALSE))</f>
        <v>Menyimpulkan isi puisi rakyat (pantun, syair, dan bentuk puisi rakyat setempat) yang disajikan dalam bentuk tulis dan lisan</v>
      </c>
      <c r="BK23" s="105" t="str">
        <f t="shared" si="16"/>
        <v>Terampil Menyimpulkan isi puisi rakyat (pantun, syair, dan bentuk puisi rakyat setempat) yang disajikan dalam bentuk tulis dan lisan</v>
      </c>
    </row>
    <row r="24" spans="1:63" ht="16.5">
      <c r="A24" s="107">
        <f>'DATA SISWA'!A24</f>
        <v>20</v>
      </c>
      <c r="B24" s="107" t="str">
        <f>'DATA SISWA'!B24</f>
        <v>7660</v>
      </c>
      <c r="C24" s="116" t="str">
        <f>'DATA SISWA'!C24</f>
        <v>MOCH.  SHOLEH W. H</v>
      </c>
      <c r="D24" s="107" t="str">
        <f>'DATA SISWA'!D24</f>
        <v>L</v>
      </c>
      <c r="E24" s="107" t="str">
        <f>'DATA SISWA'!E24</f>
        <v>VII-J</v>
      </c>
      <c r="F24" s="91"/>
      <c r="G24" s="407"/>
      <c r="H24" s="91">
        <v>79</v>
      </c>
      <c r="I24" s="91"/>
      <c r="J24" s="309">
        <f t="shared" si="1"/>
        <v>79</v>
      </c>
      <c r="K24" s="91"/>
      <c r="L24" s="407"/>
      <c r="M24" s="91">
        <v>79</v>
      </c>
      <c r="N24" s="91"/>
      <c r="O24" s="309">
        <f t="shared" si="2"/>
        <v>79</v>
      </c>
      <c r="P24" s="91"/>
      <c r="Q24" s="91"/>
      <c r="R24" s="91">
        <v>79</v>
      </c>
      <c r="S24" s="91"/>
      <c r="T24" s="309">
        <f t="shared" si="3"/>
        <v>79</v>
      </c>
      <c r="U24" s="91"/>
      <c r="V24" s="91"/>
      <c r="W24" s="91">
        <v>79</v>
      </c>
      <c r="X24" s="91"/>
      <c r="Y24" s="309">
        <f t="shared" si="4"/>
        <v>79</v>
      </c>
      <c r="Z24" s="91"/>
      <c r="AA24" s="91"/>
      <c r="AB24" s="91"/>
      <c r="AC24" s="91"/>
      <c r="AD24" s="309" t="str">
        <f t="shared" si="5"/>
        <v/>
      </c>
      <c r="AE24" s="91"/>
      <c r="AF24" s="91"/>
      <c r="AG24" s="91"/>
      <c r="AH24" s="91"/>
      <c r="AI24" s="309" t="str">
        <f t="shared" si="6"/>
        <v/>
      </c>
      <c r="AJ24" s="91"/>
      <c r="AK24" s="91"/>
      <c r="AL24" s="91"/>
      <c r="AM24" s="91"/>
      <c r="AN24" s="309" t="str">
        <f t="shared" si="7"/>
        <v/>
      </c>
      <c r="AO24" s="91"/>
      <c r="AP24" s="91"/>
      <c r="AQ24" s="91"/>
      <c r="AR24" s="91"/>
      <c r="AS24" s="309" t="str">
        <f t="shared" si="8"/>
        <v/>
      </c>
      <c r="AT24" s="91"/>
      <c r="AU24" s="91"/>
      <c r="AV24" s="91"/>
      <c r="AW24" s="91"/>
      <c r="AX24" s="309" t="str">
        <f t="shared" si="9"/>
        <v/>
      </c>
      <c r="AY24" s="91"/>
      <c r="AZ24" s="91"/>
      <c r="BA24" s="91"/>
      <c r="BB24" s="91"/>
      <c r="BC24" s="309" t="str">
        <f t="shared" si="10"/>
        <v/>
      </c>
      <c r="BD24" s="310">
        <f t="shared" si="11"/>
        <v>79</v>
      </c>
      <c r="BE24" s="311">
        <f t="shared" si="0"/>
        <v>79</v>
      </c>
      <c r="BF24" s="312">
        <f t="shared" si="12"/>
        <v>79</v>
      </c>
      <c r="BG24" s="313" t="str">
        <f t="shared" si="13"/>
        <v>B</v>
      </c>
      <c r="BH24" s="106" t="str">
        <f t="shared" si="14"/>
        <v>TUNTAS</v>
      </c>
      <c r="BI24" s="107" t="str">
        <f t="shared" si="15"/>
        <v>Terampil</v>
      </c>
      <c r="BJ24" s="116" t="str">
        <f>IF(BD24="","",VLOOKUP(BD24,DATAKET!$AN$3:$AO$12,2,FALSE))</f>
        <v>Menyimpulkan isi puisi rakyat (pantun, syair, dan bentuk puisi rakyat setempat) yang disajikan dalam bentuk tulis dan lisan</v>
      </c>
      <c r="BK24" s="105" t="str">
        <f t="shared" si="16"/>
        <v>Terampil Menyimpulkan isi puisi rakyat (pantun, syair, dan bentuk puisi rakyat setempat) yang disajikan dalam bentuk tulis dan lisan</v>
      </c>
    </row>
    <row r="25" spans="1:63" ht="16.5">
      <c r="A25" s="107">
        <f>'DATA SISWA'!A25</f>
        <v>21</v>
      </c>
      <c r="B25" s="107" t="str">
        <f>'DATA SISWA'!B25</f>
        <v>7661</v>
      </c>
      <c r="C25" s="116" t="str">
        <f>'DATA SISWA'!C25</f>
        <v>MOCH. FAWES</v>
      </c>
      <c r="D25" s="107" t="str">
        <f>'DATA SISWA'!D25</f>
        <v>L</v>
      </c>
      <c r="E25" s="107" t="str">
        <f>'DATA SISWA'!E25</f>
        <v>VII-J</v>
      </c>
      <c r="F25" s="91"/>
      <c r="G25" s="407"/>
      <c r="H25" s="91">
        <v>80</v>
      </c>
      <c r="I25" s="91"/>
      <c r="J25" s="309">
        <f t="shared" si="1"/>
        <v>80</v>
      </c>
      <c r="K25" s="91"/>
      <c r="L25" s="407"/>
      <c r="M25" s="91">
        <v>80</v>
      </c>
      <c r="N25" s="91"/>
      <c r="O25" s="309">
        <f t="shared" si="2"/>
        <v>80</v>
      </c>
      <c r="P25" s="91"/>
      <c r="Q25" s="91"/>
      <c r="R25" s="91">
        <v>80</v>
      </c>
      <c r="S25" s="91"/>
      <c r="T25" s="309">
        <f t="shared" si="3"/>
        <v>80</v>
      </c>
      <c r="U25" s="91"/>
      <c r="V25" s="91"/>
      <c r="W25" s="91">
        <v>80</v>
      </c>
      <c r="X25" s="91"/>
      <c r="Y25" s="309">
        <f t="shared" si="4"/>
        <v>80</v>
      </c>
      <c r="Z25" s="91"/>
      <c r="AA25" s="91"/>
      <c r="AB25" s="91"/>
      <c r="AC25" s="91"/>
      <c r="AD25" s="309" t="str">
        <f t="shared" si="5"/>
        <v/>
      </c>
      <c r="AE25" s="91"/>
      <c r="AF25" s="91"/>
      <c r="AG25" s="91"/>
      <c r="AH25" s="91"/>
      <c r="AI25" s="309" t="str">
        <f t="shared" si="6"/>
        <v/>
      </c>
      <c r="AJ25" s="91"/>
      <c r="AK25" s="91"/>
      <c r="AL25" s="91"/>
      <c r="AM25" s="91"/>
      <c r="AN25" s="309" t="str">
        <f t="shared" si="7"/>
        <v/>
      </c>
      <c r="AO25" s="91"/>
      <c r="AP25" s="91"/>
      <c r="AQ25" s="91"/>
      <c r="AR25" s="91"/>
      <c r="AS25" s="309" t="str">
        <f t="shared" si="8"/>
        <v/>
      </c>
      <c r="AT25" s="91"/>
      <c r="AU25" s="91"/>
      <c r="AV25" s="91"/>
      <c r="AW25" s="91"/>
      <c r="AX25" s="309" t="str">
        <f t="shared" si="9"/>
        <v/>
      </c>
      <c r="AY25" s="91"/>
      <c r="AZ25" s="91"/>
      <c r="BA25" s="91"/>
      <c r="BB25" s="91"/>
      <c r="BC25" s="309" t="str">
        <f t="shared" si="10"/>
        <v/>
      </c>
      <c r="BD25" s="310">
        <f t="shared" si="11"/>
        <v>80</v>
      </c>
      <c r="BE25" s="311">
        <f t="shared" si="0"/>
        <v>80</v>
      </c>
      <c r="BF25" s="312">
        <f t="shared" si="12"/>
        <v>80</v>
      </c>
      <c r="BG25" s="313" t="str">
        <f t="shared" si="13"/>
        <v>B</v>
      </c>
      <c r="BH25" s="106" t="str">
        <f t="shared" si="14"/>
        <v>TUNTAS</v>
      </c>
      <c r="BI25" s="107" t="str">
        <f t="shared" si="15"/>
        <v>Terampil</v>
      </c>
      <c r="BJ25" s="116" t="str">
        <f>IF(BD25="","",VLOOKUP(BD25,DATAKET!$AP$3:$AQ$12,2,FALSE))</f>
        <v>Menyimpulkan isi puisi rakyat (pantun, syair, dan bentuk puisi rakyat setempat) yang disajikan dalam bentuk tulis dan lisan</v>
      </c>
      <c r="BK25" s="105" t="str">
        <f t="shared" si="16"/>
        <v>Terampil Menyimpulkan isi puisi rakyat (pantun, syair, dan bentuk puisi rakyat setempat) yang disajikan dalam bentuk tulis dan lisan</v>
      </c>
    </row>
    <row r="26" spans="1:63" ht="16.5">
      <c r="A26" s="107">
        <f>'DATA SISWA'!A26</f>
        <v>22</v>
      </c>
      <c r="B26" s="107" t="str">
        <f>'DATA SISWA'!B26</f>
        <v>7662</v>
      </c>
      <c r="C26" s="116" t="str">
        <f>'DATA SISWA'!C26</f>
        <v>MOH SAHRUL RAMADON</v>
      </c>
      <c r="D26" s="107" t="str">
        <f>'DATA SISWA'!D26</f>
        <v>L</v>
      </c>
      <c r="E26" s="107" t="str">
        <f>'DATA SISWA'!E26</f>
        <v>VII-J</v>
      </c>
      <c r="F26" s="91"/>
      <c r="G26" s="407"/>
      <c r="H26" s="91">
        <v>80</v>
      </c>
      <c r="I26" s="91"/>
      <c r="J26" s="309">
        <f t="shared" si="1"/>
        <v>80</v>
      </c>
      <c r="K26" s="91"/>
      <c r="L26" s="407"/>
      <c r="M26" s="91">
        <v>80</v>
      </c>
      <c r="N26" s="91"/>
      <c r="O26" s="309">
        <f t="shared" si="2"/>
        <v>80</v>
      </c>
      <c r="P26" s="91"/>
      <c r="Q26" s="91"/>
      <c r="R26" s="91">
        <v>80</v>
      </c>
      <c r="S26" s="91"/>
      <c r="T26" s="309">
        <f t="shared" si="3"/>
        <v>80</v>
      </c>
      <c r="U26" s="91"/>
      <c r="V26" s="91"/>
      <c r="W26" s="91">
        <v>80</v>
      </c>
      <c r="X26" s="91"/>
      <c r="Y26" s="309">
        <f t="shared" si="4"/>
        <v>80</v>
      </c>
      <c r="Z26" s="91"/>
      <c r="AA26" s="91"/>
      <c r="AB26" s="91"/>
      <c r="AC26" s="91"/>
      <c r="AD26" s="309" t="str">
        <f t="shared" si="5"/>
        <v/>
      </c>
      <c r="AE26" s="91"/>
      <c r="AF26" s="91"/>
      <c r="AG26" s="91"/>
      <c r="AH26" s="91"/>
      <c r="AI26" s="309" t="str">
        <f t="shared" si="6"/>
        <v/>
      </c>
      <c r="AJ26" s="91"/>
      <c r="AK26" s="91"/>
      <c r="AL26" s="91"/>
      <c r="AM26" s="91"/>
      <c r="AN26" s="309" t="str">
        <f t="shared" si="7"/>
        <v/>
      </c>
      <c r="AO26" s="91"/>
      <c r="AP26" s="91"/>
      <c r="AQ26" s="91"/>
      <c r="AR26" s="91"/>
      <c r="AS26" s="309" t="str">
        <f t="shared" si="8"/>
        <v/>
      </c>
      <c r="AT26" s="91"/>
      <c r="AU26" s="91"/>
      <c r="AV26" s="91"/>
      <c r="AW26" s="91"/>
      <c r="AX26" s="309" t="str">
        <f t="shared" si="9"/>
        <v/>
      </c>
      <c r="AY26" s="91"/>
      <c r="AZ26" s="91"/>
      <c r="BA26" s="91"/>
      <c r="BB26" s="91"/>
      <c r="BC26" s="309" t="str">
        <f t="shared" si="10"/>
        <v/>
      </c>
      <c r="BD26" s="310">
        <f t="shared" si="11"/>
        <v>80</v>
      </c>
      <c r="BE26" s="311">
        <f t="shared" si="0"/>
        <v>80</v>
      </c>
      <c r="BF26" s="312">
        <f t="shared" si="12"/>
        <v>80</v>
      </c>
      <c r="BG26" s="313" t="str">
        <f t="shared" si="13"/>
        <v>B</v>
      </c>
      <c r="BH26" s="106" t="str">
        <f t="shared" si="14"/>
        <v>TUNTAS</v>
      </c>
      <c r="BI26" s="107" t="str">
        <f t="shared" si="15"/>
        <v>Terampil</v>
      </c>
      <c r="BJ26" s="116" t="str">
        <f>IF(BD26="","",VLOOKUP(BD26,DATAKET!$AR$3:$AS$12,2,FALSE))</f>
        <v>Menyimpulkan isi puisi rakyat (pantun, syair, dan bentuk puisi rakyat setempat) yang disajikan dalam bentuk tulis dan lisan</v>
      </c>
      <c r="BK26" s="105" t="str">
        <f t="shared" si="16"/>
        <v>Terampil Menyimpulkan isi puisi rakyat (pantun, syair, dan bentuk puisi rakyat setempat) yang disajikan dalam bentuk tulis dan lisan</v>
      </c>
    </row>
    <row r="27" spans="1:63" ht="16.5">
      <c r="A27" s="107">
        <f>'DATA SISWA'!A27</f>
        <v>23</v>
      </c>
      <c r="B27" s="107" t="str">
        <f>'DATA SISWA'!B27</f>
        <v>7664</v>
      </c>
      <c r="C27" s="116" t="str">
        <f>'DATA SISWA'!C27</f>
        <v>MOHAMMAD RAMADAN PURNOMO</v>
      </c>
      <c r="D27" s="107" t="str">
        <f>'DATA SISWA'!D27</f>
        <v>L</v>
      </c>
      <c r="E27" s="107" t="str">
        <f>'DATA SISWA'!E27</f>
        <v>VII-J</v>
      </c>
      <c r="F27" s="91"/>
      <c r="G27" s="407"/>
      <c r="H27" s="91">
        <v>79</v>
      </c>
      <c r="I27" s="91"/>
      <c r="J27" s="309">
        <f t="shared" si="1"/>
        <v>79</v>
      </c>
      <c r="K27" s="91"/>
      <c r="L27" s="407"/>
      <c r="M27" s="91">
        <v>79</v>
      </c>
      <c r="N27" s="91"/>
      <c r="O27" s="309">
        <f t="shared" si="2"/>
        <v>79</v>
      </c>
      <c r="P27" s="91"/>
      <c r="Q27" s="91"/>
      <c r="R27" s="91">
        <v>79</v>
      </c>
      <c r="S27" s="91"/>
      <c r="T27" s="309">
        <f t="shared" si="3"/>
        <v>79</v>
      </c>
      <c r="U27" s="91"/>
      <c r="V27" s="91"/>
      <c r="W27" s="91">
        <v>79</v>
      </c>
      <c r="X27" s="91"/>
      <c r="Y27" s="309">
        <f t="shared" si="4"/>
        <v>79</v>
      </c>
      <c r="Z27" s="91"/>
      <c r="AA27" s="91"/>
      <c r="AB27" s="91"/>
      <c r="AC27" s="91"/>
      <c r="AD27" s="309" t="str">
        <f t="shared" si="5"/>
        <v/>
      </c>
      <c r="AE27" s="91"/>
      <c r="AF27" s="91"/>
      <c r="AG27" s="91"/>
      <c r="AH27" s="91"/>
      <c r="AI27" s="309" t="str">
        <f t="shared" si="6"/>
        <v/>
      </c>
      <c r="AJ27" s="91"/>
      <c r="AK27" s="91"/>
      <c r="AL27" s="91"/>
      <c r="AM27" s="91"/>
      <c r="AN27" s="309" t="str">
        <f t="shared" si="7"/>
        <v/>
      </c>
      <c r="AO27" s="91"/>
      <c r="AP27" s="91"/>
      <c r="AQ27" s="91"/>
      <c r="AR27" s="91"/>
      <c r="AS27" s="309" t="str">
        <f t="shared" si="8"/>
        <v/>
      </c>
      <c r="AT27" s="91"/>
      <c r="AU27" s="91"/>
      <c r="AV27" s="91"/>
      <c r="AW27" s="91"/>
      <c r="AX27" s="309" t="str">
        <f t="shared" si="9"/>
        <v/>
      </c>
      <c r="AY27" s="91"/>
      <c r="AZ27" s="91"/>
      <c r="BA27" s="91"/>
      <c r="BB27" s="91"/>
      <c r="BC27" s="309" t="str">
        <f t="shared" si="10"/>
        <v/>
      </c>
      <c r="BD27" s="310">
        <f t="shared" si="11"/>
        <v>79</v>
      </c>
      <c r="BE27" s="311">
        <f t="shared" si="0"/>
        <v>79</v>
      </c>
      <c r="BF27" s="312">
        <f t="shared" si="12"/>
        <v>79</v>
      </c>
      <c r="BG27" s="313" t="str">
        <f t="shared" si="13"/>
        <v>B</v>
      </c>
      <c r="BH27" s="106" t="str">
        <f t="shared" si="14"/>
        <v>TUNTAS</v>
      </c>
      <c r="BI27" s="107" t="str">
        <f t="shared" si="15"/>
        <v>Terampil</v>
      </c>
      <c r="BJ27" s="116" t="str">
        <f>IF(BD27="","",VLOOKUP(BD27,DATAKET!$AT$3:$AU$12,2,FALSE))</f>
        <v>Menyimpulkan isi puisi rakyat (pantun, syair, dan bentuk puisi rakyat setempat) yang disajikan dalam bentuk tulis dan lisan</v>
      </c>
      <c r="BK27" s="105" t="str">
        <f t="shared" si="16"/>
        <v>Terampil Menyimpulkan isi puisi rakyat (pantun, syair, dan bentuk puisi rakyat setempat) yang disajikan dalam bentuk tulis dan lisan</v>
      </c>
    </row>
    <row r="28" spans="1:63" ht="16.5">
      <c r="A28" s="107">
        <f>'DATA SISWA'!A28</f>
        <v>24</v>
      </c>
      <c r="B28" s="107" t="str">
        <f>'DATA SISWA'!B28</f>
        <v>7665</v>
      </c>
      <c r="C28" s="116" t="str">
        <f>'DATA SISWA'!C28</f>
        <v>MOHAMMAD ROFI'I</v>
      </c>
      <c r="D28" s="107" t="str">
        <f>'DATA SISWA'!D28</f>
        <v>L</v>
      </c>
      <c r="E28" s="107" t="str">
        <f>'DATA SISWA'!E28</f>
        <v>VII-J</v>
      </c>
      <c r="F28" s="91"/>
      <c r="G28" s="407"/>
      <c r="H28" s="91">
        <v>78</v>
      </c>
      <c r="I28" s="91"/>
      <c r="J28" s="309">
        <f t="shared" si="1"/>
        <v>78</v>
      </c>
      <c r="K28" s="91"/>
      <c r="L28" s="407"/>
      <c r="M28" s="91">
        <v>78</v>
      </c>
      <c r="N28" s="91"/>
      <c r="O28" s="309">
        <f t="shared" si="2"/>
        <v>78</v>
      </c>
      <c r="P28" s="91"/>
      <c r="Q28" s="91"/>
      <c r="R28" s="91">
        <v>78</v>
      </c>
      <c r="S28" s="91"/>
      <c r="T28" s="309">
        <f t="shared" si="3"/>
        <v>78</v>
      </c>
      <c r="U28" s="91"/>
      <c r="V28" s="91"/>
      <c r="W28" s="91">
        <v>78</v>
      </c>
      <c r="X28" s="91"/>
      <c r="Y28" s="309">
        <f t="shared" si="4"/>
        <v>78</v>
      </c>
      <c r="Z28" s="91"/>
      <c r="AA28" s="91"/>
      <c r="AB28" s="91"/>
      <c r="AC28" s="91"/>
      <c r="AD28" s="309" t="str">
        <f t="shared" si="5"/>
        <v/>
      </c>
      <c r="AE28" s="91"/>
      <c r="AF28" s="91"/>
      <c r="AG28" s="91"/>
      <c r="AH28" s="91"/>
      <c r="AI28" s="309" t="str">
        <f t="shared" si="6"/>
        <v/>
      </c>
      <c r="AJ28" s="91"/>
      <c r="AK28" s="91"/>
      <c r="AL28" s="91"/>
      <c r="AM28" s="91"/>
      <c r="AN28" s="309" t="str">
        <f t="shared" si="7"/>
        <v/>
      </c>
      <c r="AO28" s="91"/>
      <c r="AP28" s="91"/>
      <c r="AQ28" s="91"/>
      <c r="AR28" s="91"/>
      <c r="AS28" s="309" t="str">
        <f t="shared" si="8"/>
        <v/>
      </c>
      <c r="AT28" s="91"/>
      <c r="AU28" s="91"/>
      <c r="AV28" s="91"/>
      <c r="AW28" s="91"/>
      <c r="AX28" s="309" t="str">
        <f t="shared" si="9"/>
        <v/>
      </c>
      <c r="AY28" s="91"/>
      <c r="AZ28" s="91"/>
      <c r="BA28" s="91"/>
      <c r="BB28" s="91"/>
      <c r="BC28" s="309" t="str">
        <f t="shared" si="10"/>
        <v/>
      </c>
      <c r="BD28" s="310">
        <f t="shared" si="11"/>
        <v>78</v>
      </c>
      <c r="BE28" s="311">
        <f t="shared" si="0"/>
        <v>78</v>
      </c>
      <c r="BF28" s="312">
        <f t="shared" si="12"/>
        <v>78</v>
      </c>
      <c r="BG28" s="313" t="str">
        <f t="shared" si="13"/>
        <v>B</v>
      </c>
      <c r="BH28" s="106" t="str">
        <f t="shared" si="14"/>
        <v>TUNTAS</v>
      </c>
      <c r="BI28" s="107" t="str">
        <f t="shared" si="15"/>
        <v>Terampil</v>
      </c>
      <c r="BJ28" s="116" t="str">
        <f>IF(BD28="","",VLOOKUP(BD28,DATAKET!$AV$3:$AW$12,2,FALSE))</f>
        <v>Menyimpulkan isi puisi rakyat (pantun, syair, dan bentuk puisi rakyat setempat) yang disajikan dalam bentuk tulis dan lisan</v>
      </c>
      <c r="BK28" s="105" t="str">
        <f t="shared" si="16"/>
        <v>Terampil Menyimpulkan isi puisi rakyat (pantun, syair, dan bentuk puisi rakyat setempat) yang disajikan dalam bentuk tulis dan lisan</v>
      </c>
    </row>
    <row r="29" spans="1:63" ht="16.5">
      <c r="A29" s="107">
        <f>'DATA SISWA'!A29</f>
        <v>25</v>
      </c>
      <c r="B29" s="107" t="str">
        <f>'DATA SISWA'!B29</f>
        <v>7666</v>
      </c>
      <c r="C29" s="116" t="str">
        <f>'DATA SISWA'!C29</f>
        <v>NI'MATUS SHOLIHA</v>
      </c>
      <c r="D29" s="107" t="str">
        <f>'DATA SISWA'!D29</f>
        <v>P</v>
      </c>
      <c r="E29" s="107" t="str">
        <f>'DATA SISWA'!E29</f>
        <v>VII-J</v>
      </c>
      <c r="F29" s="91"/>
      <c r="G29" s="407"/>
      <c r="H29" s="91">
        <v>79</v>
      </c>
      <c r="I29" s="91"/>
      <c r="J29" s="309">
        <f t="shared" si="1"/>
        <v>79</v>
      </c>
      <c r="K29" s="91"/>
      <c r="L29" s="407"/>
      <c r="M29" s="91">
        <v>79</v>
      </c>
      <c r="N29" s="91"/>
      <c r="O29" s="309">
        <f t="shared" si="2"/>
        <v>79</v>
      </c>
      <c r="P29" s="91"/>
      <c r="Q29" s="91"/>
      <c r="R29" s="91">
        <v>79</v>
      </c>
      <c r="S29" s="91"/>
      <c r="T29" s="309">
        <f t="shared" si="3"/>
        <v>79</v>
      </c>
      <c r="U29" s="91"/>
      <c r="V29" s="91"/>
      <c r="W29" s="91">
        <v>79</v>
      </c>
      <c r="X29" s="91"/>
      <c r="Y29" s="309">
        <f t="shared" si="4"/>
        <v>79</v>
      </c>
      <c r="Z29" s="91"/>
      <c r="AA29" s="91"/>
      <c r="AB29" s="91"/>
      <c r="AC29" s="91"/>
      <c r="AD29" s="309" t="str">
        <f t="shared" si="5"/>
        <v/>
      </c>
      <c r="AE29" s="91"/>
      <c r="AF29" s="91"/>
      <c r="AG29" s="91"/>
      <c r="AH29" s="91"/>
      <c r="AI29" s="309" t="str">
        <f t="shared" si="6"/>
        <v/>
      </c>
      <c r="AJ29" s="91"/>
      <c r="AK29" s="91"/>
      <c r="AL29" s="91"/>
      <c r="AM29" s="91"/>
      <c r="AN29" s="309" t="str">
        <f t="shared" si="7"/>
        <v/>
      </c>
      <c r="AO29" s="91"/>
      <c r="AP29" s="91"/>
      <c r="AQ29" s="91"/>
      <c r="AR29" s="91"/>
      <c r="AS29" s="309" t="str">
        <f t="shared" si="8"/>
        <v/>
      </c>
      <c r="AT29" s="91"/>
      <c r="AU29" s="91"/>
      <c r="AV29" s="91"/>
      <c r="AW29" s="91"/>
      <c r="AX29" s="309" t="str">
        <f t="shared" si="9"/>
        <v/>
      </c>
      <c r="AY29" s="91"/>
      <c r="AZ29" s="91"/>
      <c r="BA29" s="91"/>
      <c r="BB29" s="91"/>
      <c r="BC29" s="309" t="str">
        <f t="shared" si="10"/>
        <v/>
      </c>
      <c r="BD29" s="310">
        <f t="shared" si="11"/>
        <v>79</v>
      </c>
      <c r="BE29" s="311">
        <f t="shared" si="0"/>
        <v>79</v>
      </c>
      <c r="BF29" s="312">
        <f t="shared" si="12"/>
        <v>79</v>
      </c>
      <c r="BG29" s="313" t="str">
        <f t="shared" si="13"/>
        <v>B</v>
      </c>
      <c r="BH29" s="106" t="str">
        <f t="shared" si="14"/>
        <v>TUNTAS</v>
      </c>
      <c r="BI29" s="107" t="str">
        <f t="shared" si="15"/>
        <v>Terampil</v>
      </c>
      <c r="BJ29" s="116" t="str">
        <f>IF(BD29="","",VLOOKUP(BD29,DATAKET!$AX$3:$AY$12,2,FALSE))</f>
        <v>Menyimpulkan isi puisi rakyat (pantun, syair, dan bentuk puisi rakyat setempat) yang disajikan dalam bentuk tulis dan lisan</v>
      </c>
      <c r="BK29" s="105" t="str">
        <f t="shared" si="16"/>
        <v>Terampil Menyimpulkan isi puisi rakyat (pantun, syair, dan bentuk puisi rakyat setempat) yang disajikan dalam bentuk tulis dan lisan</v>
      </c>
    </row>
    <row r="30" spans="1:63" ht="16.5">
      <c r="A30" s="107">
        <f>'DATA SISWA'!A30</f>
        <v>26</v>
      </c>
      <c r="B30" s="107" t="str">
        <f>'DATA SISWA'!B30</f>
        <v>7676</v>
      </c>
      <c r="C30" s="116" t="str">
        <f>'DATA SISWA'!C30</f>
        <v>PANJI FIKRI ISLAMI</v>
      </c>
      <c r="D30" s="107" t="str">
        <f>'DATA SISWA'!D30</f>
        <v>L</v>
      </c>
      <c r="E30" s="107" t="str">
        <f>'DATA SISWA'!E30</f>
        <v>VII-J</v>
      </c>
      <c r="F30" s="91"/>
      <c r="G30" s="407"/>
      <c r="H30" s="91">
        <v>80</v>
      </c>
      <c r="I30" s="91"/>
      <c r="J30" s="309">
        <f t="shared" si="1"/>
        <v>80</v>
      </c>
      <c r="K30" s="91"/>
      <c r="L30" s="407"/>
      <c r="M30" s="91">
        <v>80</v>
      </c>
      <c r="N30" s="91"/>
      <c r="O30" s="309">
        <f t="shared" si="2"/>
        <v>80</v>
      </c>
      <c r="P30" s="91"/>
      <c r="Q30" s="91"/>
      <c r="R30" s="91">
        <v>80</v>
      </c>
      <c r="S30" s="91"/>
      <c r="T30" s="309">
        <f t="shared" si="3"/>
        <v>80</v>
      </c>
      <c r="U30" s="91"/>
      <c r="V30" s="91"/>
      <c r="W30" s="91">
        <v>80</v>
      </c>
      <c r="X30" s="91"/>
      <c r="Y30" s="309">
        <f t="shared" si="4"/>
        <v>80</v>
      </c>
      <c r="Z30" s="91"/>
      <c r="AA30" s="91"/>
      <c r="AB30" s="91"/>
      <c r="AC30" s="91"/>
      <c r="AD30" s="309" t="str">
        <f t="shared" si="5"/>
        <v/>
      </c>
      <c r="AE30" s="91"/>
      <c r="AF30" s="91"/>
      <c r="AG30" s="91"/>
      <c r="AH30" s="91"/>
      <c r="AI30" s="309" t="str">
        <f t="shared" si="6"/>
        <v/>
      </c>
      <c r="AJ30" s="91"/>
      <c r="AK30" s="91"/>
      <c r="AL30" s="91"/>
      <c r="AM30" s="91"/>
      <c r="AN30" s="309" t="str">
        <f t="shared" si="7"/>
        <v/>
      </c>
      <c r="AO30" s="91"/>
      <c r="AP30" s="91"/>
      <c r="AQ30" s="91"/>
      <c r="AR30" s="91"/>
      <c r="AS30" s="309" t="str">
        <f t="shared" si="8"/>
        <v/>
      </c>
      <c r="AT30" s="91"/>
      <c r="AU30" s="91"/>
      <c r="AV30" s="91"/>
      <c r="AW30" s="91"/>
      <c r="AX30" s="309" t="str">
        <f t="shared" si="9"/>
        <v/>
      </c>
      <c r="AY30" s="91"/>
      <c r="AZ30" s="91"/>
      <c r="BA30" s="91"/>
      <c r="BB30" s="91"/>
      <c r="BC30" s="309" t="str">
        <f t="shared" si="10"/>
        <v/>
      </c>
      <c r="BD30" s="310">
        <f t="shared" si="11"/>
        <v>80</v>
      </c>
      <c r="BE30" s="311">
        <f t="shared" si="0"/>
        <v>80</v>
      </c>
      <c r="BF30" s="312">
        <f t="shared" si="12"/>
        <v>80</v>
      </c>
      <c r="BG30" s="313" t="str">
        <f t="shared" si="13"/>
        <v>B</v>
      </c>
      <c r="BH30" s="106" t="str">
        <f t="shared" si="14"/>
        <v>TUNTAS</v>
      </c>
      <c r="BI30" s="107" t="str">
        <f t="shared" si="15"/>
        <v>Terampil</v>
      </c>
      <c r="BJ30" s="116" t="str">
        <f>IF(BD30="","",VLOOKUP(BD30,DATAKET!$AZ$3:$BA$12,2,FALSE))</f>
        <v>Menyimpulkan isi puisi rakyat (pantun, syair, dan bentuk puisi rakyat setempat) yang disajikan dalam bentuk tulis dan lisan</v>
      </c>
      <c r="BK30" s="105" t="str">
        <f t="shared" si="16"/>
        <v>Terampil Menyimpulkan isi puisi rakyat (pantun, syair, dan bentuk puisi rakyat setempat) yang disajikan dalam bentuk tulis dan lisan</v>
      </c>
    </row>
    <row r="31" spans="1:63" ht="16.5">
      <c r="A31" s="107">
        <f>'DATA SISWA'!A31</f>
        <v>27</v>
      </c>
      <c r="B31" s="107" t="str">
        <f>'DATA SISWA'!B31</f>
        <v>7667</v>
      </c>
      <c r="C31" s="116" t="str">
        <f>'DATA SISWA'!C31</f>
        <v>RACMAT MAULIDI ABDANY</v>
      </c>
      <c r="D31" s="107" t="str">
        <f>'DATA SISWA'!D31</f>
        <v>L</v>
      </c>
      <c r="E31" s="107" t="str">
        <f>'DATA SISWA'!E31</f>
        <v>VII-J</v>
      </c>
      <c r="F31" s="91"/>
      <c r="G31" s="407"/>
      <c r="H31" s="91">
        <v>80</v>
      </c>
      <c r="I31" s="91"/>
      <c r="J31" s="309">
        <f t="shared" si="1"/>
        <v>80</v>
      </c>
      <c r="K31" s="91"/>
      <c r="L31" s="407"/>
      <c r="M31" s="91">
        <v>80</v>
      </c>
      <c r="N31" s="91"/>
      <c r="O31" s="309">
        <f t="shared" si="2"/>
        <v>80</v>
      </c>
      <c r="P31" s="91"/>
      <c r="Q31" s="91"/>
      <c r="R31" s="91">
        <v>80</v>
      </c>
      <c r="S31" s="91"/>
      <c r="T31" s="309">
        <f t="shared" si="3"/>
        <v>80</v>
      </c>
      <c r="U31" s="91"/>
      <c r="V31" s="91"/>
      <c r="W31" s="91">
        <v>80</v>
      </c>
      <c r="X31" s="91"/>
      <c r="Y31" s="309">
        <f t="shared" si="4"/>
        <v>80</v>
      </c>
      <c r="Z31" s="91"/>
      <c r="AA31" s="91"/>
      <c r="AB31" s="91"/>
      <c r="AC31" s="91"/>
      <c r="AD31" s="309" t="str">
        <f t="shared" si="5"/>
        <v/>
      </c>
      <c r="AE31" s="91"/>
      <c r="AF31" s="91"/>
      <c r="AG31" s="91"/>
      <c r="AH31" s="91"/>
      <c r="AI31" s="309" t="str">
        <f t="shared" si="6"/>
        <v/>
      </c>
      <c r="AJ31" s="91"/>
      <c r="AK31" s="91"/>
      <c r="AL31" s="91"/>
      <c r="AM31" s="91"/>
      <c r="AN31" s="309" t="str">
        <f t="shared" si="7"/>
        <v/>
      </c>
      <c r="AO31" s="91"/>
      <c r="AP31" s="91"/>
      <c r="AQ31" s="91"/>
      <c r="AR31" s="91"/>
      <c r="AS31" s="309" t="str">
        <f t="shared" si="8"/>
        <v/>
      </c>
      <c r="AT31" s="91"/>
      <c r="AU31" s="91"/>
      <c r="AV31" s="91"/>
      <c r="AW31" s="91"/>
      <c r="AX31" s="309" t="str">
        <f t="shared" si="9"/>
        <v/>
      </c>
      <c r="AY31" s="91"/>
      <c r="AZ31" s="91"/>
      <c r="BA31" s="91"/>
      <c r="BB31" s="91"/>
      <c r="BC31" s="309" t="str">
        <f t="shared" si="10"/>
        <v/>
      </c>
      <c r="BD31" s="310">
        <f t="shared" si="11"/>
        <v>80</v>
      </c>
      <c r="BE31" s="311">
        <f t="shared" si="0"/>
        <v>80</v>
      </c>
      <c r="BF31" s="312">
        <f t="shared" si="12"/>
        <v>80</v>
      </c>
      <c r="BG31" s="313" t="str">
        <f t="shared" si="13"/>
        <v>B</v>
      </c>
      <c r="BH31" s="106" t="str">
        <f t="shared" si="14"/>
        <v>TUNTAS</v>
      </c>
      <c r="BI31" s="107" t="str">
        <f t="shared" si="15"/>
        <v>Terampil</v>
      </c>
      <c r="BJ31" s="116" t="str">
        <f>IF(BD31="","",VLOOKUP(BD31,DATAKET!$BB$3:$BC$12,2,FALSE))</f>
        <v>Menyimpulkan isi puisi rakyat (pantun, syair, dan bentuk puisi rakyat setempat) yang disajikan dalam bentuk tulis dan lisan</v>
      </c>
      <c r="BK31" s="105" t="str">
        <f t="shared" si="16"/>
        <v>Terampil Menyimpulkan isi puisi rakyat (pantun, syair, dan bentuk puisi rakyat setempat) yang disajikan dalam bentuk tulis dan lisan</v>
      </c>
    </row>
    <row r="32" spans="1:63" ht="16.5">
      <c r="A32" s="107">
        <f>'DATA SISWA'!A32</f>
        <v>28</v>
      </c>
      <c r="B32" s="107" t="str">
        <f>'DATA SISWA'!B32</f>
        <v>7668</v>
      </c>
      <c r="C32" s="116" t="str">
        <f>'DATA SISWA'!C32</f>
        <v>RAIHAN</v>
      </c>
      <c r="D32" s="107" t="str">
        <f>'DATA SISWA'!D32</f>
        <v>L</v>
      </c>
      <c r="E32" s="107" t="str">
        <f>'DATA SISWA'!E32</f>
        <v>VII-J</v>
      </c>
      <c r="F32" s="91"/>
      <c r="G32" s="407"/>
      <c r="H32" s="91">
        <v>79</v>
      </c>
      <c r="I32" s="91"/>
      <c r="J32" s="309">
        <f t="shared" si="1"/>
        <v>79</v>
      </c>
      <c r="K32" s="91"/>
      <c r="L32" s="407"/>
      <c r="M32" s="91">
        <v>79</v>
      </c>
      <c r="N32" s="91"/>
      <c r="O32" s="309">
        <f t="shared" si="2"/>
        <v>79</v>
      </c>
      <c r="P32" s="91"/>
      <c r="Q32" s="91"/>
      <c r="R32" s="91">
        <v>79</v>
      </c>
      <c r="S32" s="91"/>
      <c r="T32" s="309">
        <f t="shared" si="3"/>
        <v>79</v>
      </c>
      <c r="U32" s="91"/>
      <c r="V32" s="91"/>
      <c r="W32" s="91">
        <v>79</v>
      </c>
      <c r="X32" s="91"/>
      <c r="Y32" s="309">
        <f t="shared" si="4"/>
        <v>79</v>
      </c>
      <c r="Z32" s="91"/>
      <c r="AA32" s="91"/>
      <c r="AB32" s="91"/>
      <c r="AC32" s="91"/>
      <c r="AD32" s="309" t="str">
        <f t="shared" si="5"/>
        <v/>
      </c>
      <c r="AE32" s="91"/>
      <c r="AF32" s="91"/>
      <c r="AG32" s="91"/>
      <c r="AH32" s="91"/>
      <c r="AI32" s="309" t="str">
        <f t="shared" si="6"/>
        <v/>
      </c>
      <c r="AJ32" s="91"/>
      <c r="AK32" s="91"/>
      <c r="AL32" s="91"/>
      <c r="AM32" s="91"/>
      <c r="AN32" s="309" t="str">
        <f t="shared" si="7"/>
        <v/>
      </c>
      <c r="AO32" s="91"/>
      <c r="AP32" s="91"/>
      <c r="AQ32" s="91"/>
      <c r="AR32" s="91"/>
      <c r="AS32" s="309" t="str">
        <f t="shared" si="8"/>
        <v/>
      </c>
      <c r="AT32" s="91"/>
      <c r="AU32" s="91"/>
      <c r="AV32" s="91"/>
      <c r="AW32" s="91"/>
      <c r="AX32" s="309" t="str">
        <f t="shared" si="9"/>
        <v/>
      </c>
      <c r="AY32" s="91"/>
      <c r="AZ32" s="91"/>
      <c r="BA32" s="91"/>
      <c r="BB32" s="91"/>
      <c r="BC32" s="309" t="str">
        <f t="shared" si="10"/>
        <v/>
      </c>
      <c r="BD32" s="310">
        <f t="shared" si="11"/>
        <v>79</v>
      </c>
      <c r="BE32" s="311">
        <f t="shared" si="0"/>
        <v>79</v>
      </c>
      <c r="BF32" s="312">
        <f t="shared" si="12"/>
        <v>79</v>
      </c>
      <c r="BG32" s="313" t="str">
        <f t="shared" si="13"/>
        <v>B</v>
      </c>
      <c r="BH32" s="106" t="str">
        <f t="shared" si="14"/>
        <v>TUNTAS</v>
      </c>
      <c r="BI32" s="107" t="str">
        <f t="shared" si="15"/>
        <v>Terampil</v>
      </c>
      <c r="BJ32" s="116" t="str">
        <f>IF(BD32="","",VLOOKUP(BD32,DATAKET!$BD$3:$BE$12,2,FALSE))</f>
        <v>Menyimpulkan isi puisi rakyat (pantun, syair, dan bentuk puisi rakyat setempat) yang disajikan dalam bentuk tulis dan lisan</v>
      </c>
      <c r="BK32" s="105" t="str">
        <f t="shared" si="16"/>
        <v>Terampil Menyimpulkan isi puisi rakyat (pantun, syair, dan bentuk puisi rakyat setempat) yang disajikan dalam bentuk tulis dan lisan</v>
      </c>
    </row>
    <row r="33" spans="1:63" ht="16.5">
      <c r="A33" s="107">
        <f>'DATA SISWA'!A33</f>
        <v>29</v>
      </c>
      <c r="B33" s="107" t="str">
        <f>'DATA SISWA'!B33</f>
        <v>7669</v>
      </c>
      <c r="C33" s="116" t="str">
        <f>'DATA SISWA'!C33</f>
        <v>REFITA ANNASTASYA</v>
      </c>
      <c r="D33" s="107" t="str">
        <f>'DATA SISWA'!D33</f>
        <v>P</v>
      </c>
      <c r="E33" s="107" t="str">
        <f>'DATA SISWA'!E33</f>
        <v>VII-J</v>
      </c>
      <c r="F33" s="91"/>
      <c r="G33" s="407"/>
      <c r="H33" s="91">
        <v>78</v>
      </c>
      <c r="I33" s="91"/>
      <c r="J33" s="309">
        <f t="shared" si="1"/>
        <v>78</v>
      </c>
      <c r="K33" s="91"/>
      <c r="L33" s="407"/>
      <c r="M33" s="91">
        <v>78</v>
      </c>
      <c r="N33" s="91"/>
      <c r="O33" s="309">
        <f t="shared" si="2"/>
        <v>78</v>
      </c>
      <c r="P33" s="91"/>
      <c r="Q33" s="91"/>
      <c r="R33" s="91">
        <v>78</v>
      </c>
      <c r="S33" s="91"/>
      <c r="T33" s="309">
        <f t="shared" si="3"/>
        <v>78</v>
      </c>
      <c r="U33" s="91"/>
      <c r="V33" s="91"/>
      <c r="W33" s="91">
        <v>78</v>
      </c>
      <c r="X33" s="91"/>
      <c r="Y33" s="309">
        <f t="shared" si="4"/>
        <v>78</v>
      </c>
      <c r="Z33" s="91"/>
      <c r="AA33" s="91"/>
      <c r="AB33" s="91"/>
      <c r="AC33" s="91"/>
      <c r="AD33" s="309" t="str">
        <f t="shared" si="5"/>
        <v/>
      </c>
      <c r="AE33" s="91"/>
      <c r="AF33" s="91"/>
      <c r="AG33" s="91"/>
      <c r="AH33" s="91"/>
      <c r="AI33" s="309" t="str">
        <f t="shared" si="6"/>
        <v/>
      </c>
      <c r="AJ33" s="91"/>
      <c r="AK33" s="91"/>
      <c r="AL33" s="91"/>
      <c r="AM33" s="91"/>
      <c r="AN33" s="309" t="str">
        <f t="shared" si="7"/>
        <v/>
      </c>
      <c r="AO33" s="91"/>
      <c r="AP33" s="91"/>
      <c r="AQ33" s="91"/>
      <c r="AR33" s="91"/>
      <c r="AS33" s="309" t="str">
        <f t="shared" si="8"/>
        <v/>
      </c>
      <c r="AT33" s="91"/>
      <c r="AU33" s="91"/>
      <c r="AV33" s="91"/>
      <c r="AW33" s="91"/>
      <c r="AX33" s="309" t="str">
        <f t="shared" si="9"/>
        <v/>
      </c>
      <c r="AY33" s="91"/>
      <c r="AZ33" s="91"/>
      <c r="BA33" s="91"/>
      <c r="BB33" s="91"/>
      <c r="BC33" s="309" t="str">
        <f t="shared" si="10"/>
        <v/>
      </c>
      <c r="BD33" s="310">
        <f t="shared" si="11"/>
        <v>78</v>
      </c>
      <c r="BE33" s="311">
        <f t="shared" si="0"/>
        <v>78</v>
      </c>
      <c r="BF33" s="312">
        <f t="shared" si="12"/>
        <v>78</v>
      </c>
      <c r="BG33" s="313" t="str">
        <f t="shared" si="13"/>
        <v>B</v>
      </c>
      <c r="BH33" s="106" t="str">
        <f t="shared" si="14"/>
        <v>TUNTAS</v>
      </c>
      <c r="BI33" s="107" t="str">
        <f t="shared" si="15"/>
        <v>Terampil</v>
      </c>
      <c r="BJ33" s="116" t="str">
        <f>IF(BD33="","",VLOOKUP(BD33,DATAKET!$BF$3:$BG$12,2,FALSE))</f>
        <v>Menyimpulkan isi puisi rakyat (pantun, syair, dan bentuk puisi rakyat setempat) yang disajikan dalam bentuk tulis dan lisan</v>
      </c>
      <c r="BK33" s="105" t="str">
        <f t="shared" si="16"/>
        <v>Terampil Menyimpulkan isi puisi rakyat (pantun, syair, dan bentuk puisi rakyat setempat) yang disajikan dalam bentuk tulis dan lisan</v>
      </c>
    </row>
    <row r="34" spans="1:63" ht="16.5">
      <c r="A34" s="107">
        <f>'DATA SISWA'!A34</f>
        <v>30</v>
      </c>
      <c r="B34" s="107" t="str">
        <f>'DATA SISWA'!B34</f>
        <v>7670</v>
      </c>
      <c r="C34" s="116" t="str">
        <f>'DATA SISWA'!C34</f>
        <v>RISKIYAH</v>
      </c>
      <c r="D34" s="107" t="str">
        <f>'DATA SISWA'!D34</f>
        <v>P</v>
      </c>
      <c r="E34" s="107" t="str">
        <f>'DATA SISWA'!E34</f>
        <v>VII-J</v>
      </c>
      <c r="F34" s="91"/>
      <c r="G34" s="407"/>
      <c r="H34" s="91">
        <v>79</v>
      </c>
      <c r="I34" s="91"/>
      <c r="J34" s="309">
        <f t="shared" si="1"/>
        <v>79</v>
      </c>
      <c r="K34" s="91"/>
      <c r="L34" s="407"/>
      <c r="M34" s="91">
        <v>79</v>
      </c>
      <c r="N34" s="91"/>
      <c r="O34" s="309">
        <f t="shared" si="2"/>
        <v>79</v>
      </c>
      <c r="P34" s="91"/>
      <c r="Q34" s="91"/>
      <c r="R34" s="91">
        <v>79</v>
      </c>
      <c r="S34" s="91"/>
      <c r="T34" s="309">
        <f t="shared" si="3"/>
        <v>79</v>
      </c>
      <c r="U34" s="91"/>
      <c r="V34" s="91"/>
      <c r="W34" s="91">
        <v>79</v>
      </c>
      <c r="X34" s="91"/>
      <c r="Y34" s="309">
        <f t="shared" si="4"/>
        <v>79</v>
      </c>
      <c r="Z34" s="91"/>
      <c r="AA34" s="91"/>
      <c r="AB34" s="91"/>
      <c r="AC34" s="91"/>
      <c r="AD34" s="309" t="str">
        <f t="shared" si="5"/>
        <v/>
      </c>
      <c r="AE34" s="91"/>
      <c r="AF34" s="91"/>
      <c r="AG34" s="91"/>
      <c r="AH34" s="91"/>
      <c r="AI34" s="309" t="str">
        <f t="shared" si="6"/>
        <v/>
      </c>
      <c r="AJ34" s="91"/>
      <c r="AK34" s="91"/>
      <c r="AL34" s="91"/>
      <c r="AM34" s="91"/>
      <c r="AN34" s="309" t="str">
        <f t="shared" si="7"/>
        <v/>
      </c>
      <c r="AO34" s="91"/>
      <c r="AP34" s="91"/>
      <c r="AQ34" s="91"/>
      <c r="AR34" s="91"/>
      <c r="AS34" s="309" t="str">
        <f t="shared" si="8"/>
        <v/>
      </c>
      <c r="AT34" s="91"/>
      <c r="AU34" s="91"/>
      <c r="AV34" s="91"/>
      <c r="AW34" s="91"/>
      <c r="AX34" s="309" t="str">
        <f t="shared" si="9"/>
        <v/>
      </c>
      <c r="AY34" s="91"/>
      <c r="AZ34" s="91"/>
      <c r="BA34" s="91"/>
      <c r="BB34" s="91"/>
      <c r="BC34" s="309" t="str">
        <f t="shared" si="10"/>
        <v/>
      </c>
      <c r="BD34" s="310">
        <f t="shared" si="11"/>
        <v>79</v>
      </c>
      <c r="BE34" s="311">
        <f t="shared" si="0"/>
        <v>79</v>
      </c>
      <c r="BF34" s="312">
        <f t="shared" si="12"/>
        <v>79</v>
      </c>
      <c r="BG34" s="313" t="str">
        <f t="shared" si="13"/>
        <v>B</v>
      </c>
      <c r="BH34" s="106" t="str">
        <f t="shared" si="14"/>
        <v>TUNTAS</v>
      </c>
      <c r="BI34" s="107" t="str">
        <f t="shared" si="15"/>
        <v>Terampil</v>
      </c>
      <c r="BJ34" s="116" t="str">
        <f>IF(BD34="","",VLOOKUP(BD34,DATAKET!$BH$3:$BI$12,2,FALSE))</f>
        <v>Menyimpulkan isi puisi rakyat (pantun, syair, dan bentuk puisi rakyat setempat) yang disajikan dalam bentuk tulis dan lisan</v>
      </c>
      <c r="BK34" s="105" t="str">
        <f t="shared" si="16"/>
        <v>Terampil Menyimpulkan isi puisi rakyat (pantun, syair, dan bentuk puisi rakyat setempat) yang disajikan dalam bentuk tulis dan lisan</v>
      </c>
    </row>
    <row r="35" spans="1:63" ht="16.5">
      <c r="A35" s="107">
        <f>'DATA SISWA'!A35</f>
        <v>31</v>
      </c>
      <c r="B35" s="107" t="str">
        <f>'DATA SISWA'!B35</f>
        <v>7671</v>
      </c>
      <c r="C35" s="116" t="str">
        <f>'DATA SISWA'!C35</f>
        <v>SALILATUL HUSNA</v>
      </c>
      <c r="D35" s="107" t="str">
        <f>'DATA SISWA'!D35</f>
        <v>P</v>
      </c>
      <c r="E35" s="107" t="str">
        <f>'DATA SISWA'!E35</f>
        <v>VII-J</v>
      </c>
      <c r="F35" s="91"/>
      <c r="G35" s="407"/>
      <c r="H35" s="91">
        <v>80</v>
      </c>
      <c r="I35" s="91"/>
      <c r="J35" s="309">
        <f t="shared" si="1"/>
        <v>80</v>
      </c>
      <c r="K35" s="91"/>
      <c r="L35" s="407"/>
      <c r="M35" s="91">
        <v>80</v>
      </c>
      <c r="N35" s="91"/>
      <c r="O35" s="309">
        <f t="shared" si="2"/>
        <v>80</v>
      </c>
      <c r="P35" s="91"/>
      <c r="Q35" s="91"/>
      <c r="R35" s="91">
        <v>80</v>
      </c>
      <c r="S35" s="91"/>
      <c r="T35" s="309">
        <f t="shared" si="3"/>
        <v>80</v>
      </c>
      <c r="U35" s="91"/>
      <c r="V35" s="91"/>
      <c r="W35" s="91">
        <v>80</v>
      </c>
      <c r="X35" s="91"/>
      <c r="Y35" s="309">
        <f t="shared" si="4"/>
        <v>80</v>
      </c>
      <c r="Z35" s="91"/>
      <c r="AA35" s="91"/>
      <c r="AB35" s="91"/>
      <c r="AC35" s="91"/>
      <c r="AD35" s="309" t="str">
        <f t="shared" si="5"/>
        <v/>
      </c>
      <c r="AE35" s="91"/>
      <c r="AF35" s="91"/>
      <c r="AG35" s="91"/>
      <c r="AH35" s="91"/>
      <c r="AI35" s="309" t="str">
        <f t="shared" si="6"/>
        <v/>
      </c>
      <c r="AJ35" s="91"/>
      <c r="AK35" s="91"/>
      <c r="AL35" s="91"/>
      <c r="AM35" s="91"/>
      <c r="AN35" s="309" t="str">
        <f t="shared" si="7"/>
        <v/>
      </c>
      <c r="AO35" s="91"/>
      <c r="AP35" s="91"/>
      <c r="AQ35" s="91"/>
      <c r="AR35" s="91"/>
      <c r="AS35" s="309" t="str">
        <f t="shared" si="8"/>
        <v/>
      </c>
      <c r="AT35" s="91"/>
      <c r="AU35" s="91"/>
      <c r="AV35" s="91"/>
      <c r="AW35" s="91"/>
      <c r="AX35" s="309" t="str">
        <f t="shared" si="9"/>
        <v/>
      </c>
      <c r="AY35" s="91"/>
      <c r="AZ35" s="91"/>
      <c r="BA35" s="91"/>
      <c r="BB35" s="91"/>
      <c r="BC35" s="309" t="str">
        <f t="shared" si="10"/>
        <v/>
      </c>
      <c r="BD35" s="310">
        <f t="shared" si="11"/>
        <v>80</v>
      </c>
      <c r="BE35" s="311">
        <f t="shared" si="0"/>
        <v>80</v>
      </c>
      <c r="BF35" s="312">
        <f t="shared" si="12"/>
        <v>80</v>
      </c>
      <c r="BG35" s="313" t="str">
        <f t="shared" si="13"/>
        <v>B</v>
      </c>
      <c r="BH35" s="106" t="str">
        <f t="shared" si="14"/>
        <v>TUNTAS</v>
      </c>
      <c r="BI35" s="107" t="str">
        <f t="shared" si="15"/>
        <v>Terampil</v>
      </c>
      <c r="BJ35" s="116" t="str">
        <f>IF(BD35="","",VLOOKUP(BD35,DATAKET!$BJ$3:$BK$12,2,FALSE))</f>
        <v>Menyimpulkan isi puisi rakyat (pantun, syair, dan bentuk puisi rakyat setempat) yang disajikan dalam bentuk tulis dan lisan</v>
      </c>
      <c r="BK35" s="105" t="str">
        <f t="shared" si="16"/>
        <v>Terampil Menyimpulkan isi puisi rakyat (pantun, syair, dan bentuk puisi rakyat setempat) yang disajikan dalam bentuk tulis dan lisan</v>
      </c>
    </row>
    <row r="36" spans="1:63" ht="16.5">
      <c r="A36" s="107">
        <f>'DATA SISWA'!A36</f>
        <v>32</v>
      </c>
      <c r="B36" s="107" t="str">
        <f>'DATA SISWA'!B36</f>
        <v>7672</v>
      </c>
      <c r="C36" s="116" t="str">
        <f>'DATA SISWA'!C36</f>
        <v>SALMA NABILA</v>
      </c>
      <c r="D36" s="107" t="str">
        <f>'DATA SISWA'!D36</f>
        <v>P</v>
      </c>
      <c r="E36" s="107" t="str">
        <f>'DATA SISWA'!E36</f>
        <v>VII-J</v>
      </c>
      <c r="F36" s="91"/>
      <c r="G36" s="407"/>
      <c r="H36" s="91">
        <v>80</v>
      </c>
      <c r="I36" s="91"/>
      <c r="J36" s="309">
        <f t="shared" si="1"/>
        <v>80</v>
      </c>
      <c r="K36" s="91"/>
      <c r="L36" s="407"/>
      <c r="M36" s="91">
        <v>80</v>
      </c>
      <c r="N36" s="91"/>
      <c r="O36" s="309">
        <f t="shared" si="2"/>
        <v>80</v>
      </c>
      <c r="P36" s="91"/>
      <c r="Q36" s="91"/>
      <c r="R36" s="91">
        <v>80</v>
      </c>
      <c r="S36" s="91"/>
      <c r="T36" s="309">
        <f t="shared" si="3"/>
        <v>80</v>
      </c>
      <c r="U36" s="91"/>
      <c r="V36" s="91"/>
      <c r="W36" s="91">
        <v>80</v>
      </c>
      <c r="X36" s="91"/>
      <c r="Y36" s="309">
        <f t="shared" si="4"/>
        <v>80</v>
      </c>
      <c r="Z36" s="91"/>
      <c r="AA36" s="91"/>
      <c r="AB36" s="91"/>
      <c r="AC36" s="91"/>
      <c r="AD36" s="309" t="str">
        <f t="shared" si="5"/>
        <v/>
      </c>
      <c r="AE36" s="91"/>
      <c r="AF36" s="91"/>
      <c r="AG36" s="91"/>
      <c r="AH36" s="91"/>
      <c r="AI36" s="309" t="str">
        <f t="shared" si="6"/>
        <v/>
      </c>
      <c r="AJ36" s="91"/>
      <c r="AK36" s="91"/>
      <c r="AL36" s="91"/>
      <c r="AM36" s="91"/>
      <c r="AN36" s="309" t="str">
        <f t="shared" si="7"/>
        <v/>
      </c>
      <c r="AO36" s="91"/>
      <c r="AP36" s="91"/>
      <c r="AQ36" s="91"/>
      <c r="AR36" s="91"/>
      <c r="AS36" s="309" t="str">
        <f t="shared" si="8"/>
        <v/>
      </c>
      <c r="AT36" s="91"/>
      <c r="AU36" s="91"/>
      <c r="AV36" s="91"/>
      <c r="AW36" s="91"/>
      <c r="AX36" s="309" t="str">
        <f t="shared" si="9"/>
        <v/>
      </c>
      <c r="AY36" s="91"/>
      <c r="AZ36" s="91"/>
      <c r="BA36" s="91"/>
      <c r="BB36" s="91"/>
      <c r="BC36" s="309" t="str">
        <f t="shared" si="10"/>
        <v/>
      </c>
      <c r="BD36" s="310">
        <f t="shared" si="11"/>
        <v>80</v>
      </c>
      <c r="BE36" s="311">
        <f t="shared" si="0"/>
        <v>80</v>
      </c>
      <c r="BF36" s="312">
        <f t="shared" si="12"/>
        <v>80</v>
      </c>
      <c r="BG36" s="313" t="str">
        <f t="shared" si="13"/>
        <v>B</v>
      </c>
      <c r="BH36" s="106" t="str">
        <f t="shared" si="14"/>
        <v>TUNTAS</v>
      </c>
      <c r="BI36" s="107" t="str">
        <f t="shared" si="15"/>
        <v>Terampil</v>
      </c>
      <c r="BJ36" s="116" t="str">
        <f>IF(BD36="","",VLOOKUP(BD36,DATAKET!$BL$3:$BM$12,2,FALSE))</f>
        <v>Menyimpulkan isi puisi rakyat (pantun, syair, dan bentuk puisi rakyat setempat) yang disajikan dalam bentuk tulis dan lisan</v>
      </c>
      <c r="BK36" s="105" t="str">
        <f t="shared" si="16"/>
        <v>Terampil Menyimpulkan isi puisi rakyat (pantun, syair, dan bentuk puisi rakyat setempat) yang disajikan dalam bentuk tulis dan lisan</v>
      </c>
    </row>
    <row r="37" spans="1:63" ht="16.5">
      <c r="A37" s="107">
        <f>'DATA SISWA'!A37</f>
        <v>33</v>
      </c>
      <c r="B37" s="107" t="str">
        <f>'DATA SISWA'!B37</f>
        <v>7673</v>
      </c>
      <c r="C37" s="116" t="str">
        <f>'DATA SISWA'!C37</f>
        <v>SITI AINUR ROHIMAH</v>
      </c>
      <c r="D37" s="107" t="str">
        <f>'DATA SISWA'!D37</f>
        <v>P</v>
      </c>
      <c r="E37" s="107" t="str">
        <f>'DATA SISWA'!E37</f>
        <v>VII-J</v>
      </c>
      <c r="F37" s="91"/>
      <c r="G37" s="407"/>
      <c r="H37" s="91">
        <v>79</v>
      </c>
      <c r="I37" s="91"/>
      <c r="J37" s="309">
        <f t="shared" si="1"/>
        <v>79</v>
      </c>
      <c r="K37" s="91"/>
      <c r="L37" s="407"/>
      <c r="M37" s="91">
        <v>79</v>
      </c>
      <c r="N37" s="91"/>
      <c r="O37" s="309">
        <f t="shared" si="2"/>
        <v>79</v>
      </c>
      <c r="P37" s="91"/>
      <c r="Q37" s="91"/>
      <c r="R37" s="91">
        <v>79</v>
      </c>
      <c r="S37" s="91"/>
      <c r="T37" s="309">
        <f t="shared" si="3"/>
        <v>79</v>
      </c>
      <c r="U37" s="91"/>
      <c r="V37" s="91"/>
      <c r="W37" s="91">
        <v>79</v>
      </c>
      <c r="X37" s="91"/>
      <c r="Y37" s="309">
        <f t="shared" si="4"/>
        <v>79</v>
      </c>
      <c r="Z37" s="91"/>
      <c r="AA37" s="91"/>
      <c r="AB37" s="91"/>
      <c r="AC37" s="91"/>
      <c r="AD37" s="309" t="str">
        <f t="shared" si="5"/>
        <v/>
      </c>
      <c r="AE37" s="91"/>
      <c r="AF37" s="91"/>
      <c r="AG37" s="91"/>
      <c r="AH37" s="91"/>
      <c r="AI37" s="309" t="str">
        <f t="shared" si="6"/>
        <v/>
      </c>
      <c r="AJ37" s="91"/>
      <c r="AK37" s="91"/>
      <c r="AL37" s="91"/>
      <c r="AM37" s="91"/>
      <c r="AN37" s="309" t="str">
        <f t="shared" si="7"/>
        <v/>
      </c>
      <c r="AO37" s="91"/>
      <c r="AP37" s="91"/>
      <c r="AQ37" s="91"/>
      <c r="AR37" s="91"/>
      <c r="AS37" s="309" t="str">
        <f t="shared" si="8"/>
        <v/>
      </c>
      <c r="AT37" s="91"/>
      <c r="AU37" s="91"/>
      <c r="AV37" s="91"/>
      <c r="AW37" s="91"/>
      <c r="AX37" s="309" t="str">
        <f t="shared" si="9"/>
        <v/>
      </c>
      <c r="AY37" s="91"/>
      <c r="AZ37" s="91"/>
      <c r="BA37" s="91"/>
      <c r="BB37" s="91"/>
      <c r="BC37" s="309" t="str">
        <f t="shared" si="10"/>
        <v/>
      </c>
      <c r="BD37" s="310">
        <f t="shared" si="11"/>
        <v>79</v>
      </c>
      <c r="BE37" s="311">
        <f t="shared" si="0"/>
        <v>79</v>
      </c>
      <c r="BF37" s="312">
        <f t="shared" si="12"/>
        <v>79</v>
      </c>
      <c r="BG37" s="313" t="str">
        <f t="shared" si="13"/>
        <v>B</v>
      </c>
      <c r="BH37" s="106" t="str">
        <f t="shared" si="14"/>
        <v>TUNTAS</v>
      </c>
      <c r="BI37" s="107" t="str">
        <f t="shared" si="15"/>
        <v>Terampil</v>
      </c>
      <c r="BJ37" s="116" t="str">
        <f>IF(BD37="","",VLOOKUP(BD37,DATAKET!$BN$3:$BO$12,2,FALSE))</f>
        <v>Menyimpulkan isi puisi rakyat (pantun, syair, dan bentuk puisi rakyat setempat) yang disajikan dalam bentuk tulis dan lisan</v>
      </c>
      <c r="BK37" s="105" t="str">
        <f t="shared" si="16"/>
        <v>Terampil Menyimpulkan isi puisi rakyat (pantun, syair, dan bentuk puisi rakyat setempat) yang disajikan dalam bentuk tulis dan lisan</v>
      </c>
    </row>
    <row r="38" spans="1:63" ht="16.5">
      <c r="A38" s="107">
        <f>'DATA SISWA'!A38</f>
        <v>34</v>
      </c>
      <c r="B38" s="107" t="str">
        <f>'DATA SISWA'!B38</f>
        <v>7675</v>
      </c>
      <c r="C38" s="116" t="str">
        <f>'DATA SISWA'!C38</f>
        <v>SYARIF HIDAYATULLOH</v>
      </c>
      <c r="D38" s="107" t="str">
        <f>'DATA SISWA'!D38</f>
        <v>L</v>
      </c>
      <c r="E38" s="107" t="str">
        <f>'DATA SISWA'!E38</f>
        <v>VII-J</v>
      </c>
      <c r="F38" s="91"/>
      <c r="G38" s="407"/>
      <c r="H38" s="91">
        <v>78</v>
      </c>
      <c r="I38" s="91"/>
      <c r="J38" s="309">
        <f t="shared" si="1"/>
        <v>78</v>
      </c>
      <c r="K38" s="91"/>
      <c r="L38" s="407"/>
      <c r="M38" s="91">
        <v>78</v>
      </c>
      <c r="N38" s="91"/>
      <c r="O38" s="309">
        <f t="shared" si="2"/>
        <v>78</v>
      </c>
      <c r="P38" s="91"/>
      <c r="Q38" s="91"/>
      <c r="R38" s="91">
        <v>78</v>
      </c>
      <c r="S38" s="91"/>
      <c r="T38" s="309">
        <f t="shared" si="3"/>
        <v>78</v>
      </c>
      <c r="U38" s="91"/>
      <c r="V38" s="91"/>
      <c r="W38" s="91">
        <v>78</v>
      </c>
      <c r="X38" s="91"/>
      <c r="Y38" s="309">
        <f t="shared" si="4"/>
        <v>78</v>
      </c>
      <c r="Z38" s="91"/>
      <c r="AA38" s="91"/>
      <c r="AB38" s="91"/>
      <c r="AC38" s="91"/>
      <c r="AD38" s="309" t="str">
        <f t="shared" si="5"/>
        <v/>
      </c>
      <c r="AE38" s="91"/>
      <c r="AF38" s="91"/>
      <c r="AG38" s="91"/>
      <c r="AH38" s="91"/>
      <c r="AI38" s="309" t="str">
        <f t="shared" si="6"/>
        <v/>
      </c>
      <c r="AJ38" s="91"/>
      <c r="AK38" s="91"/>
      <c r="AL38" s="91"/>
      <c r="AM38" s="91"/>
      <c r="AN38" s="309" t="str">
        <f t="shared" si="7"/>
        <v/>
      </c>
      <c r="AO38" s="91"/>
      <c r="AP38" s="91"/>
      <c r="AQ38" s="91"/>
      <c r="AR38" s="91"/>
      <c r="AS38" s="309" t="str">
        <f t="shared" si="8"/>
        <v/>
      </c>
      <c r="AT38" s="91"/>
      <c r="AU38" s="91"/>
      <c r="AV38" s="91"/>
      <c r="AW38" s="91"/>
      <c r="AX38" s="309" t="str">
        <f t="shared" si="9"/>
        <v/>
      </c>
      <c r="AY38" s="91"/>
      <c r="AZ38" s="91"/>
      <c r="BA38" s="91"/>
      <c r="BB38" s="91"/>
      <c r="BC38" s="309" t="str">
        <f t="shared" si="10"/>
        <v/>
      </c>
      <c r="BD38" s="310">
        <f t="shared" si="11"/>
        <v>78</v>
      </c>
      <c r="BE38" s="311">
        <f t="shared" si="0"/>
        <v>78</v>
      </c>
      <c r="BF38" s="312">
        <f t="shared" si="12"/>
        <v>78</v>
      </c>
      <c r="BG38" s="313" t="str">
        <f t="shared" si="13"/>
        <v>B</v>
      </c>
      <c r="BH38" s="106" t="str">
        <f t="shared" si="14"/>
        <v>TUNTAS</v>
      </c>
      <c r="BI38" s="107" t="str">
        <f t="shared" si="15"/>
        <v>Terampil</v>
      </c>
      <c r="BJ38" s="116" t="str">
        <f>IF(BD38="","",VLOOKUP(BD38,DATAKET!$BP$3:$BQ$12,2,FALSE))</f>
        <v>Menyimpulkan isi puisi rakyat (pantun, syair, dan bentuk puisi rakyat setempat) yang disajikan dalam bentuk tulis dan lisan</v>
      </c>
      <c r="BK38" s="105" t="str">
        <f t="shared" si="16"/>
        <v>Terampil Menyimpulkan isi puisi rakyat (pantun, syair, dan bentuk puisi rakyat setempat) yang disajikan dalam bentuk tulis dan lisan</v>
      </c>
    </row>
    <row r="39" spans="1:63" ht="16.5">
      <c r="A39" s="107">
        <f>'DATA SISWA'!A39</f>
        <v>35</v>
      </c>
      <c r="B39" s="107" t="str">
        <f>'DATA SISWA'!B39</f>
        <v>7444</v>
      </c>
      <c r="C39" s="116" t="str">
        <f>'DATA SISWA'!C39</f>
        <v>URVIA ZAHNA ROHANDY</v>
      </c>
      <c r="D39" s="107" t="str">
        <f>'DATA SISWA'!D39</f>
        <v>P</v>
      </c>
      <c r="E39" s="107" t="str">
        <f>'DATA SISWA'!E39</f>
        <v>VII-J</v>
      </c>
      <c r="F39" s="91"/>
      <c r="G39" s="407"/>
      <c r="H39" s="91">
        <v>79</v>
      </c>
      <c r="I39" s="91"/>
      <c r="J39" s="309">
        <f t="shared" si="1"/>
        <v>79</v>
      </c>
      <c r="K39" s="91"/>
      <c r="L39" s="407"/>
      <c r="M39" s="91">
        <v>79</v>
      </c>
      <c r="N39" s="91"/>
      <c r="O39" s="309">
        <f t="shared" si="2"/>
        <v>79</v>
      </c>
      <c r="P39" s="91"/>
      <c r="Q39" s="91"/>
      <c r="R39" s="91">
        <v>79</v>
      </c>
      <c r="S39" s="91"/>
      <c r="T39" s="309">
        <f t="shared" si="3"/>
        <v>79</v>
      </c>
      <c r="U39" s="91"/>
      <c r="V39" s="91"/>
      <c r="W39" s="91">
        <v>79</v>
      </c>
      <c r="X39" s="91"/>
      <c r="Y39" s="309">
        <f t="shared" si="4"/>
        <v>79</v>
      </c>
      <c r="Z39" s="91"/>
      <c r="AA39" s="91"/>
      <c r="AB39" s="91"/>
      <c r="AC39" s="91"/>
      <c r="AD39" s="309" t="str">
        <f t="shared" si="5"/>
        <v/>
      </c>
      <c r="AE39" s="91"/>
      <c r="AF39" s="91"/>
      <c r="AG39" s="91"/>
      <c r="AH39" s="91"/>
      <c r="AI39" s="309" t="str">
        <f t="shared" si="6"/>
        <v/>
      </c>
      <c r="AJ39" s="91"/>
      <c r="AK39" s="91"/>
      <c r="AL39" s="91"/>
      <c r="AM39" s="91"/>
      <c r="AN39" s="309" t="str">
        <f t="shared" si="7"/>
        <v/>
      </c>
      <c r="AO39" s="91"/>
      <c r="AP39" s="91"/>
      <c r="AQ39" s="91"/>
      <c r="AR39" s="91"/>
      <c r="AS39" s="309" t="str">
        <f t="shared" si="8"/>
        <v/>
      </c>
      <c r="AT39" s="91"/>
      <c r="AU39" s="91"/>
      <c r="AV39" s="91"/>
      <c r="AW39" s="91"/>
      <c r="AX39" s="309" t="str">
        <f t="shared" si="9"/>
        <v/>
      </c>
      <c r="AY39" s="91"/>
      <c r="AZ39" s="91"/>
      <c r="BA39" s="91"/>
      <c r="BB39" s="91"/>
      <c r="BC39" s="309" t="str">
        <f t="shared" si="10"/>
        <v/>
      </c>
      <c r="BD39" s="310">
        <f t="shared" si="11"/>
        <v>79</v>
      </c>
      <c r="BE39" s="311">
        <f t="shared" si="0"/>
        <v>79</v>
      </c>
      <c r="BF39" s="312">
        <f t="shared" si="12"/>
        <v>79</v>
      </c>
      <c r="BG39" s="313" t="str">
        <f t="shared" si="13"/>
        <v>B</v>
      </c>
      <c r="BH39" s="106" t="str">
        <f t="shared" si="14"/>
        <v>TUNTAS</v>
      </c>
      <c r="BI39" s="107" t="str">
        <f t="shared" si="15"/>
        <v>Terampil</v>
      </c>
      <c r="BJ39" s="116" t="str">
        <f>IF(BD39="","",VLOOKUP(BD39,DATAKET!$BR$3:$BS$12,2,FALSE))</f>
        <v>Menyimpulkan isi puisi rakyat (pantun, syair, dan bentuk puisi rakyat setempat) yang disajikan dalam bentuk tulis dan lisan</v>
      </c>
      <c r="BK39" s="105" t="str">
        <f t="shared" si="16"/>
        <v>Terampil Menyimpulkan isi puisi rakyat (pantun, syair, dan bentuk puisi rakyat setempat) yang disajikan dalam bentuk tulis dan lisan</v>
      </c>
    </row>
    <row r="40" spans="1:63">
      <c r="A40" s="107">
        <f>'DATA SISWA'!A40</f>
        <v>36</v>
      </c>
      <c r="B40" s="107">
        <f>'DATA SISWA'!B40</f>
        <v>0</v>
      </c>
      <c r="C40" s="116">
        <f>'DATA SISWA'!C40</f>
        <v>0</v>
      </c>
      <c r="D40" s="107">
        <f>'DATA SISWA'!D40</f>
        <v>0</v>
      </c>
      <c r="E40" s="107" t="str">
        <f>'DATA SISWA'!E40</f>
        <v>VII-J</v>
      </c>
      <c r="F40" s="91"/>
      <c r="G40" s="91"/>
      <c r="H40" s="91"/>
      <c r="I40" s="91"/>
      <c r="J40" s="309" t="str">
        <f t="shared" si="1"/>
        <v/>
      </c>
      <c r="K40" s="91"/>
      <c r="L40" s="91"/>
      <c r="M40" s="91"/>
      <c r="N40" s="91"/>
      <c r="O40" s="309" t="str">
        <f t="shared" si="2"/>
        <v/>
      </c>
      <c r="P40" s="91"/>
      <c r="Q40" s="91"/>
      <c r="R40" s="91"/>
      <c r="S40" s="91"/>
      <c r="T40" s="309" t="str">
        <f t="shared" si="3"/>
        <v/>
      </c>
      <c r="U40" s="91"/>
      <c r="V40" s="91"/>
      <c r="W40" s="91"/>
      <c r="X40" s="91"/>
      <c r="Y40" s="309" t="str">
        <f t="shared" si="4"/>
        <v/>
      </c>
      <c r="Z40" s="91"/>
      <c r="AA40" s="91"/>
      <c r="AB40" s="91"/>
      <c r="AC40" s="91"/>
      <c r="AD40" s="309" t="str">
        <f t="shared" si="5"/>
        <v/>
      </c>
      <c r="AE40" s="91"/>
      <c r="AF40" s="91"/>
      <c r="AG40" s="91"/>
      <c r="AH40" s="91"/>
      <c r="AI40" s="309" t="str">
        <f t="shared" si="6"/>
        <v/>
      </c>
      <c r="AJ40" s="91"/>
      <c r="AK40" s="91"/>
      <c r="AL40" s="91"/>
      <c r="AM40" s="91"/>
      <c r="AN40" s="309" t="str">
        <f t="shared" si="7"/>
        <v/>
      </c>
      <c r="AO40" s="91"/>
      <c r="AP40" s="91"/>
      <c r="AQ40" s="91"/>
      <c r="AR40" s="91"/>
      <c r="AS40" s="309" t="str">
        <f t="shared" si="8"/>
        <v/>
      </c>
      <c r="AT40" s="91"/>
      <c r="AU40" s="91"/>
      <c r="AV40" s="91"/>
      <c r="AW40" s="91"/>
      <c r="AX40" s="309" t="str">
        <f t="shared" si="9"/>
        <v/>
      </c>
      <c r="AY40" s="91"/>
      <c r="AZ40" s="91"/>
      <c r="BA40" s="91"/>
      <c r="BB40" s="91"/>
      <c r="BC40" s="309" t="str">
        <f t="shared" si="10"/>
        <v/>
      </c>
      <c r="BD40" s="310" t="str">
        <f t="shared" si="11"/>
        <v/>
      </c>
      <c r="BE40" s="311" t="str">
        <f t="shared" si="0"/>
        <v/>
      </c>
      <c r="BF40" s="312" t="str">
        <f t="shared" si="12"/>
        <v/>
      </c>
      <c r="BG40" s="313" t="str">
        <f t="shared" si="13"/>
        <v/>
      </c>
      <c r="BH40" s="106" t="str">
        <f t="shared" si="14"/>
        <v/>
      </c>
      <c r="BI40" s="107" t="str">
        <f t="shared" si="15"/>
        <v/>
      </c>
      <c r="BJ40" s="116" t="str">
        <f>IF(BD40="","",VLOOKUP(BD40,DATAKET!$BT$3:$BU$12,2,FALSE))</f>
        <v/>
      </c>
      <c r="BK40" s="105" t="str">
        <f t="shared" si="16"/>
        <v/>
      </c>
    </row>
    <row r="41" spans="1:63">
      <c r="A41" s="107">
        <f>'DATA SISWA'!A41</f>
        <v>37</v>
      </c>
      <c r="B41" s="107">
        <f>'DATA SISWA'!B41</f>
        <v>0</v>
      </c>
      <c r="C41" s="116">
        <f>'DATA SISWA'!C41</f>
        <v>0</v>
      </c>
      <c r="D41" s="107">
        <f>'DATA SISWA'!D41</f>
        <v>0</v>
      </c>
      <c r="E41" s="107" t="str">
        <f>'DATA SISWA'!E41</f>
        <v>VII-J</v>
      </c>
      <c r="F41" s="91"/>
      <c r="G41" s="91"/>
      <c r="H41" s="91"/>
      <c r="I41" s="91"/>
      <c r="J41" s="309" t="str">
        <f t="shared" si="1"/>
        <v/>
      </c>
      <c r="K41" s="91"/>
      <c r="L41" s="91"/>
      <c r="M41" s="91"/>
      <c r="N41" s="91"/>
      <c r="O41" s="309" t="str">
        <f t="shared" si="2"/>
        <v/>
      </c>
      <c r="P41" s="91"/>
      <c r="Q41" s="91"/>
      <c r="R41" s="91"/>
      <c r="S41" s="91"/>
      <c r="T41" s="309" t="str">
        <f t="shared" si="3"/>
        <v/>
      </c>
      <c r="U41" s="91"/>
      <c r="V41" s="91"/>
      <c r="W41" s="91"/>
      <c r="X41" s="91"/>
      <c r="Y41" s="309" t="str">
        <f t="shared" si="4"/>
        <v/>
      </c>
      <c r="Z41" s="91"/>
      <c r="AA41" s="91"/>
      <c r="AB41" s="91"/>
      <c r="AC41" s="91"/>
      <c r="AD41" s="309" t="str">
        <f t="shared" si="5"/>
        <v/>
      </c>
      <c r="AE41" s="91"/>
      <c r="AF41" s="91"/>
      <c r="AG41" s="91"/>
      <c r="AH41" s="91"/>
      <c r="AI41" s="309" t="str">
        <f t="shared" si="6"/>
        <v/>
      </c>
      <c r="AJ41" s="91"/>
      <c r="AK41" s="91"/>
      <c r="AL41" s="91"/>
      <c r="AM41" s="91"/>
      <c r="AN41" s="309" t="str">
        <f t="shared" si="7"/>
        <v/>
      </c>
      <c r="AO41" s="91"/>
      <c r="AP41" s="91"/>
      <c r="AQ41" s="91"/>
      <c r="AR41" s="91"/>
      <c r="AS41" s="309" t="str">
        <f t="shared" si="8"/>
        <v/>
      </c>
      <c r="AT41" s="91"/>
      <c r="AU41" s="91"/>
      <c r="AV41" s="91"/>
      <c r="AW41" s="91"/>
      <c r="AX41" s="309" t="str">
        <f t="shared" si="9"/>
        <v/>
      </c>
      <c r="AY41" s="91"/>
      <c r="AZ41" s="91"/>
      <c r="BA41" s="91"/>
      <c r="BB41" s="91"/>
      <c r="BC41" s="309" t="str">
        <f t="shared" si="10"/>
        <v/>
      </c>
      <c r="BD41" s="310" t="str">
        <f t="shared" si="11"/>
        <v/>
      </c>
      <c r="BE41" s="311" t="str">
        <f t="shared" si="0"/>
        <v/>
      </c>
      <c r="BF41" s="312" t="str">
        <f t="shared" si="12"/>
        <v/>
      </c>
      <c r="BG41" s="313" t="str">
        <f t="shared" si="13"/>
        <v/>
      </c>
      <c r="BH41" s="106" t="str">
        <f t="shared" si="14"/>
        <v/>
      </c>
      <c r="BI41" s="107" t="str">
        <f t="shared" si="15"/>
        <v/>
      </c>
      <c r="BJ41" s="116" t="str">
        <f>IF(BD41="","",VLOOKUP(BD41,DATAKET!$BV$3:$BW$12,2,FALSE))</f>
        <v/>
      </c>
      <c r="BK41" s="105" t="str">
        <f t="shared" si="16"/>
        <v/>
      </c>
    </row>
    <row r="42" spans="1:63">
      <c r="A42" s="107">
        <f>'DATA SISWA'!A42</f>
        <v>38</v>
      </c>
      <c r="B42" s="107">
        <f>'DATA SISWA'!B42</f>
        <v>0</v>
      </c>
      <c r="C42" s="116">
        <f>'DATA SISWA'!C42</f>
        <v>0</v>
      </c>
      <c r="D42" s="107">
        <f>'DATA SISWA'!D42</f>
        <v>0</v>
      </c>
      <c r="E42" s="107" t="str">
        <f>'DATA SISWA'!E42</f>
        <v>VII-J</v>
      </c>
      <c r="F42" s="91"/>
      <c r="G42" s="91"/>
      <c r="H42" s="91"/>
      <c r="I42" s="91"/>
      <c r="J42" s="309" t="str">
        <f t="shared" si="1"/>
        <v/>
      </c>
      <c r="K42" s="91"/>
      <c r="L42" s="91"/>
      <c r="M42" s="91"/>
      <c r="N42" s="91"/>
      <c r="O42" s="309" t="str">
        <f t="shared" si="2"/>
        <v/>
      </c>
      <c r="P42" s="91"/>
      <c r="Q42" s="91"/>
      <c r="R42" s="91"/>
      <c r="S42" s="91"/>
      <c r="T42" s="309" t="str">
        <f t="shared" si="3"/>
        <v/>
      </c>
      <c r="U42" s="91"/>
      <c r="V42" s="91"/>
      <c r="W42" s="91"/>
      <c r="X42" s="91"/>
      <c r="Y42" s="309" t="str">
        <f t="shared" si="4"/>
        <v/>
      </c>
      <c r="Z42" s="91"/>
      <c r="AA42" s="91"/>
      <c r="AB42" s="91"/>
      <c r="AC42" s="91"/>
      <c r="AD42" s="309" t="str">
        <f t="shared" si="5"/>
        <v/>
      </c>
      <c r="AE42" s="91"/>
      <c r="AF42" s="91"/>
      <c r="AG42" s="91"/>
      <c r="AH42" s="91"/>
      <c r="AI42" s="309" t="str">
        <f t="shared" si="6"/>
        <v/>
      </c>
      <c r="AJ42" s="91"/>
      <c r="AK42" s="91"/>
      <c r="AL42" s="91"/>
      <c r="AM42" s="91"/>
      <c r="AN42" s="309" t="str">
        <f t="shared" si="7"/>
        <v/>
      </c>
      <c r="AO42" s="91"/>
      <c r="AP42" s="91"/>
      <c r="AQ42" s="91"/>
      <c r="AR42" s="91"/>
      <c r="AS42" s="309" t="str">
        <f t="shared" si="8"/>
        <v/>
      </c>
      <c r="AT42" s="91"/>
      <c r="AU42" s="91"/>
      <c r="AV42" s="91"/>
      <c r="AW42" s="91"/>
      <c r="AX42" s="309" t="str">
        <f t="shared" si="9"/>
        <v/>
      </c>
      <c r="AY42" s="91"/>
      <c r="AZ42" s="91"/>
      <c r="BA42" s="91"/>
      <c r="BB42" s="91"/>
      <c r="BC42" s="309" t="str">
        <f t="shared" si="10"/>
        <v/>
      </c>
      <c r="BD42" s="310" t="str">
        <f t="shared" si="11"/>
        <v/>
      </c>
      <c r="BE42" s="311" t="str">
        <f t="shared" si="0"/>
        <v/>
      </c>
      <c r="BF42" s="312" t="str">
        <f t="shared" si="12"/>
        <v/>
      </c>
      <c r="BG42" s="313" t="str">
        <f t="shared" si="13"/>
        <v/>
      </c>
      <c r="BH42" s="106" t="str">
        <f t="shared" si="14"/>
        <v/>
      </c>
      <c r="BI42" s="107" t="str">
        <f t="shared" si="15"/>
        <v/>
      </c>
      <c r="BJ42" s="116" t="str">
        <f>IF(BD42="","",VLOOKUP(BD42,DATAKET!$BX$3:$BY$12,2,FALSE))</f>
        <v/>
      </c>
      <c r="BK42" s="105" t="str">
        <f t="shared" si="16"/>
        <v/>
      </c>
    </row>
    <row r="43" spans="1:63">
      <c r="A43" s="107">
        <f>'DATA SISWA'!A43</f>
        <v>39</v>
      </c>
      <c r="B43" s="107">
        <f>'DATA SISWA'!B43</f>
        <v>0</v>
      </c>
      <c r="C43" s="116">
        <f>'DATA SISWA'!C43</f>
        <v>0</v>
      </c>
      <c r="D43" s="107">
        <f>'DATA SISWA'!D43</f>
        <v>0</v>
      </c>
      <c r="E43" s="107" t="str">
        <f>'DATA SISWA'!E43</f>
        <v>VII-J</v>
      </c>
      <c r="F43" s="91"/>
      <c r="G43" s="91"/>
      <c r="H43" s="91"/>
      <c r="I43" s="91"/>
      <c r="J43" s="309" t="str">
        <f t="shared" si="1"/>
        <v/>
      </c>
      <c r="K43" s="91"/>
      <c r="L43" s="91"/>
      <c r="M43" s="91"/>
      <c r="N43" s="91"/>
      <c r="O43" s="309" t="str">
        <f t="shared" si="2"/>
        <v/>
      </c>
      <c r="P43" s="91"/>
      <c r="Q43" s="91"/>
      <c r="R43" s="91"/>
      <c r="S43" s="91"/>
      <c r="T43" s="309" t="str">
        <f t="shared" si="3"/>
        <v/>
      </c>
      <c r="U43" s="91"/>
      <c r="V43" s="91"/>
      <c r="W43" s="91"/>
      <c r="X43" s="91"/>
      <c r="Y43" s="309" t="str">
        <f t="shared" si="4"/>
        <v/>
      </c>
      <c r="Z43" s="91"/>
      <c r="AA43" s="91"/>
      <c r="AB43" s="91"/>
      <c r="AC43" s="91"/>
      <c r="AD43" s="309" t="str">
        <f t="shared" si="5"/>
        <v/>
      </c>
      <c r="AE43" s="91"/>
      <c r="AF43" s="91"/>
      <c r="AG43" s="91"/>
      <c r="AH43" s="91"/>
      <c r="AI43" s="309" t="str">
        <f t="shared" si="6"/>
        <v/>
      </c>
      <c r="AJ43" s="91"/>
      <c r="AK43" s="91"/>
      <c r="AL43" s="91"/>
      <c r="AM43" s="91"/>
      <c r="AN43" s="309" t="str">
        <f t="shared" si="7"/>
        <v/>
      </c>
      <c r="AO43" s="91"/>
      <c r="AP43" s="91"/>
      <c r="AQ43" s="91"/>
      <c r="AR43" s="91"/>
      <c r="AS43" s="309" t="str">
        <f t="shared" si="8"/>
        <v/>
      </c>
      <c r="AT43" s="91"/>
      <c r="AU43" s="91"/>
      <c r="AV43" s="91"/>
      <c r="AW43" s="91"/>
      <c r="AX43" s="309" t="str">
        <f t="shared" si="9"/>
        <v/>
      </c>
      <c r="AY43" s="91"/>
      <c r="AZ43" s="91"/>
      <c r="BA43" s="91"/>
      <c r="BB43" s="91"/>
      <c r="BC43" s="309" t="str">
        <f t="shared" si="10"/>
        <v/>
      </c>
      <c r="BD43" s="310" t="str">
        <f t="shared" si="11"/>
        <v/>
      </c>
      <c r="BE43" s="311" t="str">
        <f t="shared" si="0"/>
        <v/>
      </c>
      <c r="BF43" s="312" t="str">
        <f t="shared" si="12"/>
        <v/>
      </c>
      <c r="BG43" s="313" t="str">
        <f t="shared" si="13"/>
        <v/>
      </c>
      <c r="BH43" s="106" t="str">
        <f t="shared" si="14"/>
        <v/>
      </c>
      <c r="BI43" s="107" t="str">
        <f t="shared" si="15"/>
        <v/>
      </c>
      <c r="BJ43" s="116" t="str">
        <f>IF(BD43="","",VLOOKUP(BD43,DATAKET!$BZ$3:$CA$12,2,FALSE))</f>
        <v/>
      </c>
      <c r="BK43" s="105" t="str">
        <f t="shared" si="16"/>
        <v/>
      </c>
    </row>
    <row r="44" spans="1:63">
      <c r="A44" s="107">
        <f>'DATA SISWA'!A44</f>
        <v>40</v>
      </c>
      <c r="B44" s="107">
        <f>'DATA SISWA'!B44</f>
        <v>0</v>
      </c>
      <c r="C44" s="116">
        <f>'DATA SISWA'!C44</f>
        <v>0</v>
      </c>
      <c r="D44" s="107">
        <f>'DATA SISWA'!D44</f>
        <v>0</v>
      </c>
      <c r="E44" s="107" t="str">
        <f>'DATA SISWA'!E44</f>
        <v>VII-J</v>
      </c>
      <c r="F44" s="91"/>
      <c r="G44" s="91"/>
      <c r="H44" s="91"/>
      <c r="I44" s="91"/>
      <c r="J44" s="309" t="str">
        <f t="shared" si="1"/>
        <v/>
      </c>
      <c r="K44" s="91"/>
      <c r="L44" s="91"/>
      <c r="M44" s="91"/>
      <c r="N44" s="91"/>
      <c r="O44" s="309" t="str">
        <f t="shared" si="2"/>
        <v/>
      </c>
      <c r="P44" s="91"/>
      <c r="Q44" s="91"/>
      <c r="R44" s="91"/>
      <c r="S44" s="91"/>
      <c r="T44" s="309" t="str">
        <f t="shared" si="3"/>
        <v/>
      </c>
      <c r="U44" s="91"/>
      <c r="V44" s="91"/>
      <c r="W44" s="91"/>
      <c r="X44" s="91"/>
      <c r="Y44" s="309" t="str">
        <f t="shared" si="4"/>
        <v/>
      </c>
      <c r="Z44" s="91"/>
      <c r="AA44" s="91"/>
      <c r="AB44" s="91"/>
      <c r="AC44" s="91"/>
      <c r="AD44" s="309" t="str">
        <f t="shared" si="5"/>
        <v/>
      </c>
      <c r="AE44" s="91"/>
      <c r="AF44" s="91"/>
      <c r="AG44" s="91"/>
      <c r="AH44" s="91"/>
      <c r="AI44" s="309" t="str">
        <f t="shared" si="6"/>
        <v/>
      </c>
      <c r="AJ44" s="91"/>
      <c r="AK44" s="91"/>
      <c r="AL44" s="91"/>
      <c r="AM44" s="91"/>
      <c r="AN44" s="309" t="str">
        <f t="shared" si="7"/>
        <v/>
      </c>
      <c r="AO44" s="91"/>
      <c r="AP44" s="91"/>
      <c r="AQ44" s="91"/>
      <c r="AR44" s="91"/>
      <c r="AS44" s="309" t="str">
        <f t="shared" si="8"/>
        <v/>
      </c>
      <c r="AT44" s="91"/>
      <c r="AU44" s="91"/>
      <c r="AV44" s="91"/>
      <c r="AW44" s="91"/>
      <c r="AX44" s="309" t="str">
        <f t="shared" si="9"/>
        <v/>
      </c>
      <c r="AY44" s="91"/>
      <c r="AZ44" s="91"/>
      <c r="BA44" s="91"/>
      <c r="BB44" s="91"/>
      <c r="BC44" s="309" t="str">
        <f t="shared" si="10"/>
        <v/>
      </c>
      <c r="BD44" s="310" t="str">
        <f t="shared" si="11"/>
        <v/>
      </c>
      <c r="BE44" s="311" t="str">
        <f t="shared" si="0"/>
        <v/>
      </c>
      <c r="BF44" s="312" t="str">
        <f t="shared" si="12"/>
        <v/>
      </c>
      <c r="BG44" s="313" t="str">
        <f t="shared" si="13"/>
        <v/>
      </c>
      <c r="BH44" s="106" t="str">
        <f t="shared" si="14"/>
        <v/>
      </c>
      <c r="BI44" s="107" t="str">
        <f t="shared" si="15"/>
        <v/>
      </c>
      <c r="BJ44" s="116" t="str">
        <f>IF(BD44="","",VLOOKUP(BD44,DATAKET!$CB$3:$CC$12,2,FALSE))</f>
        <v/>
      </c>
      <c r="BK44" s="105" t="str">
        <f t="shared" si="16"/>
        <v/>
      </c>
    </row>
    <row r="45" spans="1:63">
      <c r="A45" s="107">
        <f>'DATA SISWA'!A45</f>
        <v>41</v>
      </c>
      <c r="B45" s="107">
        <f>'DATA SISWA'!B45</f>
        <v>0</v>
      </c>
      <c r="C45" s="116">
        <f>'DATA SISWA'!C45</f>
        <v>0</v>
      </c>
      <c r="D45" s="107">
        <f>'DATA SISWA'!D45</f>
        <v>0</v>
      </c>
      <c r="E45" s="107" t="str">
        <f>'DATA SISWA'!E45</f>
        <v>VII-J</v>
      </c>
      <c r="F45" s="91"/>
      <c r="G45" s="91"/>
      <c r="H45" s="91"/>
      <c r="I45" s="91"/>
      <c r="J45" s="309" t="str">
        <f t="shared" si="1"/>
        <v/>
      </c>
      <c r="K45" s="91"/>
      <c r="L45" s="91"/>
      <c r="M45" s="91"/>
      <c r="N45" s="91"/>
      <c r="O45" s="309" t="str">
        <f t="shared" si="2"/>
        <v/>
      </c>
      <c r="P45" s="91"/>
      <c r="Q45" s="91"/>
      <c r="R45" s="91"/>
      <c r="S45" s="91"/>
      <c r="T45" s="309" t="str">
        <f t="shared" si="3"/>
        <v/>
      </c>
      <c r="U45" s="91"/>
      <c r="V45" s="91"/>
      <c r="W45" s="91"/>
      <c r="X45" s="91"/>
      <c r="Y45" s="309" t="str">
        <f t="shared" si="4"/>
        <v/>
      </c>
      <c r="Z45" s="91"/>
      <c r="AA45" s="91"/>
      <c r="AB45" s="91"/>
      <c r="AC45" s="91"/>
      <c r="AD45" s="309" t="str">
        <f t="shared" si="5"/>
        <v/>
      </c>
      <c r="AE45" s="91"/>
      <c r="AF45" s="91"/>
      <c r="AG45" s="91"/>
      <c r="AH45" s="91"/>
      <c r="AI45" s="309" t="str">
        <f t="shared" si="6"/>
        <v/>
      </c>
      <c r="AJ45" s="91"/>
      <c r="AK45" s="91"/>
      <c r="AL45" s="91"/>
      <c r="AM45" s="91"/>
      <c r="AN45" s="309" t="str">
        <f t="shared" si="7"/>
        <v/>
      </c>
      <c r="AO45" s="91"/>
      <c r="AP45" s="91"/>
      <c r="AQ45" s="91"/>
      <c r="AR45" s="91"/>
      <c r="AS45" s="309" t="str">
        <f t="shared" si="8"/>
        <v/>
      </c>
      <c r="AT45" s="91"/>
      <c r="AU45" s="91"/>
      <c r="AV45" s="91"/>
      <c r="AW45" s="91"/>
      <c r="AX45" s="309" t="str">
        <f t="shared" si="9"/>
        <v/>
      </c>
      <c r="AY45" s="91"/>
      <c r="AZ45" s="91"/>
      <c r="BA45" s="91"/>
      <c r="BB45" s="91"/>
      <c r="BC45" s="309" t="str">
        <f t="shared" si="10"/>
        <v/>
      </c>
      <c r="BD45" s="310" t="str">
        <f t="shared" si="11"/>
        <v/>
      </c>
      <c r="BE45" s="311" t="str">
        <f t="shared" si="0"/>
        <v/>
      </c>
      <c r="BF45" s="312" t="str">
        <f t="shared" si="12"/>
        <v/>
      </c>
      <c r="BG45" s="313" t="str">
        <f t="shared" si="13"/>
        <v/>
      </c>
      <c r="BH45" s="106" t="str">
        <f t="shared" si="14"/>
        <v/>
      </c>
      <c r="BI45" s="107" t="str">
        <f t="shared" si="15"/>
        <v/>
      </c>
      <c r="BJ45" s="116" t="str">
        <f>IF(BD45="","",VLOOKUP(BD45,DATAKET!$CD$3:$CE$12,2,FALSE))</f>
        <v/>
      </c>
      <c r="BK45" s="105" t="str">
        <f t="shared" si="16"/>
        <v/>
      </c>
    </row>
    <row r="46" spans="1:63">
      <c r="A46" s="107">
        <f>'DATA SISWA'!A46</f>
        <v>42</v>
      </c>
      <c r="B46" s="107">
        <f>'DATA SISWA'!B46</f>
        <v>0</v>
      </c>
      <c r="C46" s="116">
        <f>'DATA SISWA'!C46</f>
        <v>0</v>
      </c>
      <c r="D46" s="107">
        <f>'DATA SISWA'!D46</f>
        <v>0</v>
      </c>
      <c r="E46" s="107" t="str">
        <f>'DATA SISWA'!E46</f>
        <v>VII-J</v>
      </c>
      <c r="F46" s="91"/>
      <c r="G46" s="91"/>
      <c r="H46" s="91"/>
      <c r="I46" s="91"/>
      <c r="J46" s="309" t="str">
        <f t="shared" si="1"/>
        <v/>
      </c>
      <c r="K46" s="91"/>
      <c r="L46" s="91"/>
      <c r="M46" s="91"/>
      <c r="N46" s="91"/>
      <c r="O46" s="309" t="str">
        <f t="shared" si="2"/>
        <v/>
      </c>
      <c r="P46" s="91"/>
      <c r="Q46" s="91"/>
      <c r="R46" s="91"/>
      <c r="S46" s="91"/>
      <c r="T46" s="309" t="str">
        <f t="shared" si="3"/>
        <v/>
      </c>
      <c r="U46" s="91"/>
      <c r="V46" s="91"/>
      <c r="W46" s="91"/>
      <c r="X46" s="91"/>
      <c r="Y46" s="309" t="str">
        <f t="shared" si="4"/>
        <v/>
      </c>
      <c r="Z46" s="91"/>
      <c r="AA46" s="91"/>
      <c r="AB46" s="91"/>
      <c r="AC46" s="91"/>
      <c r="AD46" s="309" t="str">
        <f t="shared" si="5"/>
        <v/>
      </c>
      <c r="AE46" s="91"/>
      <c r="AF46" s="91"/>
      <c r="AG46" s="91"/>
      <c r="AH46" s="91"/>
      <c r="AI46" s="309" t="str">
        <f t="shared" si="6"/>
        <v/>
      </c>
      <c r="AJ46" s="91"/>
      <c r="AK46" s="91"/>
      <c r="AL46" s="91"/>
      <c r="AM46" s="91"/>
      <c r="AN46" s="309" t="str">
        <f t="shared" si="7"/>
        <v/>
      </c>
      <c r="AO46" s="91"/>
      <c r="AP46" s="91"/>
      <c r="AQ46" s="91"/>
      <c r="AR46" s="91"/>
      <c r="AS46" s="309" t="str">
        <f t="shared" si="8"/>
        <v/>
      </c>
      <c r="AT46" s="91"/>
      <c r="AU46" s="91"/>
      <c r="AV46" s="91"/>
      <c r="AW46" s="91"/>
      <c r="AX46" s="309" t="str">
        <f t="shared" si="9"/>
        <v/>
      </c>
      <c r="AY46" s="91"/>
      <c r="AZ46" s="91"/>
      <c r="BA46" s="91"/>
      <c r="BB46" s="91"/>
      <c r="BC46" s="309" t="str">
        <f t="shared" si="10"/>
        <v/>
      </c>
      <c r="BD46" s="310" t="str">
        <f t="shared" si="11"/>
        <v/>
      </c>
      <c r="BE46" s="311" t="str">
        <f t="shared" si="0"/>
        <v/>
      </c>
      <c r="BF46" s="312" t="str">
        <f t="shared" si="12"/>
        <v/>
      </c>
      <c r="BG46" s="313" t="str">
        <f t="shared" si="13"/>
        <v/>
      </c>
      <c r="BH46" s="106" t="str">
        <f t="shared" si="14"/>
        <v/>
      </c>
      <c r="BI46" s="107" t="str">
        <f t="shared" si="15"/>
        <v/>
      </c>
      <c r="BJ46" s="116" t="str">
        <f>IF(BD46="","",VLOOKUP(BD46,DATAKET!$CF$3:$CG$12,2,FALSE))</f>
        <v/>
      </c>
      <c r="BK46" s="105" t="str">
        <f t="shared" si="16"/>
        <v/>
      </c>
    </row>
    <row r="47" spans="1:63">
      <c r="A47" s="107">
        <f>'DATA SISWA'!A47</f>
        <v>43</v>
      </c>
      <c r="B47" s="107">
        <f>'DATA SISWA'!B47</f>
        <v>0</v>
      </c>
      <c r="C47" s="116">
        <f>'DATA SISWA'!C47</f>
        <v>0</v>
      </c>
      <c r="D47" s="107">
        <f>'DATA SISWA'!D47</f>
        <v>0</v>
      </c>
      <c r="E47" s="107" t="str">
        <f>'DATA SISWA'!E47</f>
        <v>VII-J</v>
      </c>
      <c r="F47" s="91"/>
      <c r="G47" s="91"/>
      <c r="H47" s="91"/>
      <c r="I47" s="91"/>
      <c r="J47" s="309" t="str">
        <f t="shared" si="1"/>
        <v/>
      </c>
      <c r="K47" s="91"/>
      <c r="L47" s="91"/>
      <c r="M47" s="91"/>
      <c r="N47" s="91"/>
      <c r="O47" s="309" t="str">
        <f t="shared" si="2"/>
        <v/>
      </c>
      <c r="P47" s="91"/>
      <c r="Q47" s="91"/>
      <c r="R47" s="91"/>
      <c r="S47" s="91"/>
      <c r="T47" s="309" t="str">
        <f t="shared" si="3"/>
        <v/>
      </c>
      <c r="U47" s="91"/>
      <c r="V47" s="91"/>
      <c r="W47" s="91"/>
      <c r="X47" s="91"/>
      <c r="Y47" s="309" t="str">
        <f t="shared" si="4"/>
        <v/>
      </c>
      <c r="Z47" s="91"/>
      <c r="AA47" s="91"/>
      <c r="AB47" s="91"/>
      <c r="AC47" s="91"/>
      <c r="AD47" s="309" t="str">
        <f t="shared" si="5"/>
        <v/>
      </c>
      <c r="AE47" s="91"/>
      <c r="AF47" s="91"/>
      <c r="AG47" s="91"/>
      <c r="AH47" s="91"/>
      <c r="AI47" s="309" t="str">
        <f t="shared" si="6"/>
        <v/>
      </c>
      <c r="AJ47" s="91"/>
      <c r="AK47" s="91"/>
      <c r="AL47" s="91"/>
      <c r="AM47" s="91"/>
      <c r="AN47" s="309" t="str">
        <f t="shared" si="7"/>
        <v/>
      </c>
      <c r="AO47" s="91"/>
      <c r="AP47" s="91"/>
      <c r="AQ47" s="91"/>
      <c r="AR47" s="91"/>
      <c r="AS47" s="309" t="str">
        <f t="shared" si="8"/>
        <v/>
      </c>
      <c r="AT47" s="91"/>
      <c r="AU47" s="91"/>
      <c r="AV47" s="91"/>
      <c r="AW47" s="91"/>
      <c r="AX47" s="309" t="str">
        <f t="shared" si="9"/>
        <v/>
      </c>
      <c r="AY47" s="91"/>
      <c r="AZ47" s="91"/>
      <c r="BA47" s="91"/>
      <c r="BB47" s="91"/>
      <c r="BC47" s="309" t="str">
        <f t="shared" si="10"/>
        <v/>
      </c>
      <c r="BD47" s="310" t="str">
        <f t="shared" si="11"/>
        <v/>
      </c>
      <c r="BE47" s="311" t="str">
        <f t="shared" si="0"/>
        <v/>
      </c>
      <c r="BF47" s="312" t="str">
        <f t="shared" si="12"/>
        <v/>
      </c>
      <c r="BG47" s="313" t="str">
        <f t="shared" si="13"/>
        <v/>
      </c>
      <c r="BH47" s="106" t="str">
        <f t="shared" si="14"/>
        <v/>
      </c>
      <c r="BI47" s="107" t="str">
        <f t="shared" si="15"/>
        <v/>
      </c>
      <c r="BJ47" s="116" t="str">
        <f>IF(BD47="","",VLOOKUP(BD47,DATAKET!$CH$3:$CI$12,2,FALSE))</f>
        <v/>
      </c>
      <c r="BK47" s="105" t="str">
        <f t="shared" si="16"/>
        <v/>
      </c>
    </row>
    <row r="48" spans="1:63">
      <c r="A48" s="107">
        <f>'DATA SISWA'!A48</f>
        <v>44</v>
      </c>
      <c r="B48" s="107">
        <f>'DATA SISWA'!B48</f>
        <v>0</v>
      </c>
      <c r="C48" s="116">
        <f>'DATA SISWA'!C48</f>
        <v>0</v>
      </c>
      <c r="D48" s="107">
        <f>'DATA SISWA'!D48</f>
        <v>0</v>
      </c>
      <c r="E48" s="107" t="str">
        <f>'DATA SISWA'!E48</f>
        <v>VII-J</v>
      </c>
      <c r="F48" s="91"/>
      <c r="G48" s="91"/>
      <c r="H48" s="91"/>
      <c r="I48" s="91"/>
      <c r="J48" s="309" t="str">
        <f t="shared" si="1"/>
        <v/>
      </c>
      <c r="K48" s="91"/>
      <c r="L48" s="91"/>
      <c r="M48" s="91"/>
      <c r="N48" s="91"/>
      <c r="O48" s="309" t="str">
        <f t="shared" si="2"/>
        <v/>
      </c>
      <c r="P48" s="91"/>
      <c r="Q48" s="91"/>
      <c r="R48" s="91"/>
      <c r="S48" s="91"/>
      <c r="T48" s="309" t="str">
        <f t="shared" si="3"/>
        <v/>
      </c>
      <c r="U48" s="91"/>
      <c r="V48" s="91"/>
      <c r="W48" s="91"/>
      <c r="X48" s="91"/>
      <c r="Y48" s="309" t="str">
        <f t="shared" si="4"/>
        <v/>
      </c>
      <c r="Z48" s="91"/>
      <c r="AA48" s="91"/>
      <c r="AB48" s="91"/>
      <c r="AC48" s="91"/>
      <c r="AD48" s="309" t="str">
        <f t="shared" si="5"/>
        <v/>
      </c>
      <c r="AE48" s="91"/>
      <c r="AF48" s="91"/>
      <c r="AG48" s="91"/>
      <c r="AH48" s="91"/>
      <c r="AI48" s="309" t="str">
        <f t="shared" si="6"/>
        <v/>
      </c>
      <c r="AJ48" s="91"/>
      <c r="AK48" s="91"/>
      <c r="AL48" s="91"/>
      <c r="AM48" s="91"/>
      <c r="AN48" s="309" t="str">
        <f t="shared" si="7"/>
        <v/>
      </c>
      <c r="AO48" s="91"/>
      <c r="AP48" s="91"/>
      <c r="AQ48" s="91"/>
      <c r="AR48" s="91"/>
      <c r="AS48" s="309" t="str">
        <f t="shared" si="8"/>
        <v/>
      </c>
      <c r="AT48" s="91"/>
      <c r="AU48" s="91"/>
      <c r="AV48" s="91"/>
      <c r="AW48" s="91"/>
      <c r="AX48" s="309" t="str">
        <f t="shared" si="9"/>
        <v/>
      </c>
      <c r="AY48" s="91"/>
      <c r="AZ48" s="91"/>
      <c r="BA48" s="91"/>
      <c r="BB48" s="91"/>
      <c r="BC48" s="309" t="str">
        <f t="shared" si="10"/>
        <v/>
      </c>
      <c r="BD48" s="310" t="str">
        <f t="shared" si="11"/>
        <v/>
      </c>
      <c r="BE48" s="311" t="str">
        <f t="shared" si="0"/>
        <v/>
      </c>
      <c r="BF48" s="312" t="str">
        <f t="shared" si="12"/>
        <v/>
      </c>
      <c r="BG48" s="313" t="str">
        <f t="shared" si="13"/>
        <v/>
      </c>
      <c r="BH48" s="106" t="str">
        <f t="shared" si="14"/>
        <v/>
      </c>
      <c r="BI48" s="107" t="str">
        <f t="shared" si="15"/>
        <v/>
      </c>
      <c r="BJ48" s="116" t="str">
        <f>IF(BD48="","",VLOOKUP(BD48,DATAKET!$CJ$3:$CK$12,2,FALSE))</f>
        <v/>
      </c>
      <c r="BK48" s="105" t="str">
        <f t="shared" si="16"/>
        <v/>
      </c>
    </row>
    <row r="49" spans="1:63">
      <c r="A49" s="107">
        <f>'DATA SISWA'!A49</f>
        <v>45</v>
      </c>
      <c r="B49" s="107">
        <f>'DATA SISWA'!B49</f>
        <v>0</v>
      </c>
      <c r="C49" s="116">
        <f>'DATA SISWA'!C49</f>
        <v>0</v>
      </c>
      <c r="D49" s="107">
        <f>'DATA SISWA'!D49</f>
        <v>0</v>
      </c>
      <c r="E49" s="107" t="str">
        <f>'DATA SISWA'!E49</f>
        <v>VII-J</v>
      </c>
      <c r="F49" s="91"/>
      <c r="G49" s="91"/>
      <c r="H49" s="91"/>
      <c r="I49" s="91"/>
      <c r="J49" s="309" t="str">
        <f t="shared" si="1"/>
        <v/>
      </c>
      <c r="K49" s="91"/>
      <c r="L49" s="91"/>
      <c r="M49" s="91"/>
      <c r="N49" s="91"/>
      <c r="O49" s="309" t="str">
        <f t="shared" si="2"/>
        <v/>
      </c>
      <c r="P49" s="91"/>
      <c r="Q49" s="91"/>
      <c r="R49" s="91"/>
      <c r="S49" s="91"/>
      <c r="T49" s="309" t="str">
        <f t="shared" si="3"/>
        <v/>
      </c>
      <c r="U49" s="91"/>
      <c r="V49" s="91"/>
      <c r="W49" s="91"/>
      <c r="X49" s="91"/>
      <c r="Y49" s="309" t="str">
        <f t="shared" si="4"/>
        <v/>
      </c>
      <c r="Z49" s="91"/>
      <c r="AA49" s="91"/>
      <c r="AB49" s="91"/>
      <c r="AC49" s="91"/>
      <c r="AD49" s="309" t="str">
        <f t="shared" si="5"/>
        <v/>
      </c>
      <c r="AE49" s="91"/>
      <c r="AF49" s="91"/>
      <c r="AG49" s="91"/>
      <c r="AH49" s="91"/>
      <c r="AI49" s="309" t="str">
        <f t="shared" si="6"/>
        <v/>
      </c>
      <c r="AJ49" s="91"/>
      <c r="AK49" s="91"/>
      <c r="AL49" s="91"/>
      <c r="AM49" s="91"/>
      <c r="AN49" s="309" t="str">
        <f t="shared" si="7"/>
        <v/>
      </c>
      <c r="AO49" s="91"/>
      <c r="AP49" s="91"/>
      <c r="AQ49" s="91"/>
      <c r="AR49" s="91"/>
      <c r="AS49" s="309" t="str">
        <f t="shared" si="8"/>
        <v/>
      </c>
      <c r="AT49" s="91"/>
      <c r="AU49" s="91"/>
      <c r="AV49" s="91"/>
      <c r="AW49" s="91"/>
      <c r="AX49" s="309" t="str">
        <f t="shared" si="9"/>
        <v/>
      </c>
      <c r="AY49" s="91"/>
      <c r="AZ49" s="91"/>
      <c r="BA49" s="91"/>
      <c r="BB49" s="91"/>
      <c r="BC49" s="309" t="str">
        <f t="shared" si="10"/>
        <v/>
      </c>
      <c r="BD49" s="310" t="str">
        <f t="shared" si="11"/>
        <v/>
      </c>
      <c r="BE49" s="311" t="str">
        <f t="shared" si="0"/>
        <v/>
      </c>
      <c r="BF49" s="312" t="str">
        <f t="shared" si="12"/>
        <v/>
      </c>
      <c r="BG49" s="313" t="str">
        <f t="shared" si="13"/>
        <v/>
      </c>
      <c r="BH49" s="106" t="str">
        <f t="shared" si="14"/>
        <v/>
      </c>
      <c r="BI49" s="107" t="str">
        <f t="shared" si="15"/>
        <v/>
      </c>
      <c r="BJ49" s="116" t="str">
        <f>IF(BD49="","",VLOOKUP(BD49,DATAKET!$CL$3:$CM$12,2,FALSE))</f>
        <v/>
      </c>
      <c r="BK49" s="105" t="str">
        <f t="shared" si="16"/>
        <v/>
      </c>
    </row>
    <row r="50" spans="1:63">
      <c r="A50" s="107">
        <f>'DATA SISWA'!A50</f>
        <v>46</v>
      </c>
      <c r="B50" s="107">
        <f>'DATA SISWA'!B50</f>
        <v>0</v>
      </c>
      <c r="C50" s="116">
        <f>'DATA SISWA'!C50</f>
        <v>0</v>
      </c>
      <c r="D50" s="107">
        <f>'DATA SISWA'!D50</f>
        <v>0</v>
      </c>
      <c r="E50" s="107" t="str">
        <f>'DATA SISWA'!E50</f>
        <v>VII-J</v>
      </c>
      <c r="F50" s="91"/>
      <c r="G50" s="91"/>
      <c r="H50" s="91"/>
      <c r="I50" s="91"/>
      <c r="J50" s="309" t="str">
        <f t="shared" si="1"/>
        <v/>
      </c>
      <c r="K50" s="91"/>
      <c r="L50" s="91"/>
      <c r="M50" s="91"/>
      <c r="N50" s="91"/>
      <c r="O50" s="309" t="str">
        <f t="shared" si="2"/>
        <v/>
      </c>
      <c r="P50" s="91"/>
      <c r="Q50" s="91"/>
      <c r="R50" s="91"/>
      <c r="S50" s="91"/>
      <c r="T50" s="309" t="str">
        <f t="shared" si="3"/>
        <v/>
      </c>
      <c r="U50" s="91"/>
      <c r="V50" s="91"/>
      <c r="W50" s="91"/>
      <c r="X50" s="91"/>
      <c r="Y50" s="309" t="str">
        <f t="shared" si="4"/>
        <v/>
      </c>
      <c r="Z50" s="91"/>
      <c r="AA50" s="91"/>
      <c r="AB50" s="91"/>
      <c r="AC50" s="91"/>
      <c r="AD50" s="309" t="str">
        <f t="shared" si="5"/>
        <v/>
      </c>
      <c r="AE50" s="91"/>
      <c r="AF50" s="91"/>
      <c r="AG50" s="91"/>
      <c r="AH50" s="91"/>
      <c r="AI50" s="309" t="str">
        <f t="shared" si="6"/>
        <v/>
      </c>
      <c r="AJ50" s="91"/>
      <c r="AK50" s="91"/>
      <c r="AL50" s="91"/>
      <c r="AM50" s="91"/>
      <c r="AN50" s="309" t="str">
        <f t="shared" si="7"/>
        <v/>
      </c>
      <c r="AO50" s="91"/>
      <c r="AP50" s="91"/>
      <c r="AQ50" s="91"/>
      <c r="AR50" s="91"/>
      <c r="AS50" s="309" t="str">
        <f t="shared" si="8"/>
        <v/>
      </c>
      <c r="AT50" s="91"/>
      <c r="AU50" s="91"/>
      <c r="AV50" s="91"/>
      <c r="AW50" s="91"/>
      <c r="AX50" s="309" t="str">
        <f t="shared" si="9"/>
        <v/>
      </c>
      <c r="AY50" s="91"/>
      <c r="AZ50" s="91"/>
      <c r="BA50" s="91"/>
      <c r="BB50" s="91"/>
      <c r="BC50" s="309" t="str">
        <f t="shared" si="10"/>
        <v/>
      </c>
      <c r="BD50" s="310" t="str">
        <f t="shared" si="11"/>
        <v/>
      </c>
      <c r="BE50" s="311" t="str">
        <f t="shared" si="0"/>
        <v/>
      </c>
      <c r="BF50" s="312" t="str">
        <f t="shared" si="12"/>
        <v/>
      </c>
      <c r="BG50" s="313" t="str">
        <f t="shared" si="13"/>
        <v/>
      </c>
      <c r="BH50" s="106" t="str">
        <f t="shared" si="14"/>
        <v/>
      </c>
      <c r="BI50" s="107" t="str">
        <f t="shared" si="15"/>
        <v/>
      </c>
      <c r="BJ50" s="116" t="str">
        <f>IF(BD50="","",VLOOKUP(BD50,DATAKET!$CN$3:$CO$12,2,FALSE))</f>
        <v/>
      </c>
      <c r="BK50" s="105" t="str">
        <f t="shared" si="16"/>
        <v/>
      </c>
    </row>
    <row r="51" spans="1:63">
      <c r="A51" s="107">
        <f>'DATA SISWA'!A51</f>
        <v>47</v>
      </c>
      <c r="B51" s="107">
        <f>'DATA SISWA'!B51</f>
        <v>0</v>
      </c>
      <c r="C51" s="116">
        <f>'DATA SISWA'!C51</f>
        <v>0</v>
      </c>
      <c r="D51" s="107">
        <f>'DATA SISWA'!D51</f>
        <v>0</v>
      </c>
      <c r="E51" s="107" t="str">
        <f>'DATA SISWA'!E51</f>
        <v>VII-J</v>
      </c>
      <c r="F51" s="91"/>
      <c r="G51" s="91"/>
      <c r="H51" s="91"/>
      <c r="I51" s="91"/>
      <c r="J51" s="309" t="str">
        <f t="shared" si="1"/>
        <v/>
      </c>
      <c r="K51" s="91"/>
      <c r="L51" s="91"/>
      <c r="M51" s="91"/>
      <c r="N51" s="91"/>
      <c r="O51" s="309" t="str">
        <f t="shared" si="2"/>
        <v/>
      </c>
      <c r="P51" s="91"/>
      <c r="Q51" s="91"/>
      <c r="R51" s="91"/>
      <c r="S51" s="91"/>
      <c r="T51" s="309" t="str">
        <f t="shared" si="3"/>
        <v/>
      </c>
      <c r="U51" s="91"/>
      <c r="V51" s="91"/>
      <c r="W51" s="91"/>
      <c r="X51" s="91"/>
      <c r="Y51" s="309" t="str">
        <f t="shared" si="4"/>
        <v/>
      </c>
      <c r="Z51" s="91"/>
      <c r="AA51" s="91"/>
      <c r="AB51" s="91"/>
      <c r="AC51" s="91"/>
      <c r="AD51" s="309" t="str">
        <f t="shared" si="5"/>
        <v/>
      </c>
      <c r="AE51" s="91"/>
      <c r="AF51" s="91"/>
      <c r="AG51" s="91"/>
      <c r="AH51" s="91"/>
      <c r="AI51" s="309" t="str">
        <f t="shared" si="6"/>
        <v/>
      </c>
      <c r="AJ51" s="91"/>
      <c r="AK51" s="91"/>
      <c r="AL51" s="91"/>
      <c r="AM51" s="91"/>
      <c r="AN51" s="309" t="str">
        <f t="shared" si="7"/>
        <v/>
      </c>
      <c r="AO51" s="91"/>
      <c r="AP51" s="91"/>
      <c r="AQ51" s="91"/>
      <c r="AR51" s="91"/>
      <c r="AS51" s="309" t="str">
        <f t="shared" si="8"/>
        <v/>
      </c>
      <c r="AT51" s="91"/>
      <c r="AU51" s="91"/>
      <c r="AV51" s="91"/>
      <c r="AW51" s="91"/>
      <c r="AX51" s="309" t="str">
        <f t="shared" si="9"/>
        <v/>
      </c>
      <c r="AY51" s="91"/>
      <c r="AZ51" s="91"/>
      <c r="BA51" s="91"/>
      <c r="BB51" s="91"/>
      <c r="BC51" s="309" t="str">
        <f t="shared" si="10"/>
        <v/>
      </c>
      <c r="BD51" s="310" t="str">
        <f t="shared" si="11"/>
        <v/>
      </c>
      <c r="BE51" s="311" t="str">
        <f t="shared" si="0"/>
        <v/>
      </c>
      <c r="BF51" s="312" t="str">
        <f t="shared" si="12"/>
        <v/>
      </c>
      <c r="BG51" s="313" t="str">
        <f t="shared" si="13"/>
        <v/>
      </c>
      <c r="BH51" s="106" t="str">
        <f t="shared" si="14"/>
        <v/>
      </c>
      <c r="BI51" s="107" t="str">
        <f t="shared" si="15"/>
        <v/>
      </c>
      <c r="BJ51" s="116" t="str">
        <f>IF(BD51="","",VLOOKUP(BD51,DATAKET!$CP$3:$CQ$12,2,FALSE))</f>
        <v/>
      </c>
      <c r="BK51" s="105" t="str">
        <f t="shared" si="16"/>
        <v/>
      </c>
    </row>
    <row r="52" spans="1:63">
      <c r="A52" s="107">
        <f>'DATA SISWA'!A52</f>
        <v>48</v>
      </c>
      <c r="B52" s="107">
        <f>'DATA SISWA'!B52</f>
        <v>0</v>
      </c>
      <c r="C52" s="116">
        <f>'DATA SISWA'!C52</f>
        <v>0</v>
      </c>
      <c r="D52" s="107">
        <f>'DATA SISWA'!D52</f>
        <v>0</v>
      </c>
      <c r="E52" s="107" t="str">
        <f>'DATA SISWA'!E52</f>
        <v>VII-J</v>
      </c>
      <c r="F52" s="91"/>
      <c r="G52" s="91"/>
      <c r="H52" s="91"/>
      <c r="I52" s="91"/>
      <c r="J52" s="309" t="str">
        <f t="shared" si="1"/>
        <v/>
      </c>
      <c r="K52" s="91"/>
      <c r="L52" s="91"/>
      <c r="M52" s="91"/>
      <c r="N52" s="91"/>
      <c r="O52" s="309" t="str">
        <f t="shared" si="2"/>
        <v/>
      </c>
      <c r="P52" s="91"/>
      <c r="Q52" s="91"/>
      <c r="R52" s="91"/>
      <c r="S52" s="91"/>
      <c r="T52" s="309" t="str">
        <f t="shared" si="3"/>
        <v/>
      </c>
      <c r="U52" s="91"/>
      <c r="V52" s="91"/>
      <c r="W52" s="91"/>
      <c r="X52" s="91"/>
      <c r="Y52" s="309" t="str">
        <f t="shared" si="4"/>
        <v/>
      </c>
      <c r="Z52" s="91"/>
      <c r="AA52" s="91"/>
      <c r="AB52" s="91"/>
      <c r="AC52" s="91"/>
      <c r="AD52" s="309" t="str">
        <f t="shared" si="5"/>
        <v/>
      </c>
      <c r="AE52" s="91"/>
      <c r="AF52" s="91"/>
      <c r="AG52" s="91"/>
      <c r="AH52" s="91"/>
      <c r="AI52" s="309" t="str">
        <f t="shared" si="6"/>
        <v/>
      </c>
      <c r="AJ52" s="91"/>
      <c r="AK52" s="91"/>
      <c r="AL52" s="91"/>
      <c r="AM52" s="91"/>
      <c r="AN52" s="309" t="str">
        <f t="shared" si="7"/>
        <v/>
      </c>
      <c r="AO52" s="91"/>
      <c r="AP52" s="91"/>
      <c r="AQ52" s="91"/>
      <c r="AR52" s="91"/>
      <c r="AS52" s="309" t="str">
        <f t="shared" si="8"/>
        <v/>
      </c>
      <c r="AT52" s="91"/>
      <c r="AU52" s="91"/>
      <c r="AV52" s="91"/>
      <c r="AW52" s="91"/>
      <c r="AX52" s="309" t="str">
        <f t="shared" si="9"/>
        <v/>
      </c>
      <c r="AY52" s="91"/>
      <c r="AZ52" s="91"/>
      <c r="BA52" s="91"/>
      <c r="BB52" s="91"/>
      <c r="BC52" s="309" t="str">
        <f t="shared" si="10"/>
        <v/>
      </c>
      <c r="BD52" s="310" t="str">
        <f t="shared" si="11"/>
        <v/>
      </c>
      <c r="BE52" s="311" t="str">
        <f t="shared" si="0"/>
        <v/>
      </c>
      <c r="BF52" s="312" t="str">
        <f t="shared" si="12"/>
        <v/>
      </c>
      <c r="BG52" s="313" t="str">
        <f t="shared" si="13"/>
        <v/>
      </c>
      <c r="BH52" s="106" t="str">
        <f t="shared" si="14"/>
        <v/>
      </c>
      <c r="BI52" s="107" t="str">
        <f t="shared" si="15"/>
        <v/>
      </c>
      <c r="BJ52" s="116" t="str">
        <f>IF(BD52="","",VLOOKUP(BD52,DATAKET!$CR$3:$CS$12,2,FALSE))</f>
        <v/>
      </c>
      <c r="BK52" s="105" t="str">
        <f t="shared" si="16"/>
        <v/>
      </c>
    </row>
  </sheetData>
  <sheetProtection password="CD5A" sheet="1" objects="1" scenarios="1" formatCells="0" formatColumns="0" formatRows="0" insertColumns="0" insertRows="0" insertHyperlinks="0" deleteColumns="0" deleteRows="0"/>
  <dataConsolidate/>
  <mergeCells count="42">
    <mergeCell ref="BE1:BE3"/>
    <mergeCell ref="BD1:BD3"/>
    <mergeCell ref="AY1:BB1"/>
    <mergeCell ref="BC1:BC3"/>
    <mergeCell ref="AY2:BB2"/>
    <mergeCell ref="BJ1:BJ3"/>
    <mergeCell ref="BK1:BK3"/>
    <mergeCell ref="BF1:BF3"/>
    <mergeCell ref="BG1:BG3"/>
    <mergeCell ref="BI1:BI3"/>
    <mergeCell ref="F1:I1"/>
    <mergeCell ref="J1:J3"/>
    <mergeCell ref="K1:N1"/>
    <mergeCell ref="Z1:AC1"/>
    <mergeCell ref="AD1:AD3"/>
    <mergeCell ref="F2:I2"/>
    <mergeCell ref="K2:N2"/>
    <mergeCell ref="P2:S2"/>
    <mergeCell ref="U2:X2"/>
    <mergeCell ref="Z2:AC2"/>
    <mergeCell ref="O1:O3"/>
    <mergeCell ref="P1:S1"/>
    <mergeCell ref="T1:T3"/>
    <mergeCell ref="U1:X1"/>
    <mergeCell ref="Y1:Y3"/>
    <mergeCell ref="A1:A3"/>
    <mergeCell ref="B1:B3"/>
    <mergeCell ref="C1:C3"/>
    <mergeCell ref="D1:D3"/>
    <mergeCell ref="E1:E3"/>
    <mergeCell ref="AI1:AI3"/>
    <mergeCell ref="AE2:AH2"/>
    <mergeCell ref="AE1:AH1"/>
    <mergeCell ref="AJ2:AM2"/>
    <mergeCell ref="AO2:AR2"/>
    <mergeCell ref="AT1:AW1"/>
    <mergeCell ref="AX1:AX3"/>
    <mergeCell ref="AT2:AW2"/>
    <mergeCell ref="AJ1:AM1"/>
    <mergeCell ref="AN1:AN3"/>
    <mergeCell ref="AO1:AR1"/>
    <mergeCell ref="AS1:AS3"/>
  </mergeCells>
  <dataValidations count="3">
    <dataValidation type="decimal" operator="lessThan" allowBlank="1" showInputMessage="1" showErrorMessage="1" errorTitle="KESALAHAN" error="NILAINYA KELIWAT 100... NGGAK BOLEH DONG" sqref="BE5:BE52">
      <formula1>100</formula1>
    </dataValidation>
    <dataValidation type="decimal" allowBlank="1" showInputMessage="1" showErrorMessage="1" sqref="F5:I52 K5:N52 P5:S52 U5:X52 Z5:AC52 AE5:AH52 AJ5:AM52 AO5:AR52 AT5:AW52 AY5:BB52">
      <formula1>0</formula1>
      <formula2>100</formula2>
    </dataValidation>
    <dataValidation type="whole" allowBlank="1" showInputMessage="1" showErrorMessage="1" sqref="AX5:AX52 J5:J52 O5:O52 T5:T52 Y5:Y52 AD5:AD52 AI5:AI52 AN5:AN52 AS5:AS52 BC5:BC52">
      <formula1>0</formula1>
      <formula2>100</formula2>
    </dataValidation>
  </dataValidations>
  <pageMargins left="0.7" right="0.7" top="0.75" bottom="0.75" header="0.3" footer="0.3"/>
  <pageSetup paperSize="9" orientation="portrait" horizontalDpi="120" verticalDpi="72" r:id="rId1"/>
  <drawing r:id="rId2"/>
  <legacyDrawing r:id="rId3"/>
</worksheet>
</file>

<file path=xl/worksheets/sheet14.xml><?xml version="1.0" encoding="utf-8"?>
<worksheet xmlns="http://schemas.openxmlformats.org/spreadsheetml/2006/main" xmlns:r="http://schemas.openxmlformats.org/officeDocument/2006/relationships">
  <sheetPr codeName="Sheet27"/>
  <dimension ref="A1:CS27"/>
  <sheetViews>
    <sheetView workbookViewId="0">
      <selection activeCell="K9" sqref="A1:XFD1048576"/>
    </sheetView>
  </sheetViews>
  <sheetFormatPr defaultRowHeight="15"/>
  <cols>
    <col min="1" max="2" width="9.140625" style="42"/>
    <col min="3" max="3" width="13.85546875" style="42" customWidth="1"/>
    <col min="4" max="16384" width="9.140625" style="42"/>
  </cols>
  <sheetData>
    <row r="1" spans="1:97">
      <c r="A1" s="72"/>
      <c r="B1" s="592" t="s">
        <v>331</v>
      </c>
      <c r="C1" s="592"/>
      <c r="D1" s="592" t="s">
        <v>356</v>
      </c>
      <c r="E1" s="592"/>
      <c r="F1" s="592" t="s">
        <v>357</v>
      </c>
      <c r="G1" s="592"/>
      <c r="H1" s="592" t="s">
        <v>358</v>
      </c>
      <c r="I1" s="592"/>
      <c r="J1" s="592" t="s">
        <v>359</v>
      </c>
      <c r="K1" s="592"/>
      <c r="L1" s="592" t="s">
        <v>360</v>
      </c>
      <c r="M1" s="592"/>
      <c r="N1" s="592" t="s">
        <v>361</v>
      </c>
      <c r="O1" s="592"/>
      <c r="P1" s="592" t="s">
        <v>362</v>
      </c>
      <c r="Q1" s="592"/>
      <c r="R1" s="592" t="s">
        <v>363</v>
      </c>
      <c r="S1" s="592"/>
      <c r="T1" s="592" t="s">
        <v>364</v>
      </c>
      <c r="U1" s="592"/>
      <c r="V1" s="592" t="s">
        <v>365</v>
      </c>
      <c r="W1" s="592"/>
      <c r="X1" s="592" t="s">
        <v>366</v>
      </c>
      <c r="Y1" s="592"/>
      <c r="Z1" s="592" t="s">
        <v>367</v>
      </c>
      <c r="AA1" s="592"/>
      <c r="AB1" s="592" t="s">
        <v>368</v>
      </c>
      <c r="AC1" s="592"/>
      <c r="AD1" s="592" t="s">
        <v>369</v>
      </c>
      <c r="AE1" s="592"/>
      <c r="AF1" s="592" t="s">
        <v>370</v>
      </c>
      <c r="AG1" s="592"/>
      <c r="AH1" s="592" t="s">
        <v>371</v>
      </c>
      <c r="AI1" s="592"/>
      <c r="AJ1" s="592" t="s">
        <v>372</v>
      </c>
      <c r="AK1" s="592"/>
      <c r="AL1" s="592" t="s">
        <v>373</v>
      </c>
      <c r="AM1" s="592"/>
      <c r="AN1" s="592" t="s">
        <v>374</v>
      </c>
      <c r="AO1" s="592"/>
      <c r="AP1" s="592" t="s">
        <v>375</v>
      </c>
      <c r="AQ1" s="592"/>
      <c r="AR1" s="592" t="s">
        <v>376</v>
      </c>
      <c r="AS1" s="592"/>
      <c r="AT1" s="592" t="s">
        <v>377</v>
      </c>
      <c r="AU1" s="592"/>
      <c r="AV1" s="592" t="s">
        <v>378</v>
      </c>
      <c r="AW1" s="592"/>
      <c r="AX1" s="593" t="s">
        <v>379</v>
      </c>
      <c r="AY1" s="593"/>
      <c r="AZ1" s="593" t="s">
        <v>380</v>
      </c>
      <c r="BA1" s="593"/>
      <c r="BB1" s="593" t="s">
        <v>381</v>
      </c>
      <c r="BC1" s="593"/>
      <c r="BD1" s="593" t="s">
        <v>382</v>
      </c>
      <c r="BE1" s="593"/>
      <c r="BF1" s="593" t="s">
        <v>383</v>
      </c>
      <c r="BG1" s="593"/>
      <c r="BH1" s="593" t="s">
        <v>384</v>
      </c>
      <c r="BI1" s="593"/>
      <c r="BJ1" s="593" t="s">
        <v>385</v>
      </c>
      <c r="BK1" s="593"/>
      <c r="BL1" s="593" t="s">
        <v>386</v>
      </c>
      <c r="BM1" s="593"/>
      <c r="BN1" s="593" t="s">
        <v>387</v>
      </c>
      <c r="BO1" s="593"/>
      <c r="BP1" s="593" t="s">
        <v>388</v>
      </c>
      <c r="BQ1" s="593"/>
      <c r="BR1" s="593" t="s">
        <v>389</v>
      </c>
      <c r="BS1" s="593"/>
      <c r="BT1" s="593" t="s">
        <v>390</v>
      </c>
      <c r="BU1" s="593"/>
      <c r="BV1" s="593" t="s">
        <v>391</v>
      </c>
      <c r="BW1" s="593"/>
      <c r="BX1" s="593" t="s">
        <v>392</v>
      </c>
      <c r="BY1" s="593"/>
      <c r="BZ1" s="593" t="s">
        <v>393</v>
      </c>
      <c r="CA1" s="593"/>
      <c r="CB1" s="593" t="s">
        <v>394</v>
      </c>
      <c r="CC1" s="593"/>
      <c r="CD1" s="593" t="s">
        <v>395</v>
      </c>
      <c r="CE1" s="593"/>
      <c r="CF1" s="593" t="s">
        <v>396</v>
      </c>
      <c r="CG1" s="593"/>
      <c r="CH1" s="593" t="s">
        <v>397</v>
      </c>
      <c r="CI1" s="593"/>
      <c r="CJ1" s="593" t="s">
        <v>398</v>
      </c>
      <c r="CK1" s="593"/>
      <c r="CL1" s="593" t="s">
        <v>399</v>
      </c>
      <c r="CM1" s="593"/>
      <c r="CN1" s="593" t="s">
        <v>400</v>
      </c>
      <c r="CO1" s="593"/>
      <c r="CP1" s="593" t="s">
        <v>401</v>
      </c>
      <c r="CQ1" s="593"/>
      <c r="CR1" s="593" t="s">
        <v>402</v>
      </c>
      <c r="CS1" s="593"/>
    </row>
    <row r="2" spans="1:97">
      <c r="A2" s="72" t="s">
        <v>296</v>
      </c>
      <c r="B2" s="72" t="s">
        <v>298</v>
      </c>
      <c r="C2" s="72" t="s">
        <v>221</v>
      </c>
      <c r="D2" s="72" t="s">
        <v>298</v>
      </c>
      <c r="E2" s="72" t="s">
        <v>221</v>
      </c>
      <c r="F2" s="72" t="s">
        <v>298</v>
      </c>
      <c r="G2" s="72" t="s">
        <v>221</v>
      </c>
      <c r="H2" s="72" t="s">
        <v>298</v>
      </c>
      <c r="I2" s="72" t="s">
        <v>221</v>
      </c>
      <c r="J2" s="72" t="s">
        <v>298</v>
      </c>
      <c r="K2" s="72" t="s">
        <v>221</v>
      </c>
      <c r="L2" s="72" t="s">
        <v>298</v>
      </c>
      <c r="M2" s="72" t="s">
        <v>221</v>
      </c>
      <c r="N2" s="72" t="s">
        <v>298</v>
      </c>
      <c r="O2" s="72" t="s">
        <v>221</v>
      </c>
      <c r="P2" s="72" t="s">
        <v>298</v>
      </c>
      <c r="Q2" s="72" t="s">
        <v>221</v>
      </c>
      <c r="R2" s="72" t="s">
        <v>298</v>
      </c>
      <c r="S2" s="72" t="s">
        <v>221</v>
      </c>
      <c r="T2" s="72" t="s">
        <v>298</v>
      </c>
      <c r="U2" s="72" t="s">
        <v>221</v>
      </c>
      <c r="V2" s="72" t="s">
        <v>298</v>
      </c>
      <c r="W2" s="72" t="s">
        <v>221</v>
      </c>
      <c r="X2" s="72" t="s">
        <v>298</v>
      </c>
      <c r="Y2" s="72" t="s">
        <v>221</v>
      </c>
      <c r="Z2" s="72" t="s">
        <v>298</v>
      </c>
      <c r="AA2" s="72" t="s">
        <v>221</v>
      </c>
      <c r="AB2" s="72" t="s">
        <v>298</v>
      </c>
      <c r="AC2" s="72" t="s">
        <v>221</v>
      </c>
      <c r="AD2" s="72" t="s">
        <v>298</v>
      </c>
      <c r="AE2" s="72" t="s">
        <v>221</v>
      </c>
      <c r="AF2" s="72" t="s">
        <v>298</v>
      </c>
      <c r="AG2" s="72" t="s">
        <v>221</v>
      </c>
      <c r="AH2" s="72" t="s">
        <v>298</v>
      </c>
      <c r="AI2" s="72" t="s">
        <v>221</v>
      </c>
      <c r="AJ2" s="72" t="s">
        <v>298</v>
      </c>
      <c r="AK2" s="72" t="s">
        <v>221</v>
      </c>
      <c r="AL2" s="72" t="s">
        <v>298</v>
      </c>
      <c r="AM2" s="72" t="s">
        <v>221</v>
      </c>
      <c r="AN2" s="72" t="s">
        <v>298</v>
      </c>
      <c r="AO2" s="72" t="s">
        <v>221</v>
      </c>
      <c r="AP2" s="72" t="s">
        <v>298</v>
      </c>
      <c r="AQ2" s="72" t="s">
        <v>221</v>
      </c>
      <c r="AR2" s="72" t="s">
        <v>298</v>
      </c>
      <c r="AS2" s="72" t="s">
        <v>221</v>
      </c>
      <c r="AT2" s="72" t="s">
        <v>298</v>
      </c>
      <c r="AU2" s="72" t="s">
        <v>221</v>
      </c>
      <c r="AV2" s="72" t="s">
        <v>298</v>
      </c>
      <c r="AW2" s="72" t="s">
        <v>221</v>
      </c>
      <c r="AX2" s="72" t="s">
        <v>298</v>
      </c>
      <c r="AY2" s="72" t="s">
        <v>221</v>
      </c>
      <c r="AZ2" s="72" t="s">
        <v>298</v>
      </c>
      <c r="BA2" s="72" t="s">
        <v>221</v>
      </c>
      <c r="BB2" s="72" t="s">
        <v>298</v>
      </c>
      <c r="BC2" s="72" t="s">
        <v>221</v>
      </c>
      <c r="BD2" s="72" t="s">
        <v>298</v>
      </c>
      <c r="BE2" s="72" t="s">
        <v>221</v>
      </c>
      <c r="BF2" s="72" t="s">
        <v>298</v>
      </c>
      <c r="BG2" s="72" t="s">
        <v>221</v>
      </c>
      <c r="BH2" s="72" t="s">
        <v>298</v>
      </c>
      <c r="BI2" s="72" t="s">
        <v>221</v>
      </c>
      <c r="BJ2" s="72" t="s">
        <v>298</v>
      </c>
      <c r="BK2" s="72" t="s">
        <v>221</v>
      </c>
      <c r="BL2" s="72" t="s">
        <v>298</v>
      </c>
      <c r="BM2" s="72" t="s">
        <v>221</v>
      </c>
      <c r="BN2" s="72" t="s">
        <v>298</v>
      </c>
      <c r="BO2" s="72" t="s">
        <v>221</v>
      </c>
      <c r="BP2" s="72" t="s">
        <v>298</v>
      </c>
      <c r="BQ2" s="72" t="s">
        <v>221</v>
      </c>
      <c r="BR2" s="72" t="s">
        <v>298</v>
      </c>
      <c r="BS2" s="72" t="s">
        <v>221</v>
      </c>
      <c r="BT2" s="72" t="s">
        <v>298</v>
      </c>
      <c r="BU2" s="72" t="s">
        <v>221</v>
      </c>
      <c r="BV2" s="72" t="s">
        <v>298</v>
      </c>
      <c r="BW2" s="72" t="s">
        <v>221</v>
      </c>
      <c r="BX2" s="72" t="s">
        <v>298</v>
      </c>
      <c r="BY2" s="72" t="s">
        <v>221</v>
      </c>
      <c r="BZ2" s="72" t="s">
        <v>298</v>
      </c>
      <c r="CA2" s="72" t="s">
        <v>221</v>
      </c>
      <c r="CB2" s="72" t="s">
        <v>298</v>
      </c>
      <c r="CC2" s="72" t="s">
        <v>221</v>
      </c>
      <c r="CD2" s="72" t="s">
        <v>298</v>
      </c>
      <c r="CE2" s="72" t="s">
        <v>221</v>
      </c>
      <c r="CF2" s="72" t="s">
        <v>298</v>
      </c>
      <c r="CG2" s="72" t="s">
        <v>221</v>
      </c>
      <c r="CH2" s="72" t="s">
        <v>298</v>
      </c>
      <c r="CI2" s="72" t="s">
        <v>221</v>
      </c>
      <c r="CJ2" s="72" t="s">
        <v>298</v>
      </c>
      <c r="CK2" s="72" t="s">
        <v>221</v>
      </c>
      <c r="CL2" s="72" t="s">
        <v>298</v>
      </c>
      <c r="CM2" s="72" t="s">
        <v>221</v>
      </c>
      <c r="CN2" s="72" t="s">
        <v>298</v>
      </c>
      <c r="CO2" s="72" t="s">
        <v>221</v>
      </c>
      <c r="CP2" s="72" t="s">
        <v>298</v>
      </c>
      <c r="CQ2" s="72" t="s">
        <v>221</v>
      </c>
      <c r="CR2" s="72" t="s">
        <v>298</v>
      </c>
      <c r="CS2" s="72" t="s">
        <v>221</v>
      </c>
    </row>
    <row r="3" spans="1:97">
      <c r="A3" s="72">
        <v>1</v>
      </c>
      <c r="B3" s="90">
        <f>IF('Input Nilai Ketrampilan'!J5="","",'Input Nilai Ketrampilan'!J5)</f>
        <v>78</v>
      </c>
      <c r="C3" s="90" t="str">
        <f>IF(B3="","",IF('Input Nilai Ketrampilan'!$F$1="","",'Input Nilai Ketrampilan'!$F$1))</f>
        <v>Menyimpulkan isi puisi rakyat (pantun, syair, dan bentuk puisi rakyat setempat) yang disajikan dalam bentuk tulis dan lisan</v>
      </c>
      <c r="D3" s="90" t="str">
        <f>IF('Input Nilai Ketrampilan'!J6="","",'Input Nilai Ketrampilan'!J6)</f>
        <v/>
      </c>
      <c r="E3" s="90" t="str">
        <f>IF(D3="","",IF('Input Nilai Ketrampilan'!$F$1="","",'Input Nilai Ketrampilan'!$F$1))</f>
        <v/>
      </c>
      <c r="F3" s="90">
        <f>IF('Input Nilai Ketrampilan'!J7="","",'Input Nilai Ketrampilan'!J7)</f>
        <v>79</v>
      </c>
      <c r="G3" s="90" t="str">
        <f>IF(F3="","",IF('Input Nilai Ketrampilan'!$F$1="","",'Input Nilai Ketrampilan'!$F$1))</f>
        <v>Menyimpulkan isi puisi rakyat (pantun, syair, dan bentuk puisi rakyat setempat) yang disajikan dalam bentuk tulis dan lisan</v>
      </c>
      <c r="H3" s="90">
        <f>IF('Input Nilai Ketrampilan'!J8="","",'Input Nilai Ketrampilan'!J8)</f>
        <v>78</v>
      </c>
      <c r="I3" s="90" t="str">
        <f>IF(H3="","",IF('Input Nilai Ketrampilan'!$F$1="","",'Input Nilai Ketrampilan'!$F$1))</f>
        <v>Menyimpulkan isi puisi rakyat (pantun, syair, dan bentuk puisi rakyat setempat) yang disajikan dalam bentuk tulis dan lisan</v>
      </c>
      <c r="J3" s="90">
        <f>IF('Input Nilai Ketrampilan'!J9="","",'Input Nilai Ketrampilan'!J9)</f>
        <v>79</v>
      </c>
      <c r="K3" s="90" t="str">
        <f>IF(J3="","",IF('Input Nilai Ketrampilan'!$F$1="","",'Input Nilai Ketrampilan'!$F$1))</f>
        <v>Menyimpulkan isi puisi rakyat (pantun, syair, dan bentuk puisi rakyat setempat) yang disajikan dalam bentuk tulis dan lisan</v>
      </c>
      <c r="L3" s="90">
        <f>IF('Input Nilai Ketrampilan'!J10="","",'Input Nilai Ketrampilan'!J10)</f>
        <v>80</v>
      </c>
      <c r="M3" s="90" t="str">
        <f>IF(L3="","",IF('Input Nilai Ketrampilan'!$F$1="","",'Input Nilai Ketrampilan'!$F$1))</f>
        <v>Menyimpulkan isi puisi rakyat (pantun, syair, dan bentuk puisi rakyat setempat) yang disajikan dalam bentuk tulis dan lisan</v>
      </c>
      <c r="N3" s="90">
        <f>IF('Input Nilai Ketrampilan'!J11="","",'Input Nilai Ketrampilan'!J11)</f>
        <v>80</v>
      </c>
      <c r="O3" s="90" t="str">
        <f>IF(N3="","",IF('Input Nilai Ketrampilan'!$F$1="","",'Input Nilai Ketrampilan'!$F$1))</f>
        <v>Menyimpulkan isi puisi rakyat (pantun, syair, dan bentuk puisi rakyat setempat) yang disajikan dalam bentuk tulis dan lisan</v>
      </c>
      <c r="P3" s="90">
        <f>IF('Input Nilai Ketrampilan'!J12="","",'Input Nilai Ketrampilan'!J12)</f>
        <v>79</v>
      </c>
      <c r="Q3" s="90" t="str">
        <f>IF(P3="","",IF('Input Nilai Ketrampilan'!$F$1="","",'Input Nilai Ketrampilan'!$F$1))</f>
        <v>Menyimpulkan isi puisi rakyat (pantun, syair, dan bentuk puisi rakyat setempat) yang disajikan dalam bentuk tulis dan lisan</v>
      </c>
      <c r="R3" s="90">
        <f>IF('Input Nilai Ketrampilan'!J13="","",'Input Nilai Ketrampilan'!J13)</f>
        <v>78</v>
      </c>
      <c r="S3" s="90" t="str">
        <f>IF(R3="","",IF('Input Nilai Ketrampilan'!$F$1="","",'Input Nilai Ketrampilan'!$F$1))</f>
        <v>Menyimpulkan isi puisi rakyat (pantun, syair, dan bentuk puisi rakyat setempat) yang disajikan dalam bentuk tulis dan lisan</v>
      </c>
      <c r="T3" s="90">
        <f>IF('Input Nilai Ketrampilan'!J14="","",'Input Nilai Ketrampilan'!J14)</f>
        <v>79</v>
      </c>
      <c r="U3" s="90" t="str">
        <f>IF(T3="","",IF('Input Nilai Ketrampilan'!$F$1="","",'Input Nilai Ketrampilan'!$F$1))</f>
        <v>Menyimpulkan isi puisi rakyat (pantun, syair, dan bentuk puisi rakyat setempat) yang disajikan dalam bentuk tulis dan lisan</v>
      </c>
      <c r="V3" s="90">
        <f>IF('Input Nilai Ketrampilan'!J15="","",'Input Nilai Ketrampilan'!J15)</f>
        <v>80</v>
      </c>
      <c r="W3" s="90" t="str">
        <f>IF(V3="","",IF('Input Nilai Ketrampilan'!$F$1="","",'Input Nilai Ketrampilan'!$F$1))</f>
        <v>Menyimpulkan isi puisi rakyat (pantun, syair, dan bentuk puisi rakyat setempat) yang disajikan dalam bentuk tulis dan lisan</v>
      </c>
      <c r="X3" s="90">
        <f>IF('Input Nilai Ketrampilan'!J16="","",'Input Nilai Ketrampilan'!J16)</f>
        <v>80</v>
      </c>
      <c r="Y3" s="90" t="str">
        <f>IF(X3="","",IF('Input Nilai Ketrampilan'!$F$1="","",'Input Nilai Ketrampilan'!$F$1))</f>
        <v>Menyimpulkan isi puisi rakyat (pantun, syair, dan bentuk puisi rakyat setempat) yang disajikan dalam bentuk tulis dan lisan</v>
      </c>
      <c r="Z3" s="90">
        <f>IF('Input Nilai Ketrampilan'!J17="","",'Input Nilai Ketrampilan'!J17)</f>
        <v>79</v>
      </c>
      <c r="AA3" s="90" t="str">
        <f>IF(Z3="","",IF('Input Nilai Ketrampilan'!$F$1="","",'Input Nilai Ketrampilan'!$F$1))</f>
        <v>Menyimpulkan isi puisi rakyat (pantun, syair, dan bentuk puisi rakyat setempat) yang disajikan dalam bentuk tulis dan lisan</v>
      </c>
      <c r="AB3" s="90">
        <f>IF('Input Nilai Ketrampilan'!J18="","",'Input Nilai Ketrampilan'!J18)</f>
        <v>78</v>
      </c>
      <c r="AC3" s="90" t="str">
        <f>IF(AB3="","",IF('Input Nilai Ketrampilan'!$F$1="","",'Input Nilai Ketrampilan'!$F$1))</f>
        <v>Menyimpulkan isi puisi rakyat (pantun, syair, dan bentuk puisi rakyat setempat) yang disajikan dalam bentuk tulis dan lisan</v>
      </c>
      <c r="AD3" s="90">
        <f>IF('Input Nilai Ketrampilan'!J19="","",'Input Nilai Ketrampilan'!J19)</f>
        <v>79</v>
      </c>
      <c r="AE3" s="90" t="str">
        <f>IF(AD3="","",IF('Input Nilai Ketrampilan'!$F$1="","",'Input Nilai Ketrampilan'!$F$1))</f>
        <v>Menyimpulkan isi puisi rakyat (pantun, syair, dan bentuk puisi rakyat setempat) yang disajikan dalam bentuk tulis dan lisan</v>
      </c>
      <c r="AF3" s="90">
        <f>IF('Input Nilai Ketrampilan'!J20="","",'Input Nilai Ketrampilan'!J20)</f>
        <v>80</v>
      </c>
      <c r="AG3" s="90" t="str">
        <f>IF(AF3="","",IF('Input Nilai Ketrampilan'!$F$1="","",'Input Nilai Ketrampilan'!$F$1))</f>
        <v>Menyimpulkan isi puisi rakyat (pantun, syair, dan bentuk puisi rakyat setempat) yang disajikan dalam bentuk tulis dan lisan</v>
      </c>
      <c r="AH3" s="90">
        <f>IF('Input Nilai Ketrampilan'!J21="","",'Input Nilai Ketrampilan'!J21)</f>
        <v>80</v>
      </c>
      <c r="AI3" s="90" t="str">
        <f>IF(AH3="","",IF('Input Nilai Ketrampilan'!$F$1="","",'Input Nilai Ketrampilan'!$F$1))</f>
        <v>Menyimpulkan isi puisi rakyat (pantun, syair, dan bentuk puisi rakyat setempat) yang disajikan dalam bentuk tulis dan lisan</v>
      </c>
      <c r="AJ3" s="90">
        <f>IF('Input Nilai Ketrampilan'!J22="","",'Input Nilai Ketrampilan'!J22)</f>
        <v>79</v>
      </c>
      <c r="AK3" s="90" t="str">
        <f>IF(AJ3="","",IF('Input Nilai Ketrampilan'!$F$1="","",'Input Nilai Ketrampilan'!$F$1))</f>
        <v>Menyimpulkan isi puisi rakyat (pantun, syair, dan bentuk puisi rakyat setempat) yang disajikan dalam bentuk tulis dan lisan</v>
      </c>
      <c r="AL3" s="90">
        <f>IF('Input Nilai Ketrampilan'!J23="","",'Input Nilai Ketrampilan'!J23)</f>
        <v>78</v>
      </c>
      <c r="AM3" s="90" t="str">
        <f>IF(AL3="","",IF('Input Nilai Ketrampilan'!$F$1="","",'Input Nilai Ketrampilan'!$F$1))</f>
        <v>Menyimpulkan isi puisi rakyat (pantun, syair, dan bentuk puisi rakyat setempat) yang disajikan dalam bentuk tulis dan lisan</v>
      </c>
      <c r="AN3" s="90">
        <f>IF('Input Nilai Ketrampilan'!J24="","",'Input Nilai Ketrampilan'!J24)</f>
        <v>79</v>
      </c>
      <c r="AO3" s="90" t="str">
        <f>IF(AN3="","",IF('Input Nilai Ketrampilan'!$F$1="","",'Input Nilai Ketrampilan'!$F$1))</f>
        <v>Menyimpulkan isi puisi rakyat (pantun, syair, dan bentuk puisi rakyat setempat) yang disajikan dalam bentuk tulis dan lisan</v>
      </c>
      <c r="AP3" s="90">
        <f>IF('Input Nilai Ketrampilan'!J25="","",'Input Nilai Ketrampilan'!J25)</f>
        <v>80</v>
      </c>
      <c r="AQ3" s="90" t="str">
        <f>IF(AP3="","",IF('Input Nilai Ketrampilan'!$F$1="","",'Input Nilai Ketrampilan'!$F$1))</f>
        <v>Menyimpulkan isi puisi rakyat (pantun, syair, dan bentuk puisi rakyat setempat) yang disajikan dalam bentuk tulis dan lisan</v>
      </c>
      <c r="AR3" s="90">
        <f>IF('Input Nilai Ketrampilan'!J26="","",'Input Nilai Ketrampilan'!J26)</f>
        <v>80</v>
      </c>
      <c r="AS3" s="90" t="str">
        <f>IF(AR3="","",IF('Input Nilai Ketrampilan'!$F$1="","",'Input Nilai Ketrampilan'!$F$1))</f>
        <v>Menyimpulkan isi puisi rakyat (pantun, syair, dan bentuk puisi rakyat setempat) yang disajikan dalam bentuk tulis dan lisan</v>
      </c>
      <c r="AT3" s="90">
        <f>IF('Input Nilai Ketrampilan'!J27="","",'Input Nilai Ketrampilan'!J27)</f>
        <v>79</v>
      </c>
      <c r="AU3" s="90" t="str">
        <f>IF(AT3="","",IF('Input Nilai Ketrampilan'!$F$1="","",'Input Nilai Ketrampilan'!$F$1))</f>
        <v>Menyimpulkan isi puisi rakyat (pantun, syair, dan bentuk puisi rakyat setempat) yang disajikan dalam bentuk tulis dan lisan</v>
      </c>
      <c r="AV3" s="90">
        <f>IF('Input Nilai Ketrampilan'!J28="","",'Input Nilai Ketrampilan'!J28)</f>
        <v>78</v>
      </c>
      <c r="AW3" s="90" t="str">
        <f>IF(AV3="","",IF('Input Nilai Ketrampilan'!$F$1="","",'Input Nilai Ketrampilan'!$F$1))</f>
        <v>Menyimpulkan isi puisi rakyat (pantun, syair, dan bentuk puisi rakyat setempat) yang disajikan dalam bentuk tulis dan lisan</v>
      </c>
      <c r="AX3" s="90">
        <f>IF('Input Nilai Ketrampilan'!J29="","",'Input Nilai Ketrampilan'!J29)</f>
        <v>79</v>
      </c>
      <c r="AY3" s="90" t="str">
        <f>IF(AX3="","",IF('Input Nilai Ketrampilan'!$F$1="","",'Input Nilai Ketrampilan'!$F$1))</f>
        <v>Menyimpulkan isi puisi rakyat (pantun, syair, dan bentuk puisi rakyat setempat) yang disajikan dalam bentuk tulis dan lisan</v>
      </c>
      <c r="AZ3" s="90">
        <f>IF('Input Nilai Ketrampilan'!J30="","",'Input Nilai Ketrampilan'!J30)</f>
        <v>80</v>
      </c>
      <c r="BA3" s="90" t="str">
        <f>IF(AZ3="","",IF('Input Nilai Ketrampilan'!$F$1="","",'Input Nilai Ketrampilan'!$F$1))</f>
        <v>Menyimpulkan isi puisi rakyat (pantun, syair, dan bentuk puisi rakyat setempat) yang disajikan dalam bentuk tulis dan lisan</v>
      </c>
      <c r="BB3" s="90">
        <f>IF('Input Nilai Ketrampilan'!J31="","",'Input Nilai Ketrampilan'!J31)</f>
        <v>80</v>
      </c>
      <c r="BC3" s="90" t="str">
        <f>IF(BB3="","",IF('Input Nilai Ketrampilan'!$F$1="","",'Input Nilai Ketrampilan'!$F$1))</f>
        <v>Menyimpulkan isi puisi rakyat (pantun, syair, dan bentuk puisi rakyat setempat) yang disajikan dalam bentuk tulis dan lisan</v>
      </c>
      <c r="BD3" s="90">
        <f>IF('Input Nilai Ketrampilan'!J32="","",'Input Nilai Ketrampilan'!J32)</f>
        <v>79</v>
      </c>
      <c r="BE3" s="90" t="str">
        <f>IF(BD3="","",IF('Input Nilai Ketrampilan'!$F$1="","",'Input Nilai Ketrampilan'!$F$1))</f>
        <v>Menyimpulkan isi puisi rakyat (pantun, syair, dan bentuk puisi rakyat setempat) yang disajikan dalam bentuk tulis dan lisan</v>
      </c>
      <c r="BF3" s="90">
        <f>IF('Input Nilai Ketrampilan'!J33="","",'Input Nilai Ketrampilan'!J33)</f>
        <v>78</v>
      </c>
      <c r="BG3" s="90" t="str">
        <f>IF(BF3="","",IF('Input Nilai Ketrampilan'!$F$1="","",'Input Nilai Ketrampilan'!$F$1))</f>
        <v>Menyimpulkan isi puisi rakyat (pantun, syair, dan bentuk puisi rakyat setempat) yang disajikan dalam bentuk tulis dan lisan</v>
      </c>
      <c r="BH3" s="90">
        <f>IF('Input Nilai Ketrampilan'!J34="","",'Input Nilai Ketrampilan'!J34)</f>
        <v>79</v>
      </c>
      <c r="BI3" s="90" t="str">
        <f>IF(BH3="","",IF('Input Nilai Ketrampilan'!$F$1="","",'Input Nilai Ketrampilan'!$F$1))</f>
        <v>Menyimpulkan isi puisi rakyat (pantun, syair, dan bentuk puisi rakyat setempat) yang disajikan dalam bentuk tulis dan lisan</v>
      </c>
      <c r="BJ3" s="90">
        <f>IF('Input Nilai Ketrampilan'!J35="","",'Input Nilai Ketrampilan'!J35)</f>
        <v>80</v>
      </c>
      <c r="BK3" s="90" t="str">
        <f>IF(BJ3="","",IF('Input Nilai Ketrampilan'!$F$1="","",'Input Nilai Ketrampilan'!$F$1))</f>
        <v>Menyimpulkan isi puisi rakyat (pantun, syair, dan bentuk puisi rakyat setempat) yang disajikan dalam bentuk tulis dan lisan</v>
      </c>
      <c r="BL3" s="90">
        <f>IF('Input Nilai Ketrampilan'!J36="","",'Input Nilai Ketrampilan'!J36)</f>
        <v>80</v>
      </c>
      <c r="BM3" s="90" t="str">
        <f>IF(BL3="","",IF('Input Nilai Ketrampilan'!$F$1="","",'Input Nilai Ketrampilan'!$F$1))</f>
        <v>Menyimpulkan isi puisi rakyat (pantun, syair, dan bentuk puisi rakyat setempat) yang disajikan dalam bentuk tulis dan lisan</v>
      </c>
      <c r="BN3" s="90">
        <f>IF('Input Nilai Ketrampilan'!J37="","",'Input Nilai Ketrampilan'!J37)</f>
        <v>79</v>
      </c>
      <c r="BO3" s="90" t="str">
        <f>IF(BN3="","",IF('Input Nilai Ketrampilan'!$F$1="","",'Input Nilai Ketrampilan'!$F$1))</f>
        <v>Menyimpulkan isi puisi rakyat (pantun, syair, dan bentuk puisi rakyat setempat) yang disajikan dalam bentuk tulis dan lisan</v>
      </c>
      <c r="BP3" s="90">
        <f>IF('Input Nilai Ketrampilan'!J38="","",'Input Nilai Ketrampilan'!J38)</f>
        <v>78</v>
      </c>
      <c r="BQ3" s="90" t="str">
        <f>IF(BP3="","",IF('Input Nilai Ketrampilan'!$F$1="","",'Input Nilai Ketrampilan'!$F$1))</f>
        <v>Menyimpulkan isi puisi rakyat (pantun, syair, dan bentuk puisi rakyat setempat) yang disajikan dalam bentuk tulis dan lisan</v>
      </c>
      <c r="BR3" s="90">
        <f>IF('Input Nilai Ketrampilan'!J39="","",'Input Nilai Ketrampilan'!J39)</f>
        <v>79</v>
      </c>
      <c r="BS3" s="90" t="str">
        <f>IF(BR3="","",IF('Input Nilai Ketrampilan'!$F$1="","",'Input Nilai Ketrampilan'!$F$1))</f>
        <v>Menyimpulkan isi puisi rakyat (pantun, syair, dan bentuk puisi rakyat setempat) yang disajikan dalam bentuk tulis dan lisan</v>
      </c>
      <c r="BT3" s="90" t="str">
        <f>IF('Input Nilai Ketrampilan'!J40="","",'Input Nilai Ketrampilan'!J40)</f>
        <v/>
      </c>
      <c r="BU3" s="90" t="str">
        <f>IF(BT3="","",IF('Input Nilai Ketrampilan'!$F$1="","",'Input Nilai Ketrampilan'!$F$1))</f>
        <v/>
      </c>
      <c r="BV3" s="90" t="str">
        <f>IF('Input Nilai Ketrampilan'!J41="","",'Input Nilai Ketrampilan'!J41)</f>
        <v/>
      </c>
      <c r="BW3" s="90" t="str">
        <f>IF(BV3="","",IF('Input Nilai Ketrampilan'!$F$1="","",'Input Nilai Ketrampilan'!$F$1))</f>
        <v/>
      </c>
      <c r="BX3" s="90" t="str">
        <f>IF('Input Nilai Ketrampilan'!J42="","",'Input Nilai Ketrampilan'!J42)</f>
        <v/>
      </c>
      <c r="BY3" s="90" t="str">
        <f>IF(BX3="","",IF('Input Nilai Ketrampilan'!$F$1="","",'Input Nilai Ketrampilan'!$F$1))</f>
        <v/>
      </c>
      <c r="BZ3" s="90" t="str">
        <f>IF('Input Nilai Ketrampilan'!J43="","",'Input Nilai Ketrampilan'!J43)</f>
        <v/>
      </c>
      <c r="CA3" s="90" t="str">
        <f>IF(BZ3="","",IF('Input Nilai Ketrampilan'!$F$1="","",'Input Nilai Ketrampilan'!$F$1))</f>
        <v/>
      </c>
      <c r="CB3" s="90" t="str">
        <f>IF('Input Nilai Ketrampilan'!J44="","",'Input Nilai Ketrampilan'!J44)</f>
        <v/>
      </c>
      <c r="CC3" s="90" t="str">
        <f>IF(CB3="","",IF('Input Nilai Ketrampilan'!$F$1="","",'Input Nilai Ketrampilan'!$F$1))</f>
        <v/>
      </c>
      <c r="CD3" s="90" t="str">
        <f>IF('Input Nilai Ketrampilan'!J45="","",'Input Nilai Ketrampilan'!J45)</f>
        <v/>
      </c>
      <c r="CE3" s="90" t="str">
        <f>IF(CD3="","",IF('Input Nilai Ketrampilan'!$F$1="","",'Input Nilai Ketrampilan'!$F$1))</f>
        <v/>
      </c>
      <c r="CF3" s="90" t="str">
        <f>IF('Input Nilai Ketrampilan'!J46="","",'Input Nilai Ketrampilan'!J46)</f>
        <v/>
      </c>
      <c r="CG3" s="90" t="str">
        <f>IF(CF3="","",IF('Input Nilai Ketrampilan'!$F$1="","",'Input Nilai Ketrampilan'!$F$1))</f>
        <v/>
      </c>
      <c r="CH3" s="90" t="str">
        <f>IF('Input Nilai Ketrampilan'!J47="","",'Input Nilai Ketrampilan'!J47)</f>
        <v/>
      </c>
      <c r="CI3" s="90" t="str">
        <f>IF(CH3="","",IF('Input Nilai Ketrampilan'!$F$1="","",'Input Nilai Ketrampilan'!$F$1))</f>
        <v/>
      </c>
      <c r="CJ3" s="90" t="str">
        <f>IF('Input Nilai Ketrampilan'!J48="","",'Input Nilai Ketrampilan'!J48)</f>
        <v/>
      </c>
      <c r="CK3" s="90" t="str">
        <f>IF(CJ3="","",IF('Input Nilai Ketrampilan'!$F$1="","",'Input Nilai Ketrampilan'!$F$1))</f>
        <v/>
      </c>
      <c r="CL3" s="90" t="str">
        <f>IF('Input Nilai Ketrampilan'!J49="","",'Input Nilai Ketrampilan'!J49)</f>
        <v/>
      </c>
      <c r="CM3" s="90" t="str">
        <f>IF(CL3="","",IF('Input Nilai Ketrampilan'!$F$1="","",'Input Nilai Ketrampilan'!$F$1))</f>
        <v/>
      </c>
      <c r="CN3" s="90" t="str">
        <f>IF('Input Nilai Ketrampilan'!J50="","",'Input Nilai Ketrampilan'!J50)</f>
        <v/>
      </c>
      <c r="CO3" s="90" t="str">
        <f>IF(CN3="","",IF('Input Nilai Ketrampilan'!$F$1="","",'Input Nilai Ketrampilan'!$F$1))</f>
        <v/>
      </c>
      <c r="CP3" s="90" t="str">
        <f>IF('Input Nilai Ketrampilan'!J51="","",'Input Nilai Ketrampilan'!J51)</f>
        <v/>
      </c>
      <c r="CQ3" s="90" t="str">
        <f>IF(CP3="","",IF('Input Nilai Ketrampilan'!$F$1="","",'Input Nilai Ketrampilan'!$F$1))</f>
        <v/>
      </c>
      <c r="CR3" s="90" t="str">
        <f>IF('Input Nilai Ketrampilan'!J52="","",'Input Nilai Ketrampilan'!J52)</f>
        <v/>
      </c>
      <c r="CS3" s="90" t="str">
        <f>IF(CR3="","",IF('Input Nilai Ketrampilan'!$F$1="","",'Input Nilai Ketrampilan'!$F$1))</f>
        <v/>
      </c>
    </row>
    <row r="4" spans="1:97">
      <c r="A4" s="72">
        <v>2</v>
      </c>
      <c r="B4" s="90">
        <f>IF('Input Nilai Ketrampilan'!O5="","",'Input Nilai Ketrampilan'!O5)</f>
        <v>78</v>
      </c>
      <c r="C4" s="90" t="str">
        <f>IF(B4="","",IF('Input Nilai Ketrampilan'!$K$1="","",'Input Nilai Ketrampilan'!$K$1))</f>
        <v>Mengungkapkan gagasan, perasaan, dan pesan dalam bentuk puisi rakyat secara lisan dan tulis dengan memperhatikan struktur, rima dan penggunaan bahasa</v>
      </c>
      <c r="D4" s="90" t="str">
        <f>IF('Input Nilai Ketrampilan'!O6="","",'Input Nilai Ketrampilan'!O6)</f>
        <v/>
      </c>
      <c r="E4" s="90" t="str">
        <f>IF(D4="","",IF('Input Nilai Ketrampilan'!$K$1="","",'Input Nilai Ketrampilan'!$K$1))</f>
        <v/>
      </c>
      <c r="F4" s="90">
        <f>IF('Input Nilai Ketrampilan'!O7="","",'Input Nilai Ketrampilan'!O7)</f>
        <v>79</v>
      </c>
      <c r="G4" s="90" t="str">
        <f>IF(F4="","",IF('Input Nilai Ketrampilan'!$K$1="","",'Input Nilai Ketrampilan'!$K$1))</f>
        <v>Mengungkapkan gagasan, perasaan, dan pesan dalam bentuk puisi rakyat secara lisan dan tulis dengan memperhatikan struktur, rima dan penggunaan bahasa</v>
      </c>
      <c r="H4" s="90">
        <f>IF('Input Nilai Ketrampilan'!O8="","",'Input Nilai Ketrampilan'!O8)</f>
        <v>78</v>
      </c>
      <c r="I4" s="90" t="str">
        <f>IF(H4="","",IF('Input Nilai Ketrampilan'!$K$1="","",'Input Nilai Ketrampilan'!$K$1))</f>
        <v>Mengungkapkan gagasan, perasaan, dan pesan dalam bentuk puisi rakyat secara lisan dan tulis dengan memperhatikan struktur, rima dan penggunaan bahasa</v>
      </c>
      <c r="J4" s="90">
        <f>IF('Input Nilai Ketrampilan'!O9="","",'Input Nilai Ketrampilan'!O9)</f>
        <v>79</v>
      </c>
      <c r="K4" s="90" t="str">
        <f>IF(J4="","",IF('Input Nilai Ketrampilan'!$K$1="","",'Input Nilai Ketrampilan'!$K$1))</f>
        <v>Mengungkapkan gagasan, perasaan, dan pesan dalam bentuk puisi rakyat secara lisan dan tulis dengan memperhatikan struktur, rima dan penggunaan bahasa</v>
      </c>
      <c r="L4" s="90">
        <f>IF('Input Nilai Ketrampilan'!O10="","",'Input Nilai Ketrampilan'!O10)</f>
        <v>80</v>
      </c>
      <c r="M4" s="90" t="str">
        <f>IF(L4="","",IF('Input Nilai Ketrampilan'!$K$1="","",'Input Nilai Ketrampilan'!$K$1))</f>
        <v>Mengungkapkan gagasan, perasaan, dan pesan dalam bentuk puisi rakyat secara lisan dan tulis dengan memperhatikan struktur, rima dan penggunaan bahasa</v>
      </c>
      <c r="N4" s="90">
        <f>IF('Input Nilai Ketrampilan'!O11="","",'Input Nilai Ketrampilan'!O11)</f>
        <v>80</v>
      </c>
      <c r="O4" s="90" t="str">
        <f>IF(N4="","",IF('Input Nilai Ketrampilan'!$K$1="","",'Input Nilai Ketrampilan'!$K$1))</f>
        <v>Mengungkapkan gagasan, perasaan, dan pesan dalam bentuk puisi rakyat secara lisan dan tulis dengan memperhatikan struktur, rima dan penggunaan bahasa</v>
      </c>
      <c r="P4" s="90">
        <f>IF('Input Nilai Ketrampilan'!O12="","",'Input Nilai Ketrampilan'!O12)</f>
        <v>79</v>
      </c>
      <c r="Q4" s="90" t="str">
        <f>IF(P4="","",IF('Input Nilai Ketrampilan'!$K$1="","",'Input Nilai Ketrampilan'!$K$1))</f>
        <v>Mengungkapkan gagasan, perasaan, dan pesan dalam bentuk puisi rakyat secara lisan dan tulis dengan memperhatikan struktur, rima dan penggunaan bahasa</v>
      </c>
      <c r="R4" s="90">
        <f>IF('Input Nilai Ketrampilan'!O13="","",'Input Nilai Ketrampilan'!O13)</f>
        <v>78</v>
      </c>
      <c r="S4" s="90" t="str">
        <f>IF(R4="","",IF('Input Nilai Ketrampilan'!$K$1="","",'Input Nilai Ketrampilan'!$K$1))</f>
        <v>Mengungkapkan gagasan, perasaan, dan pesan dalam bentuk puisi rakyat secara lisan dan tulis dengan memperhatikan struktur, rima dan penggunaan bahasa</v>
      </c>
      <c r="T4" s="90">
        <f>IF('Input Nilai Ketrampilan'!O14="","",'Input Nilai Ketrampilan'!O14)</f>
        <v>79</v>
      </c>
      <c r="U4" s="90" t="str">
        <f>IF(T4="","",IF('Input Nilai Ketrampilan'!$K$1="","",'Input Nilai Ketrampilan'!$K$1))</f>
        <v>Mengungkapkan gagasan, perasaan, dan pesan dalam bentuk puisi rakyat secara lisan dan tulis dengan memperhatikan struktur, rima dan penggunaan bahasa</v>
      </c>
      <c r="V4" s="90">
        <f>IF('Input Nilai Ketrampilan'!O15="","",'Input Nilai Ketrampilan'!O15)</f>
        <v>80</v>
      </c>
      <c r="W4" s="90" t="str">
        <f>IF(V4="","",IF('Input Nilai Ketrampilan'!$K$1="","",'Input Nilai Ketrampilan'!$K$1))</f>
        <v>Mengungkapkan gagasan, perasaan, dan pesan dalam bentuk puisi rakyat secara lisan dan tulis dengan memperhatikan struktur, rima dan penggunaan bahasa</v>
      </c>
      <c r="X4" s="90">
        <f>IF('Input Nilai Ketrampilan'!O16="","",'Input Nilai Ketrampilan'!O16)</f>
        <v>80</v>
      </c>
      <c r="Y4" s="90" t="str">
        <f>IF(X4="","",IF('Input Nilai Ketrampilan'!$K$1="","",'Input Nilai Ketrampilan'!$K$1))</f>
        <v>Mengungkapkan gagasan, perasaan, dan pesan dalam bentuk puisi rakyat secara lisan dan tulis dengan memperhatikan struktur, rima dan penggunaan bahasa</v>
      </c>
      <c r="Z4" s="90">
        <f>IF('Input Nilai Ketrampilan'!O17="","",'Input Nilai Ketrampilan'!O17)</f>
        <v>79</v>
      </c>
      <c r="AA4" s="90" t="str">
        <f>IF(Z4="","",IF('Input Nilai Ketrampilan'!$K$1="","",'Input Nilai Ketrampilan'!$K$1))</f>
        <v>Mengungkapkan gagasan, perasaan, dan pesan dalam bentuk puisi rakyat secara lisan dan tulis dengan memperhatikan struktur, rima dan penggunaan bahasa</v>
      </c>
      <c r="AB4" s="90">
        <f>IF('Input Nilai Ketrampilan'!O18="","",'Input Nilai Ketrampilan'!O18)</f>
        <v>78</v>
      </c>
      <c r="AC4" s="90" t="str">
        <f>IF(AB4="","",IF('Input Nilai Ketrampilan'!$K$1="","",'Input Nilai Ketrampilan'!$K$1))</f>
        <v>Mengungkapkan gagasan, perasaan, dan pesan dalam bentuk puisi rakyat secara lisan dan tulis dengan memperhatikan struktur, rima dan penggunaan bahasa</v>
      </c>
      <c r="AD4" s="90">
        <f>IF('Input Nilai Ketrampilan'!O19="","",'Input Nilai Ketrampilan'!O19)</f>
        <v>79</v>
      </c>
      <c r="AE4" s="90" t="str">
        <f>IF(AD4="","",IF('Input Nilai Ketrampilan'!$K$1="","",'Input Nilai Ketrampilan'!$K$1))</f>
        <v>Mengungkapkan gagasan, perasaan, dan pesan dalam bentuk puisi rakyat secara lisan dan tulis dengan memperhatikan struktur, rima dan penggunaan bahasa</v>
      </c>
      <c r="AF4" s="90">
        <f>IF('Input Nilai Ketrampilan'!O20="","",'Input Nilai Ketrampilan'!O20)</f>
        <v>80</v>
      </c>
      <c r="AG4" s="90" t="str">
        <f>IF(AF4="","",IF('Input Nilai Ketrampilan'!$K$1="","",'Input Nilai Ketrampilan'!$K$1))</f>
        <v>Mengungkapkan gagasan, perasaan, dan pesan dalam bentuk puisi rakyat secara lisan dan tulis dengan memperhatikan struktur, rima dan penggunaan bahasa</v>
      </c>
      <c r="AH4" s="90">
        <f>IF('Input Nilai Ketrampilan'!O21="","",'Input Nilai Ketrampilan'!O21)</f>
        <v>80</v>
      </c>
      <c r="AI4" s="90" t="str">
        <f>IF(AH4="","",IF('Input Nilai Ketrampilan'!$K$1="","",'Input Nilai Ketrampilan'!$K$1))</f>
        <v>Mengungkapkan gagasan, perasaan, dan pesan dalam bentuk puisi rakyat secara lisan dan tulis dengan memperhatikan struktur, rima dan penggunaan bahasa</v>
      </c>
      <c r="AJ4" s="90">
        <f>IF('Input Nilai Ketrampilan'!O22="","",'Input Nilai Ketrampilan'!O22)</f>
        <v>79</v>
      </c>
      <c r="AK4" s="90" t="str">
        <f>IF(AJ4="","",IF('Input Nilai Ketrampilan'!$K$1="","",'Input Nilai Ketrampilan'!$K$1))</f>
        <v>Mengungkapkan gagasan, perasaan, dan pesan dalam bentuk puisi rakyat secara lisan dan tulis dengan memperhatikan struktur, rima dan penggunaan bahasa</v>
      </c>
      <c r="AL4" s="90">
        <f>IF('Input Nilai Ketrampilan'!O23="","",'Input Nilai Ketrampilan'!O23)</f>
        <v>78</v>
      </c>
      <c r="AM4" s="90" t="str">
        <f>IF(AL4="","",IF('Input Nilai Ketrampilan'!$K$1="","",'Input Nilai Ketrampilan'!$K$1))</f>
        <v>Mengungkapkan gagasan, perasaan, dan pesan dalam bentuk puisi rakyat secara lisan dan tulis dengan memperhatikan struktur, rima dan penggunaan bahasa</v>
      </c>
      <c r="AN4" s="90">
        <f>IF('Input Nilai Ketrampilan'!O24="","",'Input Nilai Ketrampilan'!O24)</f>
        <v>79</v>
      </c>
      <c r="AO4" s="90" t="str">
        <f>IF(AN4="","",IF('Input Nilai Ketrampilan'!$K$1="","",'Input Nilai Ketrampilan'!$K$1))</f>
        <v>Mengungkapkan gagasan, perasaan, dan pesan dalam bentuk puisi rakyat secara lisan dan tulis dengan memperhatikan struktur, rima dan penggunaan bahasa</v>
      </c>
      <c r="AP4" s="90">
        <f>IF('Input Nilai Ketrampilan'!O25="","",'Input Nilai Ketrampilan'!O25)</f>
        <v>80</v>
      </c>
      <c r="AQ4" s="90" t="str">
        <f>IF(AP4="","",IF('Input Nilai Ketrampilan'!$K$1="","",'Input Nilai Ketrampilan'!$K$1))</f>
        <v>Mengungkapkan gagasan, perasaan, dan pesan dalam bentuk puisi rakyat secara lisan dan tulis dengan memperhatikan struktur, rima dan penggunaan bahasa</v>
      </c>
      <c r="AR4" s="90">
        <f>IF('Input Nilai Ketrampilan'!O26="","",'Input Nilai Ketrampilan'!O26)</f>
        <v>80</v>
      </c>
      <c r="AS4" s="90" t="str">
        <f>IF(AR4="","",IF('Input Nilai Ketrampilan'!$K$1="","",'Input Nilai Ketrampilan'!$K$1))</f>
        <v>Mengungkapkan gagasan, perasaan, dan pesan dalam bentuk puisi rakyat secara lisan dan tulis dengan memperhatikan struktur, rima dan penggunaan bahasa</v>
      </c>
      <c r="AT4" s="90">
        <f>IF('Input Nilai Ketrampilan'!O27="","",'Input Nilai Ketrampilan'!O27)</f>
        <v>79</v>
      </c>
      <c r="AU4" s="90" t="str">
        <f>IF(AT4="","",IF('Input Nilai Ketrampilan'!$K$1="","",'Input Nilai Ketrampilan'!$K$1))</f>
        <v>Mengungkapkan gagasan, perasaan, dan pesan dalam bentuk puisi rakyat secara lisan dan tulis dengan memperhatikan struktur, rima dan penggunaan bahasa</v>
      </c>
      <c r="AV4" s="90">
        <f>IF('Input Nilai Ketrampilan'!O28="","",'Input Nilai Ketrampilan'!O28)</f>
        <v>78</v>
      </c>
      <c r="AW4" s="90" t="str">
        <f>IF(AV4="","",IF('Input Nilai Ketrampilan'!$K$1="","",'Input Nilai Ketrampilan'!$K$1))</f>
        <v>Mengungkapkan gagasan, perasaan, dan pesan dalam bentuk puisi rakyat secara lisan dan tulis dengan memperhatikan struktur, rima dan penggunaan bahasa</v>
      </c>
      <c r="AX4" s="90">
        <f>IF('Input Nilai Ketrampilan'!O29="","",'Input Nilai Ketrampilan'!O29)</f>
        <v>79</v>
      </c>
      <c r="AY4" s="90" t="str">
        <f>IF(AX4="","",IF('Input Nilai Ketrampilan'!$K$1="","",'Input Nilai Ketrampilan'!$K$1))</f>
        <v>Mengungkapkan gagasan, perasaan, dan pesan dalam bentuk puisi rakyat secara lisan dan tulis dengan memperhatikan struktur, rima dan penggunaan bahasa</v>
      </c>
      <c r="AZ4" s="90">
        <f>IF('Input Nilai Ketrampilan'!O30="","",'Input Nilai Ketrampilan'!O30)</f>
        <v>80</v>
      </c>
      <c r="BA4" s="90" t="str">
        <f>IF(AZ4="","",IF('Input Nilai Ketrampilan'!$K$1="","",'Input Nilai Ketrampilan'!$K$1))</f>
        <v>Mengungkapkan gagasan, perasaan, dan pesan dalam bentuk puisi rakyat secara lisan dan tulis dengan memperhatikan struktur, rima dan penggunaan bahasa</v>
      </c>
      <c r="BB4" s="90">
        <f>IF('Input Nilai Ketrampilan'!O31="","",'Input Nilai Ketrampilan'!O31)</f>
        <v>80</v>
      </c>
      <c r="BC4" s="90" t="str">
        <f>IF(BB4="","",IF('Input Nilai Ketrampilan'!$K$1="","",'Input Nilai Ketrampilan'!$K$1))</f>
        <v>Mengungkapkan gagasan, perasaan, dan pesan dalam bentuk puisi rakyat secara lisan dan tulis dengan memperhatikan struktur, rima dan penggunaan bahasa</v>
      </c>
      <c r="BD4" s="90">
        <f>IF('Input Nilai Ketrampilan'!O32="","",'Input Nilai Ketrampilan'!O32)</f>
        <v>79</v>
      </c>
      <c r="BE4" s="90" t="str">
        <f>IF(BD4="","",IF('Input Nilai Ketrampilan'!$K$1="","",'Input Nilai Ketrampilan'!$K$1))</f>
        <v>Mengungkapkan gagasan, perasaan, dan pesan dalam bentuk puisi rakyat secara lisan dan tulis dengan memperhatikan struktur, rima dan penggunaan bahasa</v>
      </c>
      <c r="BF4" s="90">
        <f>IF('Input Nilai Ketrampilan'!O33="","",'Input Nilai Ketrampilan'!O33)</f>
        <v>78</v>
      </c>
      <c r="BG4" s="90" t="str">
        <f>IF(BF4="","",IF('Input Nilai Ketrampilan'!$K$1="","",'Input Nilai Ketrampilan'!$K$1))</f>
        <v>Mengungkapkan gagasan, perasaan, dan pesan dalam bentuk puisi rakyat secara lisan dan tulis dengan memperhatikan struktur, rima dan penggunaan bahasa</v>
      </c>
      <c r="BH4" s="90">
        <f>IF('Input Nilai Ketrampilan'!O34="","",'Input Nilai Ketrampilan'!O34)</f>
        <v>79</v>
      </c>
      <c r="BI4" s="90" t="str">
        <f>IF(BH4="","",IF('Input Nilai Ketrampilan'!$K$1="","",'Input Nilai Ketrampilan'!$K$1))</f>
        <v>Mengungkapkan gagasan, perasaan, dan pesan dalam bentuk puisi rakyat secara lisan dan tulis dengan memperhatikan struktur, rima dan penggunaan bahasa</v>
      </c>
      <c r="BJ4" s="90">
        <f>IF('Input Nilai Ketrampilan'!O35="","",'Input Nilai Ketrampilan'!O35)</f>
        <v>80</v>
      </c>
      <c r="BK4" s="90" t="str">
        <f>IF(BJ4="","",IF('Input Nilai Ketrampilan'!$K$1="","",'Input Nilai Ketrampilan'!$K$1))</f>
        <v>Mengungkapkan gagasan, perasaan, dan pesan dalam bentuk puisi rakyat secara lisan dan tulis dengan memperhatikan struktur, rima dan penggunaan bahasa</v>
      </c>
      <c r="BL4" s="90">
        <f>IF('Input Nilai Ketrampilan'!O36="","",'Input Nilai Ketrampilan'!O36)</f>
        <v>80</v>
      </c>
      <c r="BM4" s="90" t="str">
        <f>IF(BL4="","",IF('Input Nilai Ketrampilan'!$K$1="","",'Input Nilai Ketrampilan'!$K$1))</f>
        <v>Mengungkapkan gagasan, perasaan, dan pesan dalam bentuk puisi rakyat secara lisan dan tulis dengan memperhatikan struktur, rima dan penggunaan bahasa</v>
      </c>
      <c r="BN4" s="90">
        <f>IF('Input Nilai Ketrampilan'!O37="","",'Input Nilai Ketrampilan'!O37)</f>
        <v>79</v>
      </c>
      <c r="BO4" s="90" t="str">
        <f>IF(BN4="","",IF('Input Nilai Ketrampilan'!$K$1="","",'Input Nilai Ketrampilan'!$K$1))</f>
        <v>Mengungkapkan gagasan, perasaan, dan pesan dalam bentuk puisi rakyat secara lisan dan tulis dengan memperhatikan struktur, rima dan penggunaan bahasa</v>
      </c>
      <c r="BP4" s="90">
        <f>IF('Input Nilai Ketrampilan'!O38="","",'Input Nilai Ketrampilan'!O38)</f>
        <v>78</v>
      </c>
      <c r="BQ4" s="90" t="str">
        <f>IF(BP4="","",IF('Input Nilai Ketrampilan'!$K$1="","",'Input Nilai Ketrampilan'!$K$1))</f>
        <v>Mengungkapkan gagasan, perasaan, dan pesan dalam bentuk puisi rakyat secara lisan dan tulis dengan memperhatikan struktur, rima dan penggunaan bahasa</v>
      </c>
      <c r="BR4" s="90">
        <f>IF('Input Nilai Ketrampilan'!O39="","",'Input Nilai Ketrampilan'!O39)</f>
        <v>79</v>
      </c>
      <c r="BS4" s="90" t="str">
        <f>IF(BR4="","",IF('Input Nilai Ketrampilan'!$K$1="","",'Input Nilai Ketrampilan'!$K$1))</f>
        <v>Mengungkapkan gagasan, perasaan, dan pesan dalam bentuk puisi rakyat secara lisan dan tulis dengan memperhatikan struktur, rima dan penggunaan bahasa</v>
      </c>
      <c r="BT4" s="90" t="str">
        <f>IF('Input Nilai Ketrampilan'!O40="","",'Input Nilai Ketrampilan'!O40)</f>
        <v/>
      </c>
      <c r="BU4" s="90" t="str">
        <f>IF(BT4="","",IF('Input Nilai Ketrampilan'!$K$1="","",'Input Nilai Ketrampilan'!$K$1))</f>
        <v/>
      </c>
      <c r="BV4" s="90" t="str">
        <f>IF('Input Nilai Ketrampilan'!O41="","",'Input Nilai Ketrampilan'!O41)</f>
        <v/>
      </c>
      <c r="BW4" s="90" t="str">
        <f>IF(BV4="","",IF('Input Nilai Ketrampilan'!$K$1="","",'Input Nilai Ketrampilan'!$K$1))</f>
        <v/>
      </c>
      <c r="BX4" s="90" t="str">
        <f>IF('Input Nilai Ketrampilan'!O42="","",'Input Nilai Ketrampilan'!O42)</f>
        <v/>
      </c>
      <c r="BY4" s="90" t="str">
        <f>IF(BX4="","",IF('Input Nilai Ketrampilan'!$K$1="","",'Input Nilai Ketrampilan'!$K$1))</f>
        <v/>
      </c>
      <c r="BZ4" s="90" t="str">
        <f>IF('Input Nilai Ketrampilan'!O43="","",'Input Nilai Ketrampilan'!O43)</f>
        <v/>
      </c>
      <c r="CA4" s="90" t="str">
        <f>IF(BZ4="","",IF('Input Nilai Ketrampilan'!$K$1="","",'Input Nilai Ketrampilan'!$K$1))</f>
        <v/>
      </c>
      <c r="CB4" s="90" t="str">
        <f>IF('Input Nilai Ketrampilan'!O44="","",'Input Nilai Ketrampilan'!O44)</f>
        <v/>
      </c>
      <c r="CC4" s="90" t="str">
        <f>IF(CB4="","",IF('Input Nilai Ketrampilan'!$K$1="","",'Input Nilai Ketrampilan'!$K$1))</f>
        <v/>
      </c>
      <c r="CD4" s="90" t="str">
        <f>IF('Input Nilai Ketrampilan'!O45="","",'Input Nilai Ketrampilan'!O45)</f>
        <v/>
      </c>
      <c r="CE4" s="90" t="str">
        <f>IF(CD4="","",IF('Input Nilai Ketrampilan'!$K$1="","",'Input Nilai Ketrampilan'!$K$1))</f>
        <v/>
      </c>
      <c r="CF4" s="90" t="str">
        <f>IF('Input Nilai Ketrampilan'!O46="","",'Input Nilai Ketrampilan'!O46)</f>
        <v/>
      </c>
      <c r="CG4" s="90" t="str">
        <f>IF(CF4="","",IF('Input Nilai Ketrampilan'!$K$1="","",'Input Nilai Ketrampilan'!$K$1))</f>
        <v/>
      </c>
      <c r="CH4" s="90" t="str">
        <f>IF('Input Nilai Ketrampilan'!O47="","",'Input Nilai Ketrampilan'!O47)</f>
        <v/>
      </c>
      <c r="CI4" s="90" t="str">
        <f>IF(CH4="","",IF('Input Nilai Ketrampilan'!$K$1="","",'Input Nilai Ketrampilan'!$K$1))</f>
        <v/>
      </c>
      <c r="CJ4" s="90" t="str">
        <f>IF('Input Nilai Ketrampilan'!O48="","",'Input Nilai Ketrampilan'!O48)</f>
        <v/>
      </c>
      <c r="CK4" s="90" t="str">
        <f>IF(CJ4="","",IF('Input Nilai Ketrampilan'!$K$1="","",'Input Nilai Ketrampilan'!$K$1))</f>
        <v/>
      </c>
      <c r="CL4" s="90" t="str">
        <f>IF('Input Nilai Ketrampilan'!O49="","",'Input Nilai Ketrampilan'!O49)</f>
        <v/>
      </c>
      <c r="CM4" s="90" t="str">
        <f>IF(CL4="","",IF('Input Nilai Ketrampilan'!$K$1="","",'Input Nilai Ketrampilan'!$K$1))</f>
        <v/>
      </c>
      <c r="CN4" s="90" t="str">
        <f>IF('Input Nilai Ketrampilan'!O50="","",'Input Nilai Ketrampilan'!O50)</f>
        <v/>
      </c>
      <c r="CO4" s="90" t="str">
        <f>IF(CN4="","",IF('Input Nilai Ketrampilan'!$K$1="","",'Input Nilai Ketrampilan'!$K$1))</f>
        <v/>
      </c>
      <c r="CP4" s="90" t="str">
        <f>IF('Input Nilai Ketrampilan'!O51="","",'Input Nilai Ketrampilan'!O51)</f>
        <v/>
      </c>
      <c r="CQ4" s="90" t="str">
        <f>IF(CP4="","",IF('Input Nilai Ketrampilan'!$K$1="","",'Input Nilai Ketrampilan'!$K$1))</f>
        <v/>
      </c>
      <c r="CR4" s="90" t="str">
        <f>IF('Input Nilai Ketrampilan'!O52="","",'Input Nilai Ketrampilan'!O52)</f>
        <v/>
      </c>
      <c r="CS4" s="90" t="str">
        <f>IF(CR4="","",IF('Input Nilai Ketrampilan'!$K$1="","",'Input Nilai Ketrampilan'!$K$1))</f>
        <v/>
      </c>
    </row>
    <row r="5" spans="1:97">
      <c r="A5" s="72">
        <v>3</v>
      </c>
      <c r="B5" s="90">
        <f>IF('Input Nilai Ketrampilan'!T5="","",'Input Nilai Ketrampilan'!T5)</f>
        <v>78</v>
      </c>
      <c r="C5" s="90" t="str">
        <f>IF(B5="","",IF('Input Nilai Ketrampilan'!$P$1="","",'Input Nilai Ketrampilan'!$P$1))</f>
        <v>Menceritakan kembali isi cerita rakyat fabel/ legenda dari daerah setempat yang  pernah dibaca atau didengar</v>
      </c>
      <c r="D5" s="90" t="str">
        <f>IF('Input Nilai Ketrampilan'!T6="","",'Input Nilai Ketrampilan'!T6)</f>
        <v/>
      </c>
      <c r="E5" s="90" t="str">
        <f>IF(D5="","",IF('Input Nilai Ketrampilan'!$P$1="","",'Input Nilai Ketrampilan'!$P$1))</f>
        <v/>
      </c>
      <c r="F5" s="90">
        <f>IF('Input Nilai Ketrampilan'!T7="","",'Input Nilai Ketrampilan'!T7)</f>
        <v>79</v>
      </c>
      <c r="G5" s="90" t="str">
        <f>IF(F5="","",IF('Input Nilai Ketrampilan'!$P$1="","",'Input Nilai Ketrampilan'!$P$1))</f>
        <v>Menceritakan kembali isi cerita rakyat fabel/ legenda dari daerah setempat yang  pernah dibaca atau didengar</v>
      </c>
      <c r="H5" s="90">
        <f>IF('Input Nilai Ketrampilan'!T8="","",'Input Nilai Ketrampilan'!T8)</f>
        <v>78</v>
      </c>
      <c r="I5" s="90" t="str">
        <f>IF(H5="","",IF('Input Nilai Ketrampilan'!$P$1="","",'Input Nilai Ketrampilan'!$P$1))</f>
        <v>Menceritakan kembali isi cerita rakyat fabel/ legenda dari daerah setempat yang  pernah dibaca atau didengar</v>
      </c>
      <c r="J5" s="90">
        <f>IF('Input Nilai Ketrampilan'!T9="","",'Input Nilai Ketrampilan'!T9)</f>
        <v>79</v>
      </c>
      <c r="K5" s="90" t="str">
        <f>IF(J5="","",IF('Input Nilai Ketrampilan'!$P$1="","",'Input Nilai Ketrampilan'!$P$1))</f>
        <v>Menceritakan kembali isi cerita rakyat fabel/ legenda dari daerah setempat yang  pernah dibaca atau didengar</v>
      </c>
      <c r="L5" s="90">
        <f>IF('Input Nilai Ketrampilan'!T10="","",'Input Nilai Ketrampilan'!T10)</f>
        <v>80</v>
      </c>
      <c r="M5" s="90" t="str">
        <f>IF(L5="","",IF('Input Nilai Ketrampilan'!$P$1="","",'Input Nilai Ketrampilan'!$P$1))</f>
        <v>Menceritakan kembali isi cerita rakyat fabel/ legenda dari daerah setempat yang  pernah dibaca atau didengar</v>
      </c>
      <c r="N5" s="90">
        <f>IF('Input Nilai Ketrampilan'!T11="","",'Input Nilai Ketrampilan'!T11)</f>
        <v>80</v>
      </c>
      <c r="O5" s="90" t="str">
        <f>IF(N5="","",IF('Input Nilai Ketrampilan'!$P$1="","",'Input Nilai Ketrampilan'!$P$1))</f>
        <v>Menceritakan kembali isi cerita rakyat fabel/ legenda dari daerah setempat yang  pernah dibaca atau didengar</v>
      </c>
      <c r="P5" s="90">
        <f>IF('Input Nilai Ketrampilan'!T12="","",'Input Nilai Ketrampilan'!T12)</f>
        <v>79</v>
      </c>
      <c r="Q5" s="90" t="str">
        <f>IF(P5="","",IF('Input Nilai Ketrampilan'!$P$1="","",'Input Nilai Ketrampilan'!$P$1))</f>
        <v>Menceritakan kembali isi cerita rakyat fabel/ legenda dari daerah setempat yang  pernah dibaca atau didengar</v>
      </c>
      <c r="R5" s="90">
        <f>IF('Input Nilai Ketrampilan'!T13="","",'Input Nilai Ketrampilan'!T13)</f>
        <v>78</v>
      </c>
      <c r="S5" s="90" t="str">
        <f>IF(R5="","",IF('Input Nilai Ketrampilan'!$P$1="","",'Input Nilai Ketrampilan'!$P$1))</f>
        <v>Menceritakan kembali isi cerita rakyat fabel/ legenda dari daerah setempat yang  pernah dibaca atau didengar</v>
      </c>
      <c r="T5" s="90">
        <f>IF('Input Nilai Ketrampilan'!T14="","",'Input Nilai Ketrampilan'!T14)</f>
        <v>79</v>
      </c>
      <c r="U5" s="90" t="str">
        <f>IF(T5="","",IF('Input Nilai Ketrampilan'!$P$1="","",'Input Nilai Ketrampilan'!$P$1))</f>
        <v>Menceritakan kembali isi cerita rakyat fabel/ legenda dari daerah setempat yang  pernah dibaca atau didengar</v>
      </c>
      <c r="V5" s="90">
        <f>IF('Input Nilai Ketrampilan'!T15="","",'Input Nilai Ketrampilan'!T15)</f>
        <v>80</v>
      </c>
      <c r="W5" s="90" t="str">
        <f>IF(V5="","",IF('Input Nilai Ketrampilan'!$P$1="","",'Input Nilai Ketrampilan'!$P$1))</f>
        <v>Menceritakan kembali isi cerita rakyat fabel/ legenda dari daerah setempat yang  pernah dibaca atau didengar</v>
      </c>
      <c r="X5" s="90">
        <f>IF('Input Nilai Ketrampilan'!T16="","",'Input Nilai Ketrampilan'!T16)</f>
        <v>80</v>
      </c>
      <c r="Y5" s="90" t="str">
        <f>IF(X5="","",IF('Input Nilai Ketrampilan'!$P$1="","",'Input Nilai Ketrampilan'!$P$1))</f>
        <v>Menceritakan kembali isi cerita rakyat fabel/ legenda dari daerah setempat yang  pernah dibaca atau didengar</v>
      </c>
      <c r="Z5" s="90">
        <f>IF('Input Nilai Ketrampilan'!T17="","",'Input Nilai Ketrampilan'!T17)</f>
        <v>79</v>
      </c>
      <c r="AA5" s="90" t="str">
        <f>IF(Z5="","",IF('Input Nilai Ketrampilan'!$P$1="","",'Input Nilai Ketrampilan'!$P$1))</f>
        <v>Menceritakan kembali isi cerita rakyat fabel/ legenda dari daerah setempat yang  pernah dibaca atau didengar</v>
      </c>
      <c r="AB5" s="90">
        <f>IF('Input Nilai Ketrampilan'!T18="","",'Input Nilai Ketrampilan'!T18)</f>
        <v>78</v>
      </c>
      <c r="AC5" s="90" t="str">
        <f>IF(AB5="","",IF('Input Nilai Ketrampilan'!$P$1="","",'Input Nilai Ketrampilan'!$P$1))</f>
        <v>Menceritakan kembali isi cerita rakyat fabel/ legenda dari daerah setempat yang  pernah dibaca atau didengar</v>
      </c>
      <c r="AD5" s="90">
        <f>IF('Input Nilai Ketrampilan'!T19="","",'Input Nilai Ketrampilan'!T19)</f>
        <v>79</v>
      </c>
      <c r="AE5" s="90" t="str">
        <f>IF(AD5="","",IF('Input Nilai Ketrampilan'!$P$1="","",'Input Nilai Ketrampilan'!$P$1))</f>
        <v>Menceritakan kembali isi cerita rakyat fabel/ legenda dari daerah setempat yang  pernah dibaca atau didengar</v>
      </c>
      <c r="AF5" s="90">
        <f>IF('Input Nilai Ketrampilan'!T20="","",'Input Nilai Ketrampilan'!T20)</f>
        <v>80</v>
      </c>
      <c r="AG5" s="90" t="str">
        <f>IF(AF5="","",IF('Input Nilai Ketrampilan'!$P$1="","",'Input Nilai Ketrampilan'!$P$1))</f>
        <v>Menceritakan kembali isi cerita rakyat fabel/ legenda dari daerah setempat yang  pernah dibaca atau didengar</v>
      </c>
      <c r="AH5" s="90">
        <f>IF('Input Nilai Ketrampilan'!T21="","",'Input Nilai Ketrampilan'!T21)</f>
        <v>80</v>
      </c>
      <c r="AI5" s="90" t="str">
        <f>IF(AH5="","",IF('Input Nilai Ketrampilan'!$P$1="","",'Input Nilai Ketrampilan'!$P$1))</f>
        <v>Menceritakan kembali isi cerita rakyat fabel/ legenda dari daerah setempat yang  pernah dibaca atau didengar</v>
      </c>
      <c r="AJ5" s="90">
        <f>IF('Input Nilai Ketrampilan'!T22="","",'Input Nilai Ketrampilan'!T22)</f>
        <v>79</v>
      </c>
      <c r="AK5" s="90" t="str">
        <f>IF(AJ5="","",IF('Input Nilai Ketrampilan'!$P$1="","",'Input Nilai Ketrampilan'!$P$1))</f>
        <v>Menceritakan kembali isi cerita rakyat fabel/ legenda dari daerah setempat yang  pernah dibaca atau didengar</v>
      </c>
      <c r="AL5" s="90">
        <f>IF('Input Nilai Ketrampilan'!T23="","",'Input Nilai Ketrampilan'!T23)</f>
        <v>78</v>
      </c>
      <c r="AM5" s="90" t="str">
        <f>IF(AL5="","",IF('Input Nilai Ketrampilan'!$P$1="","",'Input Nilai Ketrampilan'!$P$1))</f>
        <v>Menceritakan kembali isi cerita rakyat fabel/ legenda dari daerah setempat yang  pernah dibaca atau didengar</v>
      </c>
      <c r="AN5" s="90">
        <f>IF('Input Nilai Ketrampilan'!T24="","",'Input Nilai Ketrampilan'!T24)</f>
        <v>79</v>
      </c>
      <c r="AO5" s="90" t="str">
        <f>IF(AN5="","",IF('Input Nilai Ketrampilan'!$P$1="","",'Input Nilai Ketrampilan'!$P$1))</f>
        <v>Menceritakan kembali isi cerita rakyat fabel/ legenda dari daerah setempat yang  pernah dibaca atau didengar</v>
      </c>
      <c r="AP5" s="90">
        <f>IF('Input Nilai Ketrampilan'!T25="","",'Input Nilai Ketrampilan'!T25)</f>
        <v>80</v>
      </c>
      <c r="AQ5" s="90" t="str">
        <f>IF(AP5="","",IF('Input Nilai Ketrampilan'!$P$1="","",'Input Nilai Ketrampilan'!$P$1))</f>
        <v>Menceritakan kembali isi cerita rakyat fabel/ legenda dari daerah setempat yang  pernah dibaca atau didengar</v>
      </c>
      <c r="AR5" s="90">
        <f>IF('Input Nilai Ketrampilan'!T26="","",'Input Nilai Ketrampilan'!T26)</f>
        <v>80</v>
      </c>
      <c r="AS5" s="90" t="str">
        <f>IF(AR5="","",IF('Input Nilai Ketrampilan'!$P$1="","",'Input Nilai Ketrampilan'!$P$1))</f>
        <v>Menceritakan kembali isi cerita rakyat fabel/ legenda dari daerah setempat yang  pernah dibaca atau didengar</v>
      </c>
      <c r="AT5" s="90">
        <f>IF('Input Nilai Ketrampilan'!T27="","",'Input Nilai Ketrampilan'!T27)</f>
        <v>79</v>
      </c>
      <c r="AU5" s="90" t="str">
        <f>IF(AT5="","",IF('Input Nilai Ketrampilan'!$P$1="","",'Input Nilai Ketrampilan'!$P$1))</f>
        <v>Menceritakan kembali isi cerita rakyat fabel/ legenda dari daerah setempat yang  pernah dibaca atau didengar</v>
      </c>
      <c r="AV5" s="90">
        <f>IF('Input Nilai Ketrampilan'!T28="","",'Input Nilai Ketrampilan'!T28)</f>
        <v>78</v>
      </c>
      <c r="AW5" s="90" t="str">
        <f>IF(AV5="","",IF('Input Nilai Ketrampilan'!$P$1="","",'Input Nilai Ketrampilan'!$P$1))</f>
        <v>Menceritakan kembali isi cerita rakyat fabel/ legenda dari daerah setempat yang  pernah dibaca atau didengar</v>
      </c>
      <c r="AX5" s="90">
        <f>IF('Input Nilai Ketrampilan'!T29="","",'Input Nilai Ketrampilan'!T29)</f>
        <v>79</v>
      </c>
      <c r="AY5" s="90" t="str">
        <f>IF(AX5="","",IF('Input Nilai Ketrampilan'!$P$1="","",'Input Nilai Ketrampilan'!$P$1))</f>
        <v>Menceritakan kembali isi cerita rakyat fabel/ legenda dari daerah setempat yang  pernah dibaca atau didengar</v>
      </c>
      <c r="AZ5" s="90">
        <f>IF('Input Nilai Ketrampilan'!T30="","",'Input Nilai Ketrampilan'!T30)</f>
        <v>80</v>
      </c>
      <c r="BA5" s="90" t="str">
        <f>IF(AZ5="","",IF('Input Nilai Ketrampilan'!$P$1="","",'Input Nilai Ketrampilan'!$P$1))</f>
        <v>Menceritakan kembali isi cerita rakyat fabel/ legenda dari daerah setempat yang  pernah dibaca atau didengar</v>
      </c>
      <c r="BB5" s="90">
        <f>IF('Input Nilai Ketrampilan'!T31="","",'Input Nilai Ketrampilan'!T31)</f>
        <v>80</v>
      </c>
      <c r="BC5" s="90" t="str">
        <f>IF(BB5="","",IF('Input Nilai Ketrampilan'!$P$1="","",'Input Nilai Ketrampilan'!$P$1))</f>
        <v>Menceritakan kembali isi cerita rakyat fabel/ legenda dari daerah setempat yang  pernah dibaca atau didengar</v>
      </c>
      <c r="BD5" s="90">
        <f>IF('Input Nilai Ketrampilan'!T32="","",'Input Nilai Ketrampilan'!T32)</f>
        <v>79</v>
      </c>
      <c r="BE5" s="90" t="str">
        <f>IF(BD5="","",IF('Input Nilai Ketrampilan'!$P$1="","",'Input Nilai Ketrampilan'!$P$1))</f>
        <v>Menceritakan kembali isi cerita rakyat fabel/ legenda dari daerah setempat yang  pernah dibaca atau didengar</v>
      </c>
      <c r="BF5" s="90">
        <f>IF('Input Nilai Ketrampilan'!T33="","",'Input Nilai Ketrampilan'!T33)</f>
        <v>78</v>
      </c>
      <c r="BG5" s="90" t="str">
        <f>IF(BF5="","",IF('Input Nilai Ketrampilan'!$P$1="","",'Input Nilai Ketrampilan'!$P$1))</f>
        <v>Menceritakan kembali isi cerita rakyat fabel/ legenda dari daerah setempat yang  pernah dibaca atau didengar</v>
      </c>
      <c r="BH5" s="90">
        <f>IF('Input Nilai Ketrampilan'!T34="","",'Input Nilai Ketrampilan'!T34)</f>
        <v>79</v>
      </c>
      <c r="BI5" s="90" t="str">
        <f>IF(BH5="","",IF('Input Nilai Ketrampilan'!$P$1="","",'Input Nilai Ketrampilan'!$P$1))</f>
        <v>Menceritakan kembali isi cerita rakyat fabel/ legenda dari daerah setempat yang  pernah dibaca atau didengar</v>
      </c>
      <c r="BJ5" s="90">
        <f>IF('Input Nilai Ketrampilan'!T35="","",'Input Nilai Ketrampilan'!T35)</f>
        <v>80</v>
      </c>
      <c r="BK5" s="90" t="str">
        <f>IF(BJ5="","",IF('Input Nilai Ketrampilan'!$P$1="","",'Input Nilai Ketrampilan'!$P$1))</f>
        <v>Menceritakan kembali isi cerita rakyat fabel/ legenda dari daerah setempat yang  pernah dibaca atau didengar</v>
      </c>
      <c r="BL5" s="90">
        <f>IF('Input Nilai Ketrampilan'!T36="","",'Input Nilai Ketrampilan'!T36)</f>
        <v>80</v>
      </c>
      <c r="BM5" s="90" t="str">
        <f>IF(BL5="","",IF('Input Nilai Ketrampilan'!$P$1="","",'Input Nilai Ketrampilan'!$P$1))</f>
        <v>Menceritakan kembali isi cerita rakyat fabel/ legenda dari daerah setempat yang  pernah dibaca atau didengar</v>
      </c>
      <c r="BN5" s="90">
        <f>IF('Input Nilai Ketrampilan'!T37="","",'Input Nilai Ketrampilan'!T37)</f>
        <v>79</v>
      </c>
      <c r="BO5" s="90" t="str">
        <f>IF(BN5="","",IF('Input Nilai Ketrampilan'!$P$1="","",'Input Nilai Ketrampilan'!$P$1))</f>
        <v>Menceritakan kembali isi cerita rakyat fabel/ legenda dari daerah setempat yang  pernah dibaca atau didengar</v>
      </c>
      <c r="BP5" s="90">
        <f>IF('Input Nilai Ketrampilan'!T38="","",'Input Nilai Ketrampilan'!T38)</f>
        <v>78</v>
      </c>
      <c r="BQ5" s="90" t="str">
        <f>IF(BP5="","",IF('Input Nilai Ketrampilan'!$P$1="","",'Input Nilai Ketrampilan'!$P$1))</f>
        <v>Menceritakan kembali isi cerita rakyat fabel/ legenda dari daerah setempat yang  pernah dibaca atau didengar</v>
      </c>
      <c r="BR5" s="90">
        <f>IF('Input Nilai Ketrampilan'!T39="","",'Input Nilai Ketrampilan'!T39)</f>
        <v>79</v>
      </c>
      <c r="BS5" s="90" t="str">
        <f>IF(BR5="","",IF('Input Nilai Ketrampilan'!$P$1="","",'Input Nilai Ketrampilan'!$P$1))</f>
        <v>Menceritakan kembali isi cerita rakyat fabel/ legenda dari daerah setempat yang  pernah dibaca atau didengar</v>
      </c>
      <c r="BT5" s="90" t="str">
        <f>IF('Input Nilai Ketrampilan'!T40="","",'Input Nilai Ketrampilan'!T40)</f>
        <v/>
      </c>
      <c r="BU5" s="90" t="str">
        <f>IF(BT5="","",IF('Input Nilai Ketrampilan'!$P$1="","",'Input Nilai Ketrampilan'!$P$1))</f>
        <v/>
      </c>
      <c r="BV5" s="90" t="str">
        <f>IF('Input Nilai Ketrampilan'!T41="","",'Input Nilai Ketrampilan'!T41)</f>
        <v/>
      </c>
      <c r="BW5" s="90" t="str">
        <f>IF(BV5="","",IF('Input Nilai Ketrampilan'!$P$1="","",'Input Nilai Ketrampilan'!$P$1))</f>
        <v/>
      </c>
      <c r="BX5" s="90" t="str">
        <f>IF('Input Nilai Ketrampilan'!T42="","",'Input Nilai Ketrampilan'!T42)</f>
        <v/>
      </c>
      <c r="BY5" s="90" t="str">
        <f>IF(BX5="","",IF('Input Nilai Ketrampilan'!$P$1="","",'Input Nilai Ketrampilan'!$P$1))</f>
        <v/>
      </c>
      <c r="BZ5" s="90" t="str">
        <f>IF('Input Nilai Ketrampilan'!T43="","",'Input Nilai Ketrampilan'!T43)</f>
        <v/>
      </c>
      <c r="CA5" s="90" t="str">
        <f>IF(BZ5="","",IF('Input Nilai Ketrampilan'!$P$1="","",'Input Nilai Ketrampilan'!$P$1))</f>
        <v/>
      </c>
      <c r="CB5" s="90" t="str">
        <f>IF('Input Nilai Ketrampilan'!T44="","",'Input Nilai Ketrampilan'!T44)</f>
        <v/>
      </c>
      <c r="CC5" s="90" t="str">
        <f>IF(CB5="","",IF('Input Nilai Ketrampilan'!$P$1="","",'Input Nilai Ketrampilan'!$P$1))</f>
        <v/>
      </c>
      <c r="CD5" s="90" t="str">
        <f>IF('Input Nilai Ketrampilan'!T45="","",'Input Nilai Ketrampilan'!T45)</f>
        <v/>
      </c>
      <c r="CE5" s="90" t="str">
        <f>IF(CD5="","",IF('Input Nilai Ketrampilan'!$P$1="","",'Input Nilai Ketrampilan'!$P$1))</f>
        <v/>
      </c>
      <c r="CF5" s="90" t="str">
        <f>IF('Input Nilai Ketrampilan'!T46="","",'Input Nilai Ketrampilan'!T46)</f>
        <v/>
      </c>
      <c r="CG5" s="90" t="str">
        <f>IF(CF5="","",IF('Input Nilai Ketrampilan'!$P$1="","",'Input Nilai Ketrampilan'!$P$1))</f>
        <v/>
      </c>
      <c r="CH5" s="90" t="str">
        <f>IF('Input Nilai Ketrampilan'!T47="","",'Input Nilai Ketrampilan'!T47)</f>
        <v/>
      </c>
      <c r="CI5" s="90" t="str">
        <f>IF(CH5="","",IF('Input Nilai Ketrampilan'!$P$1="","",'Input Nilai Ketrampilan'!$P$1))</f>
        <v/>
      </c>
      <c r="CJ5" s="90" t="str">
        <f>IF('Input Nilai Ketrampilan'!T48="","",'Input Nilai Ketrampilan'!T48)</f>
        <v/>
      </c>
      <c r="CK5" s="90" t="str">
        <f>IF(CJ5="","",IF('Input Nilai Ketrampilan'!$P$1="","",'Input Nilai Ketrampilan'!$P$1))</f>
        <v/>
      </c>
      <c r="CL5" s="90" t="str">
        <f>IF('Input Nilai Ketrampilan'!T49="","",'Input Nilai Ketrampilan'!T49)</f>
        <v/>
      </c>
      <c r="CM5" s="90" t="str">
        <f>IF(CL5="","",IF('Input Nilai Ketrampilan'!$P$1="","",'Input Nilai Ketrampilan'!$P$1))</f>
        <v/>
      </c>
      <c r="CN5" s="90" t="str">
        <f>IF('Input Nilai Ketrampilan'!T50="","",'Input Nilai Ketrampilan'!T50)</f>
        <v/>
      </c>
      <c r="CO5" s="90" t="str">
        <f>IF(CN5="","",IF('Input Nilai Ketrampilan'!$P$1="","",'Input Nilai Ketrampilan'!$P$1))</f>
        <v/>
      </c>
      <c r="CP5" s="90" t="str">
        <f>IF('Input Nilai Ketrampilan'!T51="","",'Input Nilai Ketrampilan'!T51)</f>
        <v/>
      </c>
      <c r="CQ5" s="90" t="str">
        <f>IF(CP5="","",IF('Input Nilai Ketrampilan'!$P$1="","",'Input Nilai Ketrampilan'!$P$1))</f>
        <v/>
      </c>
      <c r="CR5" s="90" t="str">
        <f>IF('Input Nilai Ketrampilan'!T52="","",'Input Nilai Ketrampilan'!T52)</f>
        <v/>
      </c>
      <c r="CS5" s="90" t="str">
        <f>IF(CR5="","",IF('Input Nilai Ketrampilan'!$P$1="","",'Input Nilai Ketrampilan'!$P$1))</f>
        <v/>
      </c>
    </row>
    <row r="6" spans="1:97">
      <c r="A6" s="72">
        <v>4</v>
      </c>
      <c r="B6" s="90">
        <f>IF('Input Nilai Ketrampilan'!Y5="","",'Input Nilai Ketrampilan'!Y5)</f>
        <v>78</v>
      </c>
      <c r="C6" s="90" t="str">
        <f>IF(B6="","",IF('Input Nilai Ketrampilan'!$U$1="","",'Input Nilai Ketrampilan'!$U$1))</f>
        <v>Menceritakan isi fabel/ legenda daerah setempat yang dibaca dan didengar</v>
      </c>
      <c r="D6" s="90" t="str">
        <f>IF('Input Nilai Ketrampilan'!Y6="","",'Input Nilai Ketrampilan'!Y6)</f>
        <v/>
      </c>
      <c r="E6" s="90" t="str">
        <f>IF(D6="","",IF('Input Nilai Ketrampilan'!$U$1="","",'Input Nilai Ketrampilan'!$U$1))</f>
        <v/>
      </c>
      <c r="F6" s="90">
        <f>IF('Input Nilai Ketrampilan'!Y7="","",'Input Nilai Ketrampilan'!Y7)</f>
        <v>79</v>
      </c>
      <c r="G6" s="90" t="str">
        <f>IF(F6="","",IF('Input Nilai Ketrampilan'!$U$1="","",'Input Nilai Ketrampilan'!$U$1))</f>
        <v>Menceritakan isi fabel/ legenda daerah setempat yang dibaca dan didengar</v>
      </c>
      <c r="H6" s="90">
        <f>IF('Input Nilai Ketrampilan'!Y8="","",'Input Nilai Ketrampilan'!Y8)</f>
        <v>78</v>
      </c>
      <c r="I6" s="90" t="str">
        <f>IF(H6="","",IF('Input Nilai Ketrampilan'!$U$1="","",'Input Nilai Ketrampilan'!$U$1))</f>
        <v>Menceritakan isi fabel/ legenda daerah setempat yang dibaca dan didengar</v>
      </c>
      <c r="J6" s="90">
        <f>IF('Input Nilai Ketrampilan'!Y9="","",'Input Nilai Ketrampilan'!Y9)</f>
        <v>79</v>
      </c>
      <c r="K6" s="90" t="str">
        <f>IF(J6="","",IF('Input Nilai Ketrampilan'!$U$1="","",'Input Nilai Ketrampilan'!$U$1))</f>
        <v>Menceritakan isi fabel/ legenda daerah setempat yang dibaca dan didengar</v>
      </c>
      <c r="L6" s="90">
        <f>IF('Input Nilai Ketrampilan'!Y10="","",'Input Nilai Ketrampilan'!Y10)</f>
        <v>80</v>
      </c>
      <c r="M6" s="90" t="str">
        <f>IF(L6="","",IF('Input Nilai Ketrampilan'!$U$1="","",'Input Nilai Ketrampilan'!$U$1))</f>
        <v>Menceritakan isi fabel/ legenda daerah setempat yang dibaca dan didengar</v>
      </c>
      <c r="N6" s="90">
        <f>IF('Input Nilai Ketrampilan'!Y11="","",'Input Nilai Ketrampilan'!Y11)</f>
        <v>80</v>
      </c>
      <c r="O6" s="90" t="str">
        <f>IF(N6="","",IF('Input Nilai Ketrampilan'!$U$1="","",'Input Nilai Ketrampilan'!$U$1))</f>
        <v>Menceritakan isi fabel/ legenda daerah setempat yang dibaca dan didengar</v>
      </c>
      <c r="P6" s="90">
        <f>IF('Input Nilai Ketrampilan'!Y12="","",'Input Nilai Ketrampilan'!Y12)</f>
        <v>79</v>
      </c>
      <c r="Q6" s="90" t="str">
        <f>IF(P6="","",IF('Input Nilai Ketrampilan'!$U$1="","",'Input Nilai Ketrampilan'!$U$1))</f>
        <v>Menceritakan isi fabel/ legenda daerah setempat yang dibaca dan didengar</v>
      </c>
      <c r="R6" s="90">
        <f>IF('Input Nilai Ketrampilan'!Y13="","",'Input Nilai Ketrampilan'!Y13)</f>
        <v>78</v>
      </c>
      <c r="S6" s="90" t="str">
        <f>IF(R6="","",IF('Input Nilai Ketrampilan'!$U$1="","",'Input Nilai Ketrampilan'!$U$1))</f>
        <v>Menceritakan isi fabel/ legenda daerah setempat yang dibaca dan didengar</v>
      </c>
      <c r="T6" s="90">
        <f>IF('Input Nilai Ketrampilan'!Y14="","",'Input Nilai Ketrampilan'!Y14)</f>
        <v>79</v>
      </c>
      <c r="U6" s="90" t="str">
        <f>IF(T6="","",IF('Input Nilai Ketrampilan'!$U$1="","",'Input Nilai Ketrampilan'!$U$1))</f>
        <v>Menceritakan isi fabel/ legenda daerah setempat yang dibaca dan didengar</v>
      </c>
      <c r="V6" s="90">
        <f>IF('Input Nilai Ketrampilan'!Y15="","",'Input Nilai Ketrampilan'!Y15)</f>
        <v>80</v>
      </c>
      <c r="W6" s="90" t="str">
        <f>IF(V6="","",IF('Input Nilai Ketrampilan'!$U$1="","",'Input Nilai Ketrampilan'!$U$1))</f>
        <v>Menceritakan isi fabel/ legenda daerah setempat yang dibaca dan didengar</v>
      </c>
      <c r="X6" s="90">
        <f>IF('Input Nilai Ketrampilan'!Y16="","",'Input Nilai Ketrampilan'!Y16)</f>
        <v>80</v>
      </c>
      <c r="Y6" s="90" t="str">
        <f>IF(X6="","",IF('Input Nilai Ketrampilan'!$U$1="","",'Input Nilai Ketrampilan'!$U$1))</f>
        <v>Menceritakan isi fabel/ legenda daerah setempat yang dibaca dan didengar</v>
      </c>
      <c r="Z6" s="90">
        <f>IF('Input Nilai Ketrampilan'!Y17="","",'Input Nilai Ketrampilan'!Y17)</f>
        <v>79</v>
      </c>
      <c r="AA6" s="90" t="str">
        <f>IF(Z6="","",IF('Input Nilai Ketrampilan'!$U$1="","",'Input Nilai Ketrampilan'!$U$1))</f>
        <v>Menceritakan isi fabel/ legenda daerah setempat yang dibaca dan didengar</v>
      </c>
      <c r="AB6" s="90">
        <f>IF('Input Nilai Ketrampilan'!Y18="","",'Input Nilai Ketrampilan'!Y18)</f>
        <v>78</v>
      </c>
      <c r="AC6" s="90" t="str">
        <f>IF(AB6="","",IF('Input Nilai Ketrampilan'!$U$1="","",'Input Nilai Ketrampilan'!$U$1))</f>
        <v>Menceritakan isi fabel/ legenda daerah setempat yang dibaca dan didengar</v>
      </c>
      <c r="AD6" s="90">
        <f>IF('Input Nilai Ketrampilan'!Y19="","",'Input Nilai Ketrampilan'!Y19)</f>
        <v>79</v>
      </c>
      <c r="AE6" s="90" t="str">
        <f>IF(AD6="","",IF('Input Nilai Ketrampilan'!$U$1="","",'Input Nilai Ketrampilan'!$U$1))</f>
        <v>Menceritakan isi fabel/ legenda daerah setempat yang dibaca dan didengar</v>
      </c>
      <c r="AF6" s="90">
        <f>IF('Input Nilai Ketrampilan'!Y20="","",'Input Nilai Ketrampilan'!Y20)</f>
        <v>80</v>
      </c>
      <c r="AG6" s="90" t="str">
        <f>IF(AF6="","",IF('Input Nilai Ketrampilan'!$U$1="","",'Input Nilai Ketrampilan'!$U$1))</f>
        <v>Menceritakan isi fabel/ legenda daerah setempat yang dibaca dan didengar</v>
      </c>
      <c r="AH6" s="90">
        <f>IF('Input Nilai Ketrampilan'!Y21="","",'Input Nilai Ketrampilan'!Y21)</f>
        <v>80</v>
      </c>
      <c r="AI6" s="90" t="str">
        <f>IF(AH6="","",IF('Input Nilai Ketrampilan'!$U$1="","",'Input Nilai Ketrampilan'!$U$1))</f>
        <v>Menceritakan isi fabel/ legenda daerah setempat yang dibaca dan didengar</v>
      </c>
      <c r="AJ6" s="90">
        <f>IF('Input Nilai Ketrampilan'!Y22="","",'Input Nilai Ketrampilan'!Y22)</f>
        <v>79</v>
      </c>
      <c r="AK6" s="90" t="str">
        <f>IF(AJ6="","",IF('Input Nilai Ketrampilan'!$U$1="","",'Input Nilai Ketrampilan'!$U$1))</f>
        <v>Menceritakan isi fabel/ legenda daerah setempat yang dibaca dan didengar</v>
      </c>
      <c r="AL6" s="90">
        <f>IF('Input Nilai Ketrampilan'!Y23="","",'Input Nilai Ketrampilan'!Y23)</f>
        <v>78</v>
      </c>
      <c r="AM6" s="90" t="str">
        <f>IF(AL6="","",IF('Input Nilai Ketrampilan'!$U$1="","",'Input Nilai Ketrampilan'!$U$1))</f>
        <v>Menceritakan isi fabel/ legenda daerah setempat yang dibaca dan didengar</v>
      </c>
      <c r="AN6" s="90">
        <f>IF('Input Nilai Ketrampilan'!Y24="","",'Input Nilai Ketrampilan'!Y24)</f>
        <v>79</v>
      </c>
      <c r="AO6" s="90" t="str">
        <f>IF(AN6="","",IF('Input Nilai Ketrampilan'!$U$1="","",'Input Nilai Ketrampilan'!$U$1))</f>
        <v>Menceritakan isi fabel/ legenda daerah setempat yang dibaca dan didengar</v>
      </c>
      <c r="AP6" s="90">
        <f>IF('Input Nilai Ketrampilan'!Y25="","",'Input Nilai Ketrampilan'!Y25)</f>
        <v>80</v>
      </c>
      <c r="AQ6" s="90" t="str">
        <f>IF(AP6="","",IF('Input Nilai Ketrampilan'!$U$1="","",'Input Nilai Ketrampilan'!$U$1))</f>
        <v>Menceritakan isi fabel/ legenda daerah setempat yang dibaca dan didengar</v>
      </c>
      <c r="AR6" s="90">
        <f>IF('Input Nilai Ketrampilan'!Y26="","",'Input Nilai Ketrampilan'!Y26)</f>
        <v>80</v>
      </c>
      <c r="AS6" s="90" t="str">
        <f>IF(AR6="","",IF('Input Nilai Ketrampilan'!$U$1="","",'Input Nilai Ketrampilan'!$U$1))</f>
        <v>Menceritakan isi fabel/ legenda daerah setempat yang dibaca dan didengar</v>
      </c>
      <c r="AT6" s="90">
        <f>IF('Input Nilai Ketrampilan'!Y27="","",'Input Nilai Ketrampilan'!Y27)</f>
        <v>79</v>
      </c>
      <c r="AU6" s="90" t="str">
        <f>IF(AT6="","",IF('Input Nilai Ketrampilan'!$U$1="","",'Input Nilai Ketrampilan'!$U$1))</f>
        <v>Menceritakan isi fabel/ legenda daerah setempat yang dibaca dan didengar</v>
      </c>
      <c r="AV6" s="90">
        <f>IF('Input Nilai Ketrampilan'!Y28="","",'Input Nilai Ketrampilan'!Y28)</f>
        <v>78</v>
      </c>
      <c r="AW6" s="90" t="str">
        <f>IF(AV6="","",IF('Input Nilai Ketrampilan'!$U$1="","",'Input Nilai Ketrampilan'!$U$1))</f>
        <v>Menceritakan isi fabel/ legenda daerah setempat yang dibaca dan didengar</v>
      </c>
      <c r="AX6" s="90">
        <f>IF('Input Nilai Ketrampilan'!Y29="","",'Input Nilai Ketrampilan'!Y29)</f>
        <v>79</v>
      </c>
      <c r="AY6" s="90" t="str">
        <f>IF(AX6="","",IF('Input Nilai Ketrampilan'!$U$1="","",'Input Nilai Ketrampilan'!$U$1))</f>
        <v>Menceritakan isi fabel/ legenda daerah setempat yang dibaca dan didengar</v>
      </c>
      <c r="AZ6" s="90">
        <f>IF('Input Nilai Ketrampilan'!Y30="","",'Input Nilai Ketrampilan'!Y30)</f>
        <v>80</v>
      </c>
      <c r="BA6" s="90" t="str">
        <f>IF(AZ6="","",IF('Input Nilai Ketrampilan'!$U$1="","",'Input Nilai Ketrampilan'!$U$1))</f>
        <v>Menceritakan isi fabel/ legenda daerah setempat yang dibaca dan didengar</v>
      </c>
      <c r="BB6" s="90">
        <f>IF('Input Nilai Ketrampilan'!Y31="","",'Input Nilai Ketrampilan'!Y31)</f>
        <v>80</v>
      </c>
      <c r="BC6" s="90" t="str">
        <f>IF(BB6="","",IF('Input Nilai Ketrampilan'!$U$1="","",'Input Nilai Ketrampilan'!$U$1))</f>
        <v>Menceritakan isi fabel/ legenda daerah setempat yang dibaca dan didengar</v>
      </c>
      <c r="BD6" s="90">
        <f>IF('Input Nilai Ketrampilan'!Y32="","",'Input Nilai Ketrampilan'!Y32)</f>
        <v>79</v>
      </c>
      <c r="BE6" s="90" t="str">
        <f>IF(BD6="","",IF('Input Nilai Ketrampilan'!$U$1="","",'Input Nilai Ketrampilan'!$U$1))</f>
        <v>Menceritakan isi fabel/ legenda daerah setempat yang dibaca dan didengar</v>
      </c>
      <c r="BF6" s="90">
        <f>IF('Input Nilai Ketrampilan'!Y33="","",'Input Nilai Ketrampilan'!Y33)</f>
        <v>78</v>
      </c>
      <c r="BG6" s="90" t="str">
        <f>IF(BF6="","",IF('Input Nilai Ketrampilan'!$U$1="","",'Input Nilai Ketrampilan'!$U$1))</f>
        <v>Menceritakan isi fabel/ legenda daerah setempat yang dibaca dan didengar</v>
      </c>
      <c r="BH6" s="90">
        <f>IF('Input Nilai Ketrampilan'!Y34="","",'Input Nilai Ketrampilan'!Y34)</f>
        <v>79</v>
      </c>
      <c r="BI6" s="90" t="str">
        <f>IF(BH6="","",IF('Input Nilai Ketrampilan'!$U$1="","",'Input Nilai Ketrampilan'!$U$1))</f>
        <v>Menceritakan isi fabel/ legenda daerah setempat yang dibaca dan didengar</v>
      </c>
      <c r="BJ6" s="90">
        <f>IF('Input Nilai Ketrampilan'!Y35="","",'Input Nilai Ketrampilan'!Y35)</f>
        <v>80</v>
      </c>
      <c r="BK6" s="90" t="str">
        <f>IF(BJ6="","",IF('Input Nilai Ketrampilan'!$U$1="","",'Input Nilai Ketrampilan'!$U$1))</f>
        <v>Menceritakan isi fabel/ legenda daerah setempat yang dibaca dan didengar</v>
      </c>
      <c r="BL6" s="90">
        <f>IF('Input Nilai Ketrampilan'!Y36="","",'Input Nilai Ketrampilan'!Y36)</f>
        <v>80</v>
      </c>
      <c r="BM6" s="90" t="str">
        <f>IF(BL6="","",IF('Input Nilai Ketrampilan'!$U$1="","",'Input Nilai Ketrampilan'!$U$1))</f>
        <v>Menceritakan isi fabel/ legenda daerah setempat yang dibaca dan didengar</v>
      </c>
      <c r="BN6" s="90">
        <f>IF('Input Nilai Ketrampilan'!Y37="","",'Input Nilai Ketrampilan'!Y37)</f>
        <v>79</v>
      </c>
      <c r="BO6" s="90" t="str">
        <f>IF(BN6="","",IF('Input Nilai Ketrampilan'!$U$1="","",'Input Nilai Ketrampilan'!$U$1))</f>
        <v>Menceritakan isi fabel/ legenda daerah setempat yang dibaca dan didengar</v>
      </c>
      <c r="BP6" s="90">
        <f>IF('Input Nilai Ketrampilan'!Y38="","",'Input Nilai Ketrampilan'!Y38)</f>
        <v>78</v>
      </c>
      <c r="BQ6" s="90" t="str">
        <f>IF(BP6="","",IF('Input Nilai Ketrampilan'!$U$1="","",'Input Nilai Ketrampilan'!$U$1))</f>
        <v>Menceritakan isi fabel/ legenda daerah setempat yang dibaca dan didengar</v>
      </c>
      <c r="BR6" s="90">
        <f>IF('Input Nilai Ketrampilan'!Y39="","",'Input Nilai Ketrampilan'!Y39)</f>
        <v>79</v>
      </c>
      <c r="BS6" s="90" t="str">
        <f>IF(BR6="","",IF('Input Nilai Ketrampilan'!$U$1="","",'Input Nilai Ketrampilan'!$U$1))</f>
        <v>Menceritakan isi fabel/ legenda daerah setempat yang dibaca dan didengar</v>
      </c>
      <c r="BT6" s="90" t="str">
        <f>IF('Input Nilai Ketrampilan'!Y40="","",'Input Nilai Ketrampilan'!Y40)</f>
        <v/>
      </c>
      <c r="BU6" s="90" t="str">
        <f>IF(BT6="","",IF('Input Nilai Ketrampilan'!$U$1="","",'Input Nilai Ketrampilan'!$U$1))</f>
        <v/>
      </c>
      <c r="BV6" s="90" t="str">
        <f>IF('Input Nilai Ketrampilan'!Y41="","",'Input Nilai Ketrampilan'!Y41)</f>
        <v/>
      </c>
      <c r="BW6" s="90" t="str">
        <f>IF(BV6="","",IF('Input Nilai Ketrampilan'!$U$1="","",'Input Nilai Ketrampilan'!$U$1))</f>
        <v/>
      </c>
      <c r="BX6" s="90" t="str">
        <f>IF('Input Nilai Ketrampilan'!Y42="","",'Input Nilai Ketrampilan'!Y42)</f>
        <v/>
      </c>
      <c r="BY6" s="90" t="str">
        <f>IF(BX6="","",IF('Input Nilai Ketrampilan'!$U$1="","",'Input Nilai Ketrampilan'!$U$1))</f>
        <v/>
      </c>
      <c r="BZ6" s="90" t="str">
        <f>IF('Input Nilai Ketrampilan'!Y43="","",'Input Nilai Ketrampilan'!Y43)</f>
        <v/>
      </c>
      <c r="CA6" s="90" t="str">
        <f>IF(BZ6="","",IF('Input Nilai Ketrampilan'!$U$1="","",'Input Nilai Ketrampilan'!$U$1))</f>
        <v/>
      </c>
      <c r="CB6" s="90" t="str">
        <f>IF('Input Nilai Ketrampilan'!Y44="","",'Input Nilai Ketrampilan'!Y44)</f>
        <v/>
      </c>
      <c r="CC6" s="90" t="str">
        <f>IF(CB6="","",IF('Input Nilai Ketrampilan'!$U$1="","",'Input Nilai Ketrampilan'!$U$1))</f>
        <v/>
      </c>
      <c r="CD6" s="90" t="str">
        <f>IF('Input Nilai Ketrampilan'!Y45="","",'Input Nilai Ketrampilan'!Y45)</f>
        <v/>
      </c>
      <c r="CE6" s="90" t="str">
        <f>IF(CD6="","",IF('Input Nilai Ketrampilan'!$U$1="","",'Input Nilai Ketrampilan'!$U$1))</f>
        <v/>
      </c>
      <c r="CF6" s="90" t="str">
        <f>IF('Input Nilai Ketrampilan'!Y46="","",'Input Nilai Ketrampilan'!Y46)</f>
        <v/>
      </c>
      <c r="CG6" s="90" t="str">
        <f>IF(CF6="","",IF('Input Nilai Ketrampilan'!$U$1="","",'Input Nilai Ketrampilan'!$U$1))</f>
        <v/>
      </c>
      <c r="CH6" s="90" t="str">
        <f>IF('Input Nilai Ketrampilan'!Y47="","",'Input Nilai Ketrampilan'!Y47)</f>
        <v/>
      </c>
      <c r="CI6" s="90" t="str">
        <f>IF(CH6="","",IF('Input Nilai Ketrampilan'!$U$1="","",'Input Nilai Ketrampilan'!$U$1))</f>
        <v/>
      </c>
      <c r="CJ6" s="90" t="str">
        <f>IF('Input Nilai Ketrampilan'!Y48="","",'Input Nilai Ketrampilan'!Y48)</f>
        <v/>
      </c>
      <c r="CK6" s="90" t="str">
        <f>IF(CJ6="","",IF('Input Nilai Ketrampilan'!$U$1="","",'Input Nilai Ketrampilan'!$U$1))</f>
        <v/>
      </c>
      <c r="CL6" s="90" t="str">
        <f>IF('Input Nilai Ketrampilan'!Y49="","",'Input Nilai Ketrampilan'!Y49)</f>
        <v/>
      </c>
      <c r="CM6" s="90" t="str">
        <f>IF(CL6="","",IF('Input Nilai Ketrampilan'!$U$1="","",'Input Nilai Ketrampilan'!$U$1))</f>
        <v/>
      </c>
      <c r="CN6" s="90" t="str">
        <f>IF('Input Nilai Ketrampilan'!Y50="","",'Input Nilai Ketrampilan'!Y50)</f>
        <v/>
      </c>
      <c r="CO6" s="90" t="str">
        <f>IF(CN6="","",IF('Input Nilai Ketrampilan'!$U$1="","",'Input Nilai Ketrampilan'!$U$1))</f>
        <v/>
      </c>
      <c r="CP6" s="90" t="str">
        <f>IF('Input Nilai Ketrampilan'!Y51="","",'Input Nilai Ketrampilan'!Y51)</f>
        <v/>
      </c>
      <c r="CQ6" s="90" t="str">
        <f>IF(CP6="","",IF('Input Nilai Ketrampilan'!$U$1="","",'Input Nilai Ketrampilan'!$U$1))</f>
        <v/>
      </c>
      <c r="CR6" s="90" t="str">
        <f>IF('Input Nilai Ketrampilan'!Y52="","",'Input Nilai Ketrampilan'!Y52)</f>
        <v/>
      </c>
      <c r="CS6" s="90" t="str">
        <f>IF(CR6="","",IF('Input Nilai Ketrampilan'!$U$1="","",'Input Nilai Ketrampilan'!$U$1))</f>
        <v/>
      </c>
    </row>
    <row r="7" spans="1:97">
      <c r="A7" s="72">
        <v>5</v>
      </c>
      <c r="B7" s="90" t="str">
        <f>IF('Input Nilai Ketrampilan'!AD5="","",'Input Nilai Ketrampilan'!AD5)</f>
        <v/>
      </c>
      <c r="C7" s="90" t="str">
        <f>IF(B7="","",IF('Input Nilai Ketrampilan'!$Z$1="","",'Input Nilai Ketrampilan'!$Z$1))</f>
        <v/>
      </c>
      <c r="D7" s="90" t="str">
        <f>IF('Input Nilai Ketrampilan'!AD6="","",'Input Nilai Ketrampilan'!AD6)</f>
        <v/>
      </c>
      <c r="E7" s="90" t="str">
        <f>IF(D7="","",IF('Input Nilai Ketrampilan'!$Z$1="","",'Input Nilai Ketrampilan'!$Z$1))</f>
        <v/>
      </c>
      <c r="F7" s="90" t="str">
        <f>IF('Input Nilai Ketrampilan'!AD7="","",'Input Nilai Ketrampilan'!AD7)</f>
        <v/>
      </c>
      <c r="G7" s="90" t="str">
        <f>IF(F7="","",IF('Input Nilai Ketrampilan'!$Z$1="","",'Input Nilai Ketrampilan'!$Z$1))</f>
        <v/>
      </c>
      <c r="H7" s="90" t="str">
        <f>IF('Input Nilai Ketrampilan'!AD8="","",'Input Nilai Ketrampilan'!AD8)</f>
        <v/>
      </c>
      <c r="I7" s="90" t="str">
        <f>IF(H7="","",IF('Input Nilai Ketrampilan'!$Z$1="","",'Input Nilai Ketrampilan'!$Z$1))</f>
        <v/>
      </c>
      <c r="J7" s="90" t="str">
        <f>IF('Input Nilai Ketrampilan'!AD9="","",'Input Nilai Ketrampilan'!AD9)</f>
        <v/>
      </c>
      <c r="K7" s="90" t="str">
        <f>IF(J7="","",IF('Input Nilai Ketrampilan'!$Z$1="","",'Input Nilai Ketrampilan'!$Z$1))</f>
        <v/>
      </c>
      <c r="L7" s="90" t="str">
        <f>IF('Input Nilai Ketrampilan'!AD10="","",'Input Nilai Ketrampilan'!AD10)</f>
        <v/>
      </c>
      <c r="M7" s="90" t="str">
        <f>IF(L7="","",IF('Input Nilai Ketrampilan'!$Z$1="","",'Input Nilai Ketrampilan'!$Z$1))</f>
        <v/>
      </c>
      <c r="N7" s="90" t="str">
        <f>IF('Input Nilai Ketrampilan'!AD11="","",'Input Nilai Ketrampilan'!AD11)</f>
        <v/>
      </c>
      <c r="O7" s="90" t="str">
        <f>IF(N7="","",IF('Input Nilai Ketrampilan'!$Z$1="","",'Input Nilai Ketrampilan'!$Z$1))</f>
        <v/>
      </c>
      <c r="P7" s="90" t="str">
        <f>IF('Input Nilai Ketrampilan'!AD12="","",'Input Nilai Ketrampilan'!AD12)</f>
        <v/>
      </c>
      <c r="Q7" s="90" t="str">
        <f>IF(P7="","",IF('Input Nilai Ketrampilan'!$Z$1="","",'Input Nilai Ketrampilan'!$Z$1))</f>
        <v/>
      </c>
      <c r="R7" s="90" t="str">
        <f>IF('Input Nilai Ketrampilan'!AD13="","",'Input Nilai Ketrampilan'!AD13)</f>
        <v/>
      </c>
      <c r="S7" s="90" t="str">
        <f>IF(R7="","",IF('Input Nilai Ketrampilan'!$Z$1="","",'Input Nilai Ketrampilan'!$Z$1))</f>
        <v/>
      </c>
      <c r="T7" s="90" t="str">
        <f>IF('Input Nilai Ketrampilan'!AD14="","",'Input Nilai Ketrampilan'!AD14)</f>
        <v/>
      </c>
      <c r="U7" s="90" t="str">
        <f>IF(T7="","",IF('Input Nilai Ketrampilan'!$Z$1="","",'Input Nilai Ketrampilan'!$Z$1))</f>
        <v/>
      </c>
      <c r="V7" s="90" t="str">
        <f>IF('Input Nilai Ketrampilan'!AD15="","",'Input Nilai Ketrampilan'!AD15)</f>
        <v/>
      </c>
      <c r="W7" s="90" t="str">
        <f>IF(V7="","",IF('Input Nilai Ketrampilan'!$Z$1="","",'Input Nilai Ketrampilan'!$Z$1))</f>
        <v/>
      </c>
      <c r="X7" s="90" t="str">
        <f>IF('Input Nilai Ketrampilan'!AD16="","",'Input Nilai Ketrampilan'!AD16)</f>
        <v/>
      </c>
      <c r="Y7" s="90" t="str">
        <f>IF(X7="","",IF('Input Nilai Ketrampilan'!$Z$1="","",'Input Nilai Ketrampilan'!$Z$1))</f>
        <v/>
      </c>
      <c r="Z7" s="90" t="str">
        <f>IF('Input Nilai Ketrampilan'!AD17="","",'Input Nilai Ketrampilan'!AD17)</f>
        <v/>
      </c>
      <c r="AA7" s="90" t="str">
        <f>IF(Z7="","",IF('Input Nilai Ketrampilan'!$Z$1="","",'Input Nilai Ketrampilan'!$Z$1))</f>
        <v/>
      </c>
      <c r="AB7" s="90" t="str">
        <f>IF('Input Nilai Ketrampilan'!AD18="","",'Input Nilai Ketrampilan'!AD18)</f>
        <v/>
      </c>
      <c r="AC7" s="90" t="str">
        <f>IF(AB7="","",IF('Input Nilai Ketrampilan'!$Z$1="","",'Input Nilai Ketrampilan'!$Z$1))</f>
        <v/>
      </c>
      <c r="AD7" s="90" t="str">
        <f>IF('Input Nilai Ketrampilan'!AD19="","",'Input Nilai Ketrampilan'!AD19)</f>
        <v/>
      </c>
      <c r="AE7" s="90" t="str">
        <f>IF(AD7="","",IF('Input Nilai Ketrampilan'!$Z$1="","",'Input Nilai Ketrampilan'!$Z$1))</f>
        <v/>
      </c>
      <c r="AF7" s="90" t="str">
        <f>IF('Input Nilai Ketrampilan'!AD20="","",'Input Nilai Ketrampilan'!AD20)</f>
        <v/>
      </c>
      <c r="AG7" s="90" t="str">
        <f>IF(AF7="","",IF('Input Nilai Ketrampilan'!$Z$1="","",'Input Nilai Ketrampilan'!$Z$1))</f>
        <v/>
      </c>
      <c r="AH7" s="90" t="str">
        <f>IF('Input Nilai Ketrampilan'!AD21="","",'Input Nilai Ketrampilan'!AD21)</f>
        <v/>
      </c>
      <c r="AI7" s="90" t="str">
        <f>IF(AH7="","",IF('Input Nilai Ketrampilan'!$Z$1="","",'Input Nilai Ketrampilan'!$Z$1))</f>
        <v/>
      </c>
      <c r="AJ7" s="90" t="str">
        <f>IF('Input Nilai Ketrampilan'!AD22="","",'Input Nilai Ketrampilan'!AD22)</f>
        <v/>
      </c>
      <c r="AK7" s="90" t="str">
        <f>IF(AJ7="","",IF('Input Nilai Ketrampilan'!$Z$1="","",'Input Nilai Ketrampilan'!$Z$1))</f>
        <v/>
      </c>
      <c r="AL7" s="90" t="str">
        <f>IF('Input Nilai Ketrampilan'!AD23="","",'Input Nilai Ketrampilan'!AD23)</f>
        <v/>
      </c>
      <c r="AM7" s="90" t="str">
        <f>IF(AL7="","",IF('Input Nilai Ketrampilan'!$Z$1="","",'Input Nilai Ketrampilan'!$Z$1))</f>
        <v/>
      </c>
      <c r="AN7" s="90" t="str">
        <f>IF('Input Nilai Ketrampilan'!AD24="","",'Input Nilai Ketrampilan'!AD24)</f>
        <v/>
      </c>
      <c r="AO7" s="90" t="str">
        <f>IF(AN7="","",IF('Input Nilai Ketrampilan'!$Z$1="","",'Input Nilai Ketrampilan'!$Z$1))</f>
        <v/>
      </c>
      <c r="AP7" s="90" t="str">
        <f>IF('Input Nilai Ketrampilan'!AD25="","",'Input Nilai Ketrampilan'!AD25)</f>
        <v/>
      </c>
      <c r="AQ7" s="90" t="str">
        <f>IF(AP7="","",IF('Input Nilai Ketrampilan'!$Z$1="","",'Input Nilai Ketrampilan'!$Z$1))</f>
        <v/>
      </c>
      <c r="AR7" s="90" t="str">
        <f>IF('Input Nilai Ketrampilan'!AD26="","",'Input Nilai Ketrampilan'!AD26)</f>
        <v/>
      </c>
      <c r="AS7" s="90" t="str">
        <f>IF(AR7="","",IF('Input Nilai Ketrampilan'!$Z$1="","",'Input Nilai Ketrampilan'!$Z$1))</f>
        <v/>
      </c>
      <c r="AT7" s="90" t="str">
        <f>IF('Input Nilai Ketrampilan'!AD27="","",'Input Nilai Ketrampilan'!AD27)</f>
        <v/>
      </c>
      <c r="AU7" s="90" t="str">
        <f>IF(AT7="","",IF('Input Nilai Ketrampilan'!$Z$1="","",'Input Nilai Ketrampilan'!$Z$1))</f>
        <v/>
      </c>
      <c r="AV7" s="90" t="str">
        <f>IF('Input Nilai Ketrampilan'!AD28="","",'Input Nilai Ketrampilan'!AD28)</f>
        <v/>
      </c>
      <c r="AW7" s="90" t="str">
        <f>IF(AV7="","",IF('Input Nilai Ketrampilan'!$Z$1="","",'Input Nilai Ketrampilan'!$Z$1))</f>
        <v/>
      </c>
      <c r="AX7" s="90" t="str">
        <f>IF('Input Nilai Ketrampilan'!AD29="","",'Input Nilai Ketrampilan'!AD29)</f>
        <v/>
      </c>
      <c r="AY7" s="90" t="str">
        <f>IF(AX7="","",IF('Input Nilai Ketrampilan'!$Z$1="","",'Input Nilai Ketrampilan'!$Z$1))</f>
        <v/>
      </c>
      <c r="AZ7" s="90" t="str">
        <f>IF('Input Nilai Ketrampilan'!AD30="","",'Input Nilai Ketrampilan'!AD30)</f>
        <v/>
      </c>
      <c r="BA7" s="90" t="str">
        <f>IF(AZ7="","",IF('Input Nilai Ketrampilan'!$Z$1="","",'Input Nilai Ketrampilan'!$Z$1))</f>
        <v/>
      </c>
      <c r="BB7" s="90" t="str">
        <f>IF('Input Nilai Ketrampilan'!AD31="","",'Input Nilai Ketrampilan'!AD31)</f>
        <v/>
      </c>
      <c r="BC7" s="90" t="str">
        <f>IF(BB7="","",IF('Input Nilai Ketrampilan'!$Z$1="","",'Input Nilai Ketrampilan'!$Z$1))</f>
        <v/>
      </c>
      <c r="BD7" s="90" t="str">
        <f>IF('Input Nilai Ketrampilan'!AD32="","",'Input Nilai Ketrampilan'!AD32)</f>
        <v/>
      </c>
      <c r="BE7" s="90" t="str">
        <f>IF(BD7="","",IF('Input Nilai Ketrampilan'!$Z$1="","",'Input Nilai Ketrampilan'!$Z$1))</f>
        <v/>
      </c>
      <c r="BF7" s="90" t="str">
        <f>IF('Input Nilai Ketrampilan'!AD33="","",'Input Nilai Ketrampilan'!AD33)</f>
        <v/>
      </c>
      <c r="BG7" s="90" t="str">
        <f>IF(BF7="","",IF('Input Nilai Ketrampilan'!$Z$1="","",'Input Nilai Ketrampilan'!$Z$1))</f>
        <v/>
      </c>
      <c r="BH7" s="90" t="str">
        <f>IF('Input Nilai Ketrampilan'!AD34="","",'Input Nilai Ketrampilan'!AD34)</f>
        <v/>
      </c>
      <c r="BI7" s="90" t="str">
        <f>IF(BH7="","",IF('Input Nilai Ketrampilan'!$Z$1="","",'Input Nilai Ketrampilan'!$Z$1))</f>
        <v/>
      </c>
      <c r="BJ7" s="90" t="str">
        <f>IF('Input Nilai Ketrampilan'!AD35="","",'Input Nilai Ketrampilan'!AD35)</f>
        <v/>
      </c>
      <c r="BK7" s="90" t="str">
        <f>IF(BJ7="","",IF('Input Nilai Ketrampilan'!$Z$1="","",'Input Nilai Ketrampilan'!$Z$1))</f>
        <v/>
      </c>
      <c r="BL7" s="90" t="str">
        <f>IF('Input Nilai Ketrampilan'!AD36="","",'Input Nilai Ketrampilan'!AD36)</f>
        <v/>
      </c>
      <c r="BM7" s="90" t="str">
        <f>IF(BL7="","",IF('Input Nilai Ketrampilan'!$Z$1="","",'Input Nilai Ketrampilan'!$Z$1))</f>
        <v/>
      </c>
      <c r="BN7" s="90" t="str">
        <f>IF('Input Nilai Ketrampilan'!AD37="","",'Input Nilai Ketrampilan'!AD37)</f>
        <v/>
      </c>
      <c r="BO7" s="90" t="str">
        <f>IF(BN7="","",IF('Input Nilai Ketrampilan'!$Z$1="","",'Input Nilai Ketrampilan'!$Z$1))</f>
        <v/>
      </c>
      <c r="BP7" s="90" t="str">
        <f>IF('Input Nilai Ketrampilan'!AD38="","",'Input Nilai Ketrampilan'!AD38)</f>
        <v/>
      </c>
      <c r="BQ7" s="90" t="str">
        <f>IF(BP7="","",IF('Input Nilai Ketrampilan'!$Z$1="","",'Input Nilai Ketrampilan'!$Z$1))</f>
        <v/>
      </c>
      <c r="BR7" s="90" t="str">
        <f>IF('Input Nilai Ketrampilan'!AD39="","",'Input Nilai Ketrampilan'!AD39)</f>
        <v/>
      </c>
      <c r="BS7" s="90" t="str">
        <f>IF(BR7="","",IF('Input Nilai Ketrampilan'!$Z$1="","",'Input Nilai Ketrampilan'!$Z$1))</f>
        <v/>
      </c>
      <c r="BT7" s="90" t="str">
        <f>IF('Input Nilai Ketrampilan'!AD40="","",'Input Nilai Ketrampilan'!AD40)</f>
        <v/>
      </c>
      <c r="BU7" s="90" t="str">
        <f>IF(BT7="","",IF('Input Nilai Ketrampilan'!$Z$1="","",'Input Nilai Ketrampilan'!$Z$1))</f>
        <v/>
      </c>
      <c r="BV7" s="90" t="str">
        <f>IF('Input Nilai Ketrampilan'!AD41="","",'Input Nilai Ketrampilan'!AD41)</f>
        <v/>
      </c>
      <c r="BW7" s="90" t="str">
        <f>IF(BV7="","",IF('Input Nilai Ketrampilan'!$Z$1="","",'Input Nilai Ketrampilan'!$Z$1))</f>
        <v/>
      </c>
      <c r="BX7" s="90" t="str">
        <f>IF('Input Nilai Ketrampilan'!AD42="","",'Input Nilai Ketrampilan'!AD42)</f>
        <v/>
      </c>
      <c r="BY7" s="90" t="str">
        <f>IF(BX7="","",IF('Input Nilai Ketrampilan'!$Z$1="","",'Input Nilai Ketrampilan'!$Z$1))</f>
        <v/>
      </c>
      <c r="BZ7" s="90" t="str">
        <f>IF('Input Nilai Ketrampilan'!AD43="","",'Input Nilai Ketrampilan'!AD43)</f>
        <v/>
      </c>
      <c r="CA7" s="90" t="str">
        <f>IF(BZ7="","",IF('Input Nilai Ketrampilan'!$Z$1="","",'Input Nilai Ketrampilan'!$Z$1))</f>
        <v/>
      </c>
      <c r="CB7" s="90" t="str">
        <f>IF('Input Nilai Ketrampilan'!AD44="","",'Input Nilai Ketrampilan'!AD44)</f>
        <v/>
      </c>
      <c r="CC7" s="90" t="str">
        <f>IF(CB7="","",IF('Input Nilai Ketrampilan'!$Z$1="","",'Input Nilai Ketrampilan'!$Z$1))</f>
        <v/>
      </c>
      <c r="CD7" s="90" t="str">
        <f>IF('Input Nilai Ketrampilan'!AD45="","",'Input Nilai Ketrampilan'!AD45)</f>
        <v/>
      </c>
      <c r="CE7" s="90" t="str">
        <f>IF(CD7="","",IF('Input Nilai Ketrampilan'!$Z$1="","",'Input Nilai Ketrampilan'!$Z$1))</f>
        <v/>
      </c>
      <c r="CF7" s="90" t="str">
        <f>IF('Input Nilai Ketrampilan'!AD46="","",'Input Nilai Ketrampilan'!AD46)</f>
        <v/>
      </c>
      <c r="CG7" s="90" t="str">
        <f>IF(CF7="","",IF('Input Nilai Ketrampilan'!$Z$1="","",'Input Nilai Ketrampilan'!$Z$1))</f>
        <v/>
      </c>
      <c r="CH7" s="90" t="str">
        <f>IF('Input Nilai Ketrampilan'!AD47="","",'Input Nilai Ketrampilan'!AD47)</f>
        <v/>
      </c>
      <c r="CI7" s="90" t="str">
        <f>IF(CH7="","",IF('Input Nilai Ketrampilan'!$Z$1="","",'Input Nilai Ketrampilan'!$Z$1))</f>
        <v/>
      </c>
      <c r="CJ7" s="90" t="str">
        <f>IF('Input Nilai Ketrampilan'!AD48="","",'Input Nilai Ketrampilan'!AD48)</f>
        <v/>
      </c>
      <c r="CK7" s="90" t="str">
        <f>IF(CJ7="","",IF('Input Nilai Ketrampilan'!$Z$1="","",'Input Nilai Ketrampilan'!$Z$1))</f>
        <v/>
      </c>
      <c r="CL7" s="90" t="str">
        <f>IF('Input Nilai Ketrampilan'!AD49="","",'Input Nilai Ketrampilan'!AD49)</f>
        <v/>
      </c>
      <c r="CM7" s="90" t="str">
        <f>IF(CL7="","",IF('Input Nilai Ketrampilan'!$Z$1="","",'Input Nilai Ketrampilan'!$Z$1))</f>
        <v/>
      </c>
      <c r="CN7" s="90" t="str">
        <f>IF('Input Nilai Ketrampilan'!AD50="","",'Input Nilai Ketrampilan'!AD50)</f>
        <v/>
      </c>
      <c r="CO7" s="90" t="str">
        <f>IF(CN7="","",IF('Input Nilai Ketrampilan'!$Z$1="","",'Input Nilai Ketrampilan'!$Z$1))</f>
        <v/>
      </c>
      <c r="CP7" s="90" t="str">
        <f>IF('Input Nilai Ketrampilan'!AD51="","",'Input Nilai Ketrampilan'!AD51)</f>
        <v/>
      </c>
      <c r="CQ7" s="90" t="str">
        <f>IF(CP7="","",IF('Input Nilai Ketrampilan'!$Z$1="","",'Input Nilai Ketrampilan'!$Z$1))</f>
        <v/>
      </c>
      <c r="CR7" s="90" t="str">
        <f>IF('Input Nilai Ketrampilan'!AD52="","",'Input Nilai Ketrampilan'!AD52)</f>
        <v/>
      </c>
      <c r="CS7" s="90" t="str">
        <f>IF(CR7="","",IF('Input Nilai Ketrampilan'!$Z$1="","",'Input Nilai Ketrampilan'!$Z$1))</f>
        <v/>
      </c>
    </row>
    <row r="8" spans="1:97">
      <c r="A8" s="72">
        <v>6</v>
      </c>
      <c r="B8" s="90" t="str">
        <f>IF('Input Nilai Ketrampilan'!AI5="","",'Input Nilai Ketrampilan'!AI5)</f>
        <v/>
      </c>
      <c r="C8" s="90" t="str">
        <f>IF(B8="","",IF('Input Nilai Ketrampilan'!$AE$1="","",'Input Nilai Ketrampilan'!$AE$1))</f>
        <v/>
      </c>
      <c r="D8" s="90" t="str">
        <f>IF('Input Nilai Ketrampilan'!AI6="","",'Input Nilai Ketrampilan'!AI6)</f>
        <v/>
      </c>
      <c r="E8" s="90" t="str">
        <f>IF(D8="","",IF('Input Nilai Ketrampilan'!$AE$1="","",'Input Nilai Ketrampilan'!$AE$1))</f>
        <v/>
      </c>
      <c r="F8" s="90" t="str">
        <f>IF('Input Nilai Ketrampilan'!AI7="","",'Input Nilai Ketrampilan'!AI7)</f>
        <v/>
      </c>
      <c r="G8" s="90" t="str">
        <f>IF(F8="","",IF('Input Nilai Ketrampilan'!$AE$1="","",'Input Nilai Ketrampilan'!$AE$1))</f>
        <v/>
      </c>
      <c r="H8" s="90" t="str">
        <f>IF('Input Nilai Ketrampilan'!AI8="","",'Input Nilai Ketrampilan'!AI8)</f>
        <v/>
      </c>
      <c r="I8" s="90" t="str">
        <f>IF(H8="","",IF('Input Nilai Ketrampilan'!$AE$1="","",'Input Nilai Ketrampilan'!$AE$1))</f>
        <v/>
      </c>
      <c r="J8" s="90" t="str">
        <f>IF('Input Nilai Ketrampilan'!AI9="","",'Input Nilai Ketrampilan'!AI9)</f>
        <v/>
      </c>
      <c r="K8" s="90" t="str">
        <f>IF(J8="","",IF('Input Nilai Ketrampilan'!$AE$1="","",'Input Nilai Ketrampilan'!$AE$1))</f>
        <v/>
      </c>
      <c r="L8" s="90" t="str">
        <f>IF('Input Nilai Ketrampilan'!AI10="","",'Input Nilai Ketrampilan'!AI10)</f>
        <v/>
      </c>
      <c r="M8" s="90" t="str">
        <f>IF(L8="","",IF('Input Nilai Ketrampilan'!$AE$1="","",'Input Nilai Ketrampilan'!$AE$1))</f>
        <v/>
      </c>
      <c r="N8" s="90" t="str">
        <f>IF('Input Nilai Ketrampilan'!AI11="","",'Input Nilai Ketrampilan'!AI11)</f>
        <v/>
      </c>
      <c r="O8" s="90" t="str">
        <f>IF(N8="","",IF('Input Nilai Ketrampilan'!$AE$1="","",'Input Nilai Ketrampilan'!$AE$1))</f>
        <v/>
      </c>
      <c r="P8" s="90" t="str">
        <f>IF('Input Nilai Ketrampilan'!AI12="","",'Input Nilai Ketrampilan'!AI12)</f>
        <v/>
      </c>
      <c r="Q8" s="90" t="str">
        <f>IF(P8="","",IF('Input Nilai Ketrampilan'!$AE$1="","",'Input Nilai Ketrampilan'!$AE$1))</f>
        <v/>
      </c>
      <c r="R8" s="90" t="str">
        <f>IF('Input Nilai Ketrampilan'!AI13="","",'Input Nilai Ketrampilan'!AI13)</f>
        <v/>
      </c>
      <c r="S8" s="90" t="str">
        <f>IF(R8="","",IF('Input Nilai Ketrampilan'!$AE$1="","",'Input Nilai Ketrampilan'!$AE$1))</f>
        <v/>
      </c>
      <c r="T8" s="90" t="str">
        <f>IF('Input Nilai Ketrampilan'!AI14="","",'Input Nilai Ketrampilan'!AI14)</f>
        <v/>
      </c>
      <c r="U8" s="90" t="str">
        <f>IF(T8="","",IF('Input Nilai Ketrampilan'!$AE$1="","",'Input Nilai Ketrampilan'!$AE$1))</f>
        <v/>
      </c>
      <c r="V8" s="90" t="str">
        <f>IF('Input Nilai Ketrampilan'!AI15="","",'Input Nilai Ketrampilan'!AI15)</f>
        <v/>
      </c>
      <c r="W8" s="90" t="str">
        <f>IF(V8="","",IF('Input Nilai Ketrampilan'!$AE$1="","",'Input Nilai Ketrampilan'!$AE$1))</f>
        <v/>
      </c>
      <c r="X8" s="90" t="str">
        <f>IF('Input Nilai Ketrampilan'!AI16="","",'Input Nilai Ketrampilan'!AI16)</f>
        <v/>
      </c>
      <c r="Y8" s="90" t="str">
        <f>IF(X8="","",IF('Input Nilai Ketrampilan'!$AE$1="","",'Input Nilai Ketrampilan'!$AE$1))</f>
        <v/>
      </c>
      <c r="Z8" s="90" t="str">
        <f>IF('Input Nilai Ketrampilan'!AI17="","",'Input Nilai Ketrampilan'!AI17)</f>
        <v/>
      </c>
      <c r="AA8" s="90" t="str">
        <f>IF(Z8="","",IF('Input Nilai Ketrampilan'!$AE$1="","",'Input Nilai Ketrampilan'!$AE$1))</f>
        <v/>
      </c>
      <c r="AB8" s="90" t="str">
        <f>IF('Input Nilai Ketrampilan'!AI18="","",'Input Nilai Ketrampilan'!AI18)</f>
        <v/>
      </c>
      <c r="AC8" s="90" t="str">
        <f>IF(AB8="","",IF('Input Nilai Ketrampilan'!$AE$1="","",'Input Nilai Ketrampilan'!$AE$1))</f>
        <v/>
      </c>
      <c r="AD8" s="90" t="str">
        <f>IF('Input Nilai Ketrampilan'!AI19="","",'Input Nilai Ketrampilan'!AI19)</f>
        <v/>
      </c>
      <c r="AE8" s="90" t="str">
        <f>IF(AD8="","",IF('Input Nilai Ketrampilan'!$AE$1="","",'Input Nilai Ketrampilan'!$AE$1))</f>
        <v/>
      </c>
      <c r="AF8" s="90" t="str">
        <f>IF('Input Nilai Ketrampilan'!AI20="","",'Input Nilai Ketrampilan'!AI20)</f>
        <v/>
      </c>
      <c r="AG8" s="90" t="str">
        <f>IF(AF8="","",IF('Input Nilai Ketrampilan'!$AE$1="","",'Input Nilai Ketrampilan'!$AE$1))</f>
        <v/>
      </c>
      <c r="AH8" s="90" t="str">
        <f>IF('Input Nilai Ketrampilan'!AI21="","",'Input Nilai Ketrampilan'!AI21)</f>
        <v/>
      </c>
      <c r="AI8" s="90" t="str">
        <f>IF(AH8="","",IF('Input Nilai Ketrampilan'!$AE$1="","",'Input Nilai Ketrampilan'!$AE$1))</f>
        <v/>
      </c>
      <c r="AJ8" s="90" t="str">
        <f>IF('Input Nilai Ketrampilan'!AI22="","",'Input Nilai Ketrampilan'!AI22)</f>
        <v/>
      </c>
      <c r="AK8" s="90" t="str">
        <f>IF(AJ8="","",IF('Input Nilai Ketrampilan'!$AE$1="","",'Input Nilai Ketrampilan'!$AE$1))</f>
        <v/>
      </c>
      <c r="AL8" s="90" t="str">
        <f>IF('Input Nilai Ketrampilan'!AI23="","",'Input Nilai Ketrampilan'!AI23)</f>
        <v/>
      </c>
      <c r="AM8" s="90" t="str">
        <f>IF(AL8="","",IF('Input Nilai Ketrampilan'!$AE$1="","",'Input Nilai Ketrampilan'!$AE$1))</f>
        <v/>
      </c>
      <c r="AN8" s="90" t="str">
        <f>IF('Input Nilai Ketrampilan'!AI24="","",'Input Nilai Ketrampilan'!AI24)</f>
        <v/>
      </c>
      <c r="AO8" s="90" t="str">
        <f>IF(AN8="","",IF('Input Nilai Ketrampilan'!$AE$1="","",'Input Nilai Ketrampilan'!$AE$1))</f>
        <v/>
      </c>
      <c r="AP8" s="90" t="str">
        <f>IF('Input Nilai Ketrampilan'!AI25="","",'Input Nilai Ketrampilan'!AI25)</f>
        <v/>
      </c>
      <c r="AQ8" s="90" t="str">
        <f>IF(AP8="","",IF('Input Nilai Ketrampilan'!$AE$1="","",'Input Nilai Ketrampilan'!$AE$1))</f>
        <v/>
      </c>
      <c r="AR8" s="90" t="str">
        <f>IF('Input Nilai Ketrampilan'!AI26="","",'Input Nilai Ketrampilan'!AI26)</f>
        <v/>
      </c>
      <c r="AS8" s="90" t="str">
        <f>IF(AR8="","",IF('Input Nilai Ketrampilan'!$AE$1="","",'Input Nilai Ketrampilan'!$AE$1))</f>
        <v/>
      </c>
      <c r="AT8" s="90" t="str">
        <f>IF('Input Nilai Ketrampilan'!AI27="","",'Input Nilai Ketrampilan'!AI27)</f>
        <v/>
      </c>
      <c r="AU8" s="90" t="str">
        <f>IF(AT8="","",IF('Input Nilai Ketrampilan'!$AE$1="","",'Input Nilai Ketrampilan'!$AE$1))</f>
        <v/>
      </c>
      <c r="AV8" s="90" t="str">
        <f>IF('Input Nilai Ketrampilan'!AI28="","",'Input Nilai Ketrampilan'!AI28)</f>
        <v/>
      </c>
      <c r="AW8" s="90" t="str">
        <f>IF(AV8="","",IF('Input Nilai Ketrampilan'!$AE$1="","",'Input Nilai Ketrampilan'!$AE$1))</f>
        <v/>
      </c>
      <c r="AX8" s="90" t="str">
        <f>IF('Input Nilai Ketrampilan'!AI29="","",'Input Nilai Ketrampilan'!AI29)</f>
        <v/>
      </c>
      <c r="AY8" s="90" t="str">
        <f>IF(AX8="","",IF('Input Nilai Ketrampilan'!$AE$1="","",'Input Nilai Ketrampilan'!$AE$1))</f>
        <v/>
      </c>
      <c r="AZ8" s="90" t="str">
        <f>IF('Input Nilai Ketrampilan'!AI30="","",'Input Nilai Ketrampilan'!AI30)</f>
        <v/>
      </c>
      <c r="BA8" s="90" t="str">
        <f>IF(AZ8="","",IF('Input Nilai Ketrampilan'!$AE$1="","",'Input Nilai Ketrampilan'!$AE$1))</f>
        <v/>
      </c>
      <c r="BB8" s="90" t="str">
        <f>IF('Input Nilai Ketrampilan'!AI31="","",'Input Nilai Ketrampilan'!AI31)</f>
        <v/>
      </c>
      <c r="BC8" s="90" t="str">
        <f>IF(BB8="","",IF('Input Nilai Ketrampilan'!$AE$1="","",'Input Nilai Ketrampilan'!$AE$1))</f>
        <v/>
      </c>
      <c r="BD8" s="90" t="str">
        <f>IF('Input Nilai Ketrampilan'!AI32="","",'Input Nilai Ketrampilan'!AI32)</f>
        <v/>
      </c>
      <c r="BE8" s="90" t="str">
        <f>IF(BD8="","",IF('Input Nilai Ketrampilan'!$AE$1="","",'Input Nilai Ketrampilan'!$AE$1))</f>
        <v/>
      </c>
      <c r="BF8" s="90" t="str">
        <f>IF('Input Nilai Ketrampilan'!AI33="","",'Input Nilai Ketrampilan'!AI33)</f>
        <v/>
      </c>
      <c r="BG8" s="90" t="str">
        <f>IF(BF8="","",IF('Input Nilai Ketrampilan'!$AE$1="","",'Input Nilai Ketrampilan'!$AE$1))</f>
        <v/>
      </c>
      <c r="BH8" s="90" t="str">
        <f>IF('Input Nilai Ketrampilan'!AI34="","",'Input Nilai Ketrampilan'!AI34)</f>
        <v/>
      </c>
      <c r="BI8" s="90" t="str">
        <f>IF(BH8="","",IF('Input Nilai Ketrampilan'!$AE$1="","",'Input Nilai Ketrampilan'!$AE$1))</f>
        <v/>
      </c>
      <c r="BJ8" s="90" t="str">
        <f>IF('Input Nilai Ketrampilan'!AI35="","",'Input Nilai Ketrampilan'!AI35)</f>
        <v/>
      </c>
      <c r="BK8" s="90" t="str">
        <f>IF(BJ8="","",IF('Input Nilai Ketrampilan'!$AE$1="","",'Input Nilai Ketrampilan'!$AE$1))</f>
        <v/>
      </c>
      <c r="BL8" s="90" t="str">
        <f>IF('Input Nilai Ketrampilan'!AI36="","",'Input Nilai Ketrampilan'!AI36)</f>
        <v/>
      </c>
      <c r="BM8" s="90" t="str">
        <f>IF(BL8="","",IF('Input Nilai Ketrampilan'!$AE$1="","",'Input Nilai Ketrampilan'!$AE$1))</f>
        <v/>
      </c>
      <c r="BN8" s="90" t="str">
        <f>IF('Input Nilai Ketrampilan'!AI37="","",'Input Nilai Ketrampilan'!AI37)</f>
        <v/>
      </c>
      <c r="BO8" s="90" t="str">
        <f>IF(BN8="","",IF('Input Nilai Ketrampilan'!$AE$1="","",'Input Nilai Ketrampilan'!$AE$1))</f>
        <v/>
      </c>
      <c r="BP8" s="90" t="str">
        <f>IF('Input Nilai Ketrampilan'!AI38="","",'Input Nilai Ketrampilan'!AI38)</f>
        <v/>
      </c>
      <c r="BQ8" s="90" t="str">
        <f>IF(BP8="","",IF('Input Nilai Ketrampilan'!$AE$1="","",'Input Nilai Ketrampilan'!$AE$1))</f>
        <v/>
      </c>
      <c r="BR8" s="90" t="str">
        <f>IF('Input Nilai Ketrampilan'!AI39="","",'Input Nilai Ketrampilan'!AI39)</f>
        <v/>
      </c>
      <c r="BS8" s="90" t="str">
        <f>IF(BR8="","",IF('Input Nilai Ketrampilan'!$AE$1="","",'Input Nilai Ketrampilan'!$AE$1))</f>
        <v/>
      </c>
      <c r="BT8" s="90" t="str">
        <f>IF('Input Nilai Ketrampilan'!AI40="","",'Input Nilai Ketrampilan'!AI40)</f>
        <v/>
      </c>
      <c r="BU8" s="90" t="str">
        <f>IF(BT8="","",IF('Input Nilai Ketrampilan'!$AE$1="","",'Input Nilai Ketrampilan'!$AE$1))</f>
        <v/>
      </c>
      <c r="BV8" s="90" t="str">
        <f>IF('Input Nilai Ketrampilan'!AI41="","",'Input Nilai Ketrampilan'!AI41)</f>
        <v/>
      </c>
      <c r="BW8" s="90" t="str">
        <f>IF(BV8="","",IF('Input Nilai Ketrampilan'!$AE$1="","",'Input Nilai Ketrampilan'!$AE$1))</f>
        <v/>
      </c>
      <c r="BX8" s="90" t="str">
        <f>IF('Input Nilai Ketrampilan'!AI42="","",'Input Nilai Ketrampilan'!AI42)</f>
        <v/>
      </c>
      <c r="BY8" s="90" t="str">
        <f>IF(BX8="","",IF('Input Nilai Ketrampilan'!$AE$1="","",'Input Nilai Ketrampilan'!$AE$1))</f>
        <v/>
      </c>
      <c r="BZ8" s="90" t="str">
        <f>IF('Input Nilai Ketrampilan'!AI43="","",'Input Nilai Ketrampilan'!AI43)</f>
        <v/>
      </c>
      <c r="CA8" s="90" t="str">
        <f>IF(BZ8="","",IF('Input Nilai Ketrampilan'!$AE$1="","",'Input Nilai Ketrampilan'!$AE$1))</f>
        <v/>
      </c>
      <c r="CB8" s="90" t="str">
        <f>IF('Input Nilai Ketrampilan'!AI44="","",'Input Nilai Ketrampilan'!AI44)</f>
        <v/>
      </c>
      <c r="CC8" s="90" t="str">
        <f>IF(CB8="","",IF('Input Nilai Ketrampilan'!$AE$1="","",'Input Nilai Ketrampilan'!$AE$1))</f>
        <v/>
      </c>
      <c r="CD8" s="90" t="str">
        <f>IF('Input Nilai Ketrampilan'!AI45="","",'Input Nilai Ketrampilan'!AI45)</f>
        <v/>
      </c>
      <c r="CE8" s="90" t="str">
        <f>IF(CD8="","",IF('Input Nilai Ketrampilan'!$AE$1="","",'Input Nilai Ketrampilan'!$AE$1))</f>
        <v/>
      </c>
      <c r="CF8" s="90" t="str">
        <f>IF('Input Nilai Ketrampilan'!AI46="","",'Input Nilai Ketrampilan'!AI46)</f>
        <v/>
      </c>
      <c r="CG8" s="90" t="str">
        <f>IF(CF8="","",IF('Input Nilai Ketrampilan'!$AE$1="","",'Input Nilai Ketrampilan'!$AE$1))</f>
        <v/>
      </c>
      <c r="CH8" s="90" t="str">
        <f>IF('Input Nilai Ketrampilan'!AI47="","",'Input Nilai Ketrampilan'!AI47)</f>
        <v/>
      </c>
      <c r="CI8" s="90" t="str">
        <f>IF(CH8="","",IF('Input Nilai Ketrampilan'!$AE$1="","",'Input Nilai Ketrampilan'!$AE$1))</f>
        <v/>
      </c>
      <c r="CJ8" s="90" t="str">
        <f>IF('Input Nilai Ketrampilan'!AI48="","",'Input Nilai Ketrampilan'!AI48)</f>
        <v/>
      </c>
      <c r="CK8" s="90" t="str">
        <f>IF(CJ8="","",IF('Input Nilai Ketrampilan'!$AE$1="","",'Input Nilai Ketrampilan'!$AE$1))</f>
        <v/>
      </c>
      <c r="CL8" s="90" t="str">
        <f>IF('Input Nilai Ketrampilan'!AI49="","",'Input Nilai Ketrampilan'!AI49)</f>
        <v/>
      </c>
      <c r="CM8" s="90" t="str">
        <f>IF(CL8="","",IF('Input Nilai Ketrampilan'!$AE$1="","",'Input Nilai Ketrampilan'!$AE$1))</f>
        <v/>
      </c>
      <c r="CN8" s="90" t="str">
        <f>IF('Input Nilai Ketrampilan'!AI50="","",'Input Nilai Ketrampilan'!AI50)</f>
        <v/>
      </c>
      <c r="CO8" s="90" t="str">
        <f>IF(CN8="","",IF('Input Nilai Ketrampilan'!$AE$1="","",'Input Nilai Ketrampilan'!$AE$1))</f>
        <v/>
      </c>
      <c r="CP8" s="90" t="str">
        <f>IF('Input Nilai Ketrampilan'!AI51="","",'Input Nilai Ketrampilan'!AI51)</f>
        <v/>
      </c>
      <c r="CQ8" s="90" t="str">
        <f>IF(CP8="","",IF('Input Nilai Ketrampilan'!$AE$1="","",'Input Nilai Ketrampilan'!$AE$1))</f>
        <v/>
      </c>
      <c r="CR8" s="90" t="str">
        <f>IF('Input Nilai Ketrampilan'!AI52="","",'Input Nilai Ketrampilan'!AI52)</f>
        <v/>
      </c>
      <c r="CS8" s="90" t="str">
        <f>IF(CR8="","",IF('Input Nilai Ketrampilan'!$AE$1="","",'Input Nilai Ketrampilan'!$AE$1))</f>
        <v/>
      </c>
    </row>
    <row r="9" spans="1:97">
      <c r="A9" s="72">
        <v>7</v>
      </c>
      <c r="B9" s="90" t="str">
        <f>IF('Input Nilai Ketrampilan'!AN5="","",'Input Nilai Ketrampilan'!AN5)</f>
        <v/>
      </c>
      <c r="C9" s="90" t="str">
        <f>IF(B9="","",IF('Input Nilai Ketrampilan'!$AJ$1="","",'Input Nilai Ketrampilan'!$AJ$1))</f>
        <v/>
      </c>
      <c r="D9" s="90" t="str">
        <f>IF('Input Nilai Ketrampilan'!AN6="","",'Input Nilai Ketrampilan'!AN6)</f>
        <v/>
      </c>
      <c r="E9" s="90" t="str">
        <f>IF(D9="","",IF('Input Nilai Ketrampilan'!$AJ$1="","",'Input Nilai Ketrampilan'!$AJ$1))</f>
        <v/>
      </c>
      <c r="F9" s="90" t="str">
        <f>IF('Input Nilai Ketrampilan'!AN7="","",'Input Nilai Ketrampilan'!AN7)</f>
        <v/>
      </c>
      <c r="G9" s="90" t="str">
        <f>IF(F9="","",IF('Input Nilai Ketrampilan'!$AJ$1="","",'Input Nilai Ketrampilan'!$AJ$1))</f>
        <v/>
      </c>
      <c r="H9" s="90" t="str">
        <f>IF('Input Nilai Ketrampilan'!AN8="","",'Input Nilai Ketrampilan'!AN8)</f>
        <v/>
      </c>
      <c r="I9" s="90" t="str">
        <f>IF(H9="","",IF('Input Nilai Ketrampilan'!$AJ$1="","",'Input Nilai Ketrampilan'!$AJ$1))</f>
        <v/>
      </c>
      <c r="J9" s="90" t="str">
        <f>IF('Input Nilai Ketrampilan'!AN9="","",'Input Nilai Ketrampilan'!AN9)</f>
        <v/>
      </c>
      <c r="K9" s="90" t="str">
        <f>IF(J9="","",IF('Input Nilai Ketrampilan'!$AJ$1="","",'Input Nilai Ketrampilan'!$AJ$1))</f>
        <v/>
      </c>
      <c r="L9" s="90" t="str">
        <f>IF('Input Nilai Ketrampilan'!AN10="","",'Input Nilai Ketrampilan'!AN10)</f>
        <v/>
      </c>
      <c r="M9" s="90" t="str">
        <f>IF(L9="","",IF('Input Nilai Ketrampilan'!$AJ$1="","",'Input Nilai Ketrampilan'!$AJ$1))</f>
        <v/>
      </c>
      <c r="N9" s="90" t="str">
        <f>IF('Input Nilai Ketrampilan'!AN11="","",'Input Nilai Ketrampilan'!AN11)</f>
        <v/>
      </c>
      <c r="O9" s="90" t="str">
        <f>IF(N9="","",IF('Input Nilai Ketrampilan'!$AJ$1="","",'Input Nilai Ketrampilan'!$AJ$1))</f>
        <v/>
      </c>
      <c r="P9" s="90" t="str">
        <f>IF('Input Nilai Ketrampilan'!AN12="","",'Input Nilai Ketrampilan'!AN12)</f>
        <v/>
      </c>
      <c r="Q9" s="90" t="str">
        <f>IF(P9="","",IF('Input Nilai Ketrampilan'!$AJ$1="","",'Input Nilai Ketrampilan'!$AJ$1))</f>
        <v/>
      </c>
      <c r="R9" s="90" t="str">
        <f>IF('Input Nilai Ketrampilan'!AN13="","",'Input Nilai Ketrampilan'!AN13)</f>
        <v/>
      </c>
      <c r="S9" s="90" t="str">
        <f>IF(R9="","",IF('Input Nilai Ketrampilan'!$AJ$1="","",'Input Nilai Ketrampilan'!$AJ$1))</f>
        <v/>
      </c>
      <c r="T9" s="90" t="str">
        <f>IF('Input Nilai Ketrampilan'!AN14="","",'Input Nilai Ketrampilan'!AN14)</f>
        <v/>
      </c>
      <c r="U9" s="90" t="str">
        <f>IF(T9="","",IF('Input Nilai Ketrampilan'!$AJ$1="","",'Input Nilai Ketrampilan'!$AJ$1))</f>
        <v/>
      </c>
      <c r="V9" s="90" t="str">
        <f>IF('Input Nilai Ketrampilan'!AN15="","",'Input Nilai Ketrampilan'!AN15)</f>
        <v/>
      </c>
      <c r="W9" s="90" t="str">
        <f>IF(V9="","",IF('Input Nilai Ketrampilan'!$AJ$1="","",'Input Nilai Ketrampilan'!$AJ$1))</f>
        <v/>
      </c>
      <c r="X9" s="90" t="str">
        <f>IF('Input Nilai Ketrampilan'!AN16="","",'Input Nilai Ketrampilan'!AN16)</f>
        <v/>
      </c>
      <c r="Y9" s="90" t="str">
        <f>IF(X9="","",IF('Input Nilai Ketrampilan'!$AJ$1="","",'Input Nilai Ketrampilan'!$AJ$1))</f>
        <v/>
      </c>
      <c r="Z9" s="90" t="str">
        <f>IF('Input Nilai Ketrampilan'!AN17="","",'Input Nilai Ketrampilan'!AN17)</f>
        <v/>
      </c>
      <c r="AA9" s="90" t="str">
        <f>IF(Z9="","",IF('Input Nilai Ketrampilan'!$AJ$1="","",'Input Nilai Ketrampilan'!$AJ$1))</f>
        <v/>
      </c>
      <c r="AB9" s="90" t="str">
        <f>IF('Input Nilai Ketrampilan'!AN18="","",'Input Nilai Ketrampilan'!AN18)</f>
        <v/>
      </c>
      <c r="AC9" s="90" t="str">
        <f>IF(AB9="","",IF('Input Nilai Ketrampilan'!$AJ$1="","",'Input Nilai Ketrampilan'!$AJ$1))</f>
        <v/>
      </c>
      <c r="AD9" s="90" t="str">
        <f>IF('Input Nilai Ketrampilan'!AN19="","",'Input Nilai Ketrampilan'!AN19)</f>
        <v/>
      </c>
      <c r="AE9" s="90" t="str">
        <f>IF(AD9="","",IF('Input Nilai Ketrampilan'!$AJ$1="","",'Input Nilai Ketrampilan'!$AJ$1))</f>
        <v/>
      </c>
      <c r="AF9" s="90" t="str">
        <f>IF('Input Nilai Ketrampilan'!AN20="","",'Input Nilai Ketrampilan'!AN20)</f>
        <v/>
      </c>
      <c r="AG9" s="90" t="str">
        <f>IF(AF9="","",IF('Input Nilai Ketrampilan'!$AJ$1="","",'Input Nilai Ketrampilan'!$AJ$1))</f>
        <v/>
      </c>
      <c r="AH9" s="90" t="str">
        <f>IF('Input Nilai Ketrampilan'!AN21="","",'Input Nilai Ketrampilan'!AN21)</f>
        <v/>
      </c>
      <c r="AI9" s="90" t="str">
        <f>IF(AH9="","",IF('Input Nilai Ketrampilan'!$AJ$1="","",'Input Nilai Ketrampilan'!$AJ$1))</f>
        <v/>
      </c>
      <c r="AJ9" s="90" t="str">
        <f>IF('Input Nilai Ketrampilan'!AN22="","",'Input Nilai Ketrampilan'!AN22)</f>
        <v/>
      </c>
      <c r="AK9" s="90" t="str">
        <f>IF(AJ9="","",IF('Input Nilai Ketrampilan'!$AJ$1="","",'Input Nilai Ketrampilan'!$AJ$1))</f>
        <v/>
      </c>
      <c r="AL9" s="90" t="str">
        <f>IF('Input Nilai Ketrampilan'!AN23="","",'Input Nilai Ketrampilan'!AN23)</f>
        <v/>
      </c>
      <c r="AM9" s="90" t="str">
        <f>IF(AL9="","",IF('Input Nilai Ketrampilan'!$AJ$1="","",'Input Nilai Ketrampilan'!$AJ$1))</f>
        <v/>
      </c>
      <c r="AN9" s="90" t="str">
        <f>IF('Input Nilai Ketrampilan'!AN24="","",'Input Nilai Ketrampilan'!AN24)</f>
        <v/>
      </c>
      <c r="AO9" s="90" t="str">
        <f>IF(AN9="","",IF('Input Nilai Ketrampilan'!$AJ$1="","",'Input Nilai Ketrampilan'!$AJ$1))</f>
        <v/>
      </c>
      <c r="AP9" s="90" t="str">
        <f>IF('Input Nilai Ketrampilan'!AN25="","",'Input Nilai Ketrampilan'!AN25)</f>
        <v/>
      </c>
      <c r="AQ9" s="90" t="str">
        <f>IF(AP9="","",IF('Input Nilai Ketrampilan'!$AJ$1="","",'Input Nilai Ketrampilan'!$AJ$1))</f>
        <v/>
      </c>
      <c r="AR9" s="90" t="str">
        <f>IF('Input Nilai Ketrampilan'!AN26="","",'Input Nilai Ketrampilan'!AN26)</f>
        <v/>
      </c>
      <c r="AS9" s="90" t="str">
        <f>IF(AR9="","",IF('Input Nilai Ketrampilan'!$AJ$1="","",'Input Nilai Ketrampilan'!$AJ$1))</f>
        <v/>
      </c>
      <c r="AT9" s="90" t="str">
        <f>IF('Input Nilai Ketrampilan'!AN27="","",'Input Nilai Ketrampilan'!AN27)</f>
        <v/>
      </c>
      <c r="AU9" s="90" t="str">
        <f>IF(AT9="","",IF('Input Nilai Ketrampilan'!$AJ$1="","",'Input Nilai Ketrampilan'!$AJ$1))</f>
        <v/>
      </c>
      <c r="AV9" s="90" t="str">
        <f>IF('Input Nilai Ketrampilan'!AN28="","",'Input Nilai Ketrampilan'!AN28)</f>
        <v/>
      </c>
      <c r="AW9" s="90" t="str">
        <f>IF(AV9="","",IF('Input Nilai Ketrampilan'!$AJ$1="","",'Input Nilai Ketrampilan'!$AJ$1))</f>
        <v/>
      </c>
      <c r="AX9" s="90" t="str">
        <f>IF('Input Nilai Ketrampilan'!AN29="","",'Input Nilai Ketrampilan'!AN29)</f>
        <v/>
      </c>
      <c r="AY9" s="90" t="str">
        <f>IF(AX9="","",IF('Input Nilai Ketrampilan'!$AJ$1="","",'Input Nilai Ketrampilan'!$AJ$1))</f>
        <v/>
      </c>
      <c r="AZ9" s="90" t="str">
        <f>IF('Input Nilai Ketrampilan'!AN30="","",'Input Nilai Ketrampilan'!AN30)</f>
        <v/>
      </c>
      <c r="BA9" s="90" t="str">
        <f>IF(AZ9="","",IF('Input Nilai Ketrampilan'!$AJ$1="","",'Input Nilai Ketrampilan'!$AJ$1))</f>
        <v/>
      </c>
      <c r="BB9" s="90" t="str">
        <f>IF('Input Nilai Ketrampilan'!AN31="","",'Input Nilai Ketrampilan'!AN31)</f>
        <v/>
      </c>
      <c r="BC9" s="90" t="str">
        <f>IF(BB9="","",IF('Input Nilai Ketrampilan'!$AJ$1="","",'Input Nilai Ketrampilan'!$AJ$1))</f>
        <v/>
      </c>
      <c r="BD9" s="90" t="str">
        <f>IF('Input Nilai Ketrampilan'!AN32="","",'Input Nilai Ketrampilan'!AN32)</f>
        <v/>
      </c>
      <c r="BE9" s="90" t="str">
        <f>IF(BD9="","",IF('Input Nilai Ketrampilan'!$AJ$1="","",'Input Nilai Ketrampilan'!$AJ$1))</f>
        <v/>
      </c>
      <c r="BF9" s="90" t="str">
        <f>IF('Input Nilai Ketrampilan'!AN33="","",'Input Nilai Ketrampilan'!AN33)</f>
        <v/>
      </c>
      <c r="BG9" s="90" t="str">
        <f>IF(BF9="","",IF('Input Nilai Ketrampilan'!$AJ$1="","",'Input Nilai Ketrampilan'!$AJ$1))</f>
        <v/>
      </c>
      <c r="BH9" s="90" t="str">
        <f>IF('Input Nilai Ketrampilan'!AN34="","",'Input Nilai Ketrampilan'!AN34)</f>
        <v/>
      </c>
      <c r="BI9" s="90" t="str">
        <f>IF(BH9="","",IF('Input Nilai Ketrampilan'!$AJ$1="","",'Input Nilai Ketrampilan'!$AJ$1))</f>
        <v/>
      </c>
      <c r="BJ9" s="90" t="str">
        <f>IF('Input Nilai Ketrampilan'!AN35="","",'Input Nilai Ketrampilan'!AN35)</f>
        <v/>
      </c>
      <c r="BK9" s="90" t="str">
        <f>IF(BJ9="","",IF('Input Nilai Ketrampilan'!$AJ$1="","",'Input Nilai Ketrampilan'!$AJ$1))</f>
        <v/>
      </c>
      <c r="BL9" s="90" t="str">
        <f>IF('Input Nilai Ketrampilan'!AN36="","",'Input Nilai Ketrampilan'!AN36)</f>
        <v/>
      </c>
      <c r="BM9" s="90" t="str">
        <f>IF(BL9="","",IF('Input Nilai Ketrampilan'!$AJ$1="","",'Input Nilai Ketrampilan'!$AJ$1))</f>
        <v/>
      </c>
      <c r="BN9" s="90" t="str">
        <f>IF('Input Nilai Ketrampilan'!AN37="","",'Input Nilai Ketrampilan'!AN37)</f>
        <v/>
      </c>
      <c r="BO9" s="90" t="str">
        <f>IF(BN9="","",IF('Input Nilai Ketrampilan'!$AJ$1="","",'Input Nilai Ketrampilan'!$AJ$1))</f>
        <v/>
      </c>
      <c r="BP9" s="90" t="str">
        <f>IF('Input Nilai Ketrampilan'!AN38="","",'Input Nilai Ketrampilan'!AN38)</f>
        <v/>
      </c>
      <c r="BQ9" s="90" t="str">
        <f>IF(BP9="","",IF('Input Nilai Ketrampilan'!$AJ$1="","",'Input Nilai Ketrampilan'!$AJ$1))</f>
        <v/>
      </c>
      <c r="BR9" s="90" t="str">
        <f>IF('Input Nilai Ketrampilan'!AN39="","",'Input Nilai Ketrampilan'!AN39)</f>
        <v/>
      </c>
      <c r="BS9" s="90" t="str">
        <f>IF(BR9="","",IF('Input Nilai Ketrampilan'!$AJ$1="","",'Input Nilai Ketrampilan'!$AJ$1))</f>
        <v/>
      </c>
      <c r="BT9" s="90" t="str">
        <f>IF('Input Nilai Ketrampilan'!AN40="","",'Input Nilai Ketrampilan'!AN40)</f>
        <v/>
      </c>
      <c r="BU9" s="90" t="str">
        <f>IF(BT9="","",IF('Input Nilai Ketrampilan'!$AJ$1="","",'Input Nilai Ketrampilan'!$AJ$1))</f>
        <v/>
      </c>
      <c r="BV9" s="90" t="str">
        <f>IF('Input Nilai Ketrampilan'!AN41="","",'Input Nilai Ketrampilan'!AN41)</f>
        <v/>
      </c>
      <c r="BW9" s="90" t="str">
        <f>IF(BV9="","",IF('Input Nilai Ketrampilan'!$AJ$1="","",'Input Nilai Ketrampilan'!$AJ$1))</f>
        <v/>
      </c>
      <c r="BX9" s="90" t="str">
        <f>IF('Input Nilai Ketrampilan'!AN42="","",'Input Nilai Ketrampilan'!AN42)</f>
        <v/>
      </c>
      <c r="BY9" s="90" t="str">
        <f>IF(BX9="","",IF('Input Nilai Ketrampilan'!$AJ$1="","",'Input Nilai Ketrampilan'!$AJ$1))</f>
        <v/>
      </c>
      <c r="BZ9" s="90" t="str">
        <f>IF('Input Nilai Ketrampilan'!AN43="","",'Input Nilai Ketrampilan'!AN43)</f>
        <v/>
      </c>
      <c r="CA9" s="90" t="str">
        <f>IF(BZ9="","",IF('Input Nilai Ketrampilan'!$AJ$1="","",'Input Nilai Ketrampilan'!$AJ$1))</f>
        <v/>
      </c>
      <c r="CB9" s="90" t="str">
        <f>IF('Input Nilai Ketrampilan'!AN44="","",'Input Nilai Ketrampilan'!AN44)</f>
        <v/>
      </c>
      <c r="CC9" s="90" t="str">
        <f>IF(CB9="","",IF('Input Nilai Ketrampilan'!$AJ$1="","",'Input Nilai Ketrampilan'!$AJ$1))</f>
        <v/>
      </c>
      <c r="CD9" s="90" t="str">
        <f>IF('Input Nilai Ketrampilan'!AN45="","",'Input Nilai Ketrampilan'!AN45)</f>
        <v/>
      </c>
      <c r="CE9" s="90" t="str">
        <f>IF(CD9="","",IF('Input Nilai Ketrampilan'!$AJ$1="","",'Input Nilai Ketrampilan'!$AJ$1))</f>
        <v/>
      </c>
      <c r="CF9" s="90" t="str">
        <f>IF('Input Nilai Ketrampilan'!AN46="","",'Input Nilai Ketrampilan'!AN46)</f>
        <v/>
      </c>
      <c r="CG9" s="90" t="str">
        <f>IF(CF9="","",IF('Input Nilai Ketrampilan'!$AJ$1="","",'Input Nilai Ketrampilan'!$AJ$1))</f>
        <v/>
      </c>
      <c r="CH9" s="90" t="str">
        <f>IF('Input Nilai Ketrampilan'!AN47="","",'Input Nilai Ketrampilan'!AN47)</f>
        <v/>
      </c>
      <c r="CI9" s="90" t="str">
        <f>IF(CH9="","",IF('Input Nilai Ketrampilan'!$AJ$1="","",'Input Nilai Ketrampilan'!$AJ$1))</f>
        <v/>
      </c>
      <c r="CJ9" s="90" t="str">
        <f>IF('Input Nilai Ketrampilan'!AN48="","",'Input Nilai Ketrampilan'!AN48)</f>
        <v/>
      </c>
      <c r="CK9" s="90" t="str">
        <f>IF(CJ9="","",IF('Input Nilai Ketrampilan'!$AJ$1="","",'Input Nilai Ketrampilan'!$AJ$1))</f>
        <v/>
      </c>
      <c r="CL9" s="90" t="str">
        <f>IF('Input Nilai Ketrampilan'!AN49="","",'Input Nilai Ketrampilan'!AN49)</f>
        <v/>
      </c>
      <c r="CM9" s="90" t="str">
        <f>IF(CL9="","",IF('Input Nilai Ketrampilan'!$AJ$1="","",'Input Nilai Ketrampilan'!$AJ$1))</f>
        <v/>
      </c>
      <c r="CN9" s="90" t="str">
        <f>IF('Input Nilai Ketrampilan'!AN50="","",'Input Nilai Ketrampilan'!AN50)</f>
        <v/>
      </c>
      <c r="CO9" s="90" t="str">
        <f>IF(CN9="","",IF('Input Nilai Ketrampilan'!$AJ$1="","",'Input Nilai Ketrampilan'!$AJ$1))</f>
        <v/>
      </c>
      <c r="CP9" s="90" t="str">
        <f>IF('Input Nilai Ketrampilan'!AN51="","",'Input Nilai Ketrampilan'!AN51)</f>
        <v/>
      </c>
      <c r="CQ9" s="90" t="str">
        <f>IF(CP9="","",IF('Input Nilai Ketrampilan'!$AJ$1="","",'Input Nilai Ketrampilan'!$AJ$1))</f>
        <v/>
      </c>
      <c r="CR9" s="90" t="str">
        <f>IF('Input Nilai Ketrampilan'!AN52="","",'Input Nilai Ketrampilan'!AN52)</f>
        <v/>
      </c>
      <c r="CS9" s="90" t="str">
        <f>IF(CR9="","",IF('Input Nilai Ketrampilan'!$AJ$1="","",'Input Nilai Ketrampilan'!$AJ$1))</f>
        <v/>
      </c>
    </row>
    <row r="10" spans="1:97">
      <c r="A10" s="72">
        <v>8</v>
      </c>
      <c r="B10" s="90" t="str">
        <f>IF('Input Nilai Ketrampilan'!AS5="","",'Input Nilai Ketrampilan'!AS5)</f>
        <v/>
      </c>
      <c r="C10" s="90" t="str">
        <f>IF(B10="","",IF('Input Nilai Ketrampilan'!$AO$1="","",'Input Nilai Ketrampilan'!$AO$1))</f>
        <v/>
      </c>
      <c r="D10" s="90" t="str">
        <f>IF('Input Nilai Ketrampilan'!AS6="","",'Input Nilai Ketrampilan'!AS6)</f>
        <v/>
      </c>
      <c r="E10" s="90" t="str">
        <f>IF(D10="","",IF('Input Nilai Ketrampilan'!$AO$1="","",'Input Nilai Ketrampilan'!$AO$1))</f>
        <v/>
      </c>
      <c r="F10" s="90" t="str">
        <f>IF('Input Nilai Ketrampilan'!AS7="","",'Input Nilai Ketrampilan'!AS7)</f>
        <v/>
      </c>
      <c r="G10" s="90" t="str">
        <f>IF(F10="","",IF('Input Nilai Ketrampilan'!$AO$1="","",'Input Nilai Ketrampilan'!$AO$1))</f>
        <v/>
      </c>
      <c r="H10" s="90" t="str">
        <f>IF('Input Nilai Ketrampilan'!AS8="","",'Input Nilai Ketrampilan'!AS8)</f>
        <v/>
      </c>
      <c r="I10" s="90" t="str">
        <f>IF(H10="","",IF('Input Nilai Ketrampilan'!$AO$1="","",'Input Nilai Ketrampilan'!$AO$1))</f>
        <v/>
      </c>
      <c r="J10" s="90" t="str">
        <f>IF('Input Nilai Ketrampilan'!AS9="","",'Input Nilai Ketrampilan'!AS9)</f>
        <v/>
      </c>
      <c r="K10" s="90" t="str">
        <f>IF(J10="","",IF('Input Nilai Ketrampilan'!$AO$1="","",'Input Nilai Ketrampilan'!$AO$1))</f>
        <v/>
      </c>
      <c r="L10" s="90" t="str">
        <f>IF('Input Nilai Ketrampilan'!AS10="","",'Input Nilai Ketrampilan'!AS10)</f>
        <v/>
      </c>
      <c r="M10" s="90" t="str">
        <f>IF(L10="","",IF('Input Nilai Ketrampilan'!$AO$1="","",'Input Nilai Ketrampilan'!$AO$1))</f>
        <v/>
      </c>
      <c r="N10" s="90" t="str">
        <f>IF('Input Nilai Ketrampilan'!AS11="","",'Input Nilai Ketrampilan'!AS11)</f>
        <v/>
      </c>
      <c r="O10" s="90" t="str">
        <f>IF(N10="","",IF('Input Nilai Ketrampilan'!$AO$1="","",'Input Nilai Ketrampilan'!$AO$1))</f>
        <v/>
      </c>
      <c r="P10" s="90" t="str">
        <f>IF('Input Nilai Ketrampilan'!AS12="","",'Input Nilai Ketrampilan'!AS12)</f>
        <v/>
      </c>
      <c r="Q10" s="90" t="str">
        <f>IF(P10="","",IF('Input Nilai Ketrampilan'!$AO$1="","",'Input Nilai Ketrampilan'!$AO$1))</f>
        <v/>
      </c>
      <c r="R10" s="90" t="str">
        <f>IF('Input Nilai Ketrampilan'!AS13="","",'Input Nilai Ketrampilan'!AS13)</f>
        <v/>
      </c>
      <c r="S10" s="90" t="str">
        <f>IF(R10="","",IF('Input Nilai Ketrampilan'!$AO$1="","",'Input Nilai Ketrampilan'!$AO$1))</f>
        <v/>
      </c>
      <c r="T10" s="90" t="str">
        <f>IF('Input Nilai Ketrampilan'!AS14="","",'Input Nilai Ketrampilan'!AS14)</f>
        <v/>
      </c>
      <c r="U10" s="90" t="str">
        <f>IF(T10="","",IF('Input Nilai Ketrampilan'!$AO$1="","",'Input Nilai Ketrampilan'!$AO$1))</f>
        <v/>
      </c>
      <c r="V10" s="90" t="str">
        <f>IF('Input Nilai Ketrampilan'!AS15="","",'Input Nilai Ketrampilan'!AS15)</f>
        <v/>
      </c>
      <c r="W10" s="90" t="str">
        <f>IF(V10="","",IF('Input Nilai Ketrampilan'!$AO$1="","",'Input Nilai Ketrampilan'!$AO$1))</f>
        <v/>
      </c>
      <c r="X10" s="90" t="str">
        <f>IF('Input Nilai Ketrampilan'!AS16="","",'Input Nilai Ketrampilan'!AS16)</f>
        <v/>
      </c>
      <c r="Y10" s="90" t="str">
        <f>IF(X10="","",IF('Input Nilai Ketrampilan'!$AO$1="","",'Input Nilai Ketrampilan'!$AO$1))</f>
        <v/>
      </c>
      <c r="Z10" s="90" t="str">
        <f>IF('Input Nilai Ketrampilan'!AS17="","",'Input Nilai Ketrampilan'!AS17)</f>
        <v/>
      </c>
      <c r="AA10" s="90" t="str">
        <f>IF(Z10="","",IF('Input Nilai Ketrampilan'!$AO$1="","",'Input Nilai Ketrampilan'!$AO$1))</f>
        <v/>
      </c>
      <c r="AB10" s="90" t="str">
        <f>IF('Input Nilai Ketrampilan'!AS18="","",'Input Nilai Ketrampilan'!AS18)</f>
        <v/>
      </c>
      <c r="AC10" s="90" t="str">
        <f>IF(AB10="","",IF('Input Nilai Ketrampilan'!$AO$1="","",'Input Nilai Ketrampilan'!$AO$1))</f>
        <v/>
      </c>
      <c r="AD10" s="90" t="str">
        <f>IF('Input Nilai Ketrampilan'!AS19="","",'Input Nilai Ketrampilan'!AS19)</f>
        <v/>
      </c>
      <c r="AE10" s="90" t="str">
        <f>IF(AD10="","",IF('Input Nilai Ketrampilan'!$AO$1="","",'Input Nilai Ketrampilan'!$AO$1))</f>
        <v/>
      </c>
      <c r="AF10" s="90" t="str">
        <f>IF('Input Nilai Ketrampilan'!AS20="","",'Input Nilai Ketrampilan'!AS20)</f>
        <v/>
      </c>
      <c r="AG10" s="90" t="str">
        <f>IF(AF10="","",IF('Input Nilai Ketrampilan'!$AO$1="","",'Input Nilai Ketrampilan'!$AO$1))</f>
        <v/>
      </c>
      <c r="AH10" s="90" t="str">
        <f>IF('Input Nilai Ketrampilan'!AS21="","",'Input Nilai Ketrampilan'!AS21)</f>
        <v/>
      </c>
      <c r="AI10" s="90" t="str">
        <f>IF(AH10="","",IF('Input Nilai Ketrampilan'!$AO$1="","",'Input Nilai Ketrampilan'!$AO$1))</f>
        <v/>
      </c>
      <c r="AJ10" s="90" t="str">
        <f>IF('Input Nilai Ketrampilan'!AS22="","",'Input Nilai Ketrampilan'!AS22)</f>
        <v/>
      </c>
      <c r="AK10" s="90" t="str">
        <f>IF(AJ10="","",IF('Input Nilai Ketrampilan'!$AO$1="","",'Input Nilai Ketrampilan'!$AO$1))</f>
        <v/>
      </c>
      <c r="AL10" s="90" t="str">
        <f>IF('Input Nilai Ketrampilan'!AS23="","",'Input Nilai Ketrampilan'!AS23)</f>
        <v/>
      </c>
      <c r="AM10" s="90" t="str">
        <f>IF(AL10="","",IF('Input Nilai Ketrampilan'!$AO$1="","",'Input Nilai Ketrampilan'!$AO$1))</f>
        <v/>
      </c>
      <c r="AN10" s="90" t="str">
        <f>IF('Input Nilai Ketrampilan'!AS24="","",'Input Nilai Ketrampilan'!AS24)</f>
        <v/>
      </c>
      <c r="AO10" s="90" t="str">
        <f>IF(AN10="","",IF('Input Nilai Ketrampilan'!$AO$1="","",'Input Nilai Ketrampilan'!$AO$1))</f>
        <v/>
      </c>
      <c r="AP10" s="90" t="str">
        <f>IF('Input Nilai Ketrampilan'!AS25="","",'Input Nilai Ketrampilan'!AS25)</f>
        <v/>
      </c>
      <c r="AQ10" s="90" t="str">
        <f>IF(AP10="","",IF('Input Nilai Ketrampilan'!$AO$1="","",'Input Nilai Ketrampilan'!$AO$1))</f>
        <v/>
      </c>
      <c r="AR10" s="90" t="str">
        <f>IF('Input Nilai Ketrampilan'!AS26="","",'Input Nilai Ketrampilan'!AS26)</f>
        <v/>
      </c>
      <c r="AS10" s="90" t="str">
        <f>IF(AR10="","",IF('Input Nilai Ketrampilan'!$AO$1="","",'Input Nilai Ketrampilan'!$AO$1))</f>
        <v/>
      </c>
      <c r="AT10" s="90" t="str">
        <f>IF('Input Nilai Ketrampilan'!AS27="","",'Input Nilai Ketrampilan'!AS27)</f>
        <v/>
      </c>
      <c r="AU10" s="90" t="str">
        <f>IF(AT10="","",IF('Input Nilai Ketrampilan'!$AO$1="","",'Input Nilai Ketrampilan'!$AO$1))</f>
        <v/>
      </c>
      <c r="AV10" s="90" t="str">
        <f>IF('Input Nilai Ketrampilan'!AS28="","",'Input Nilai Ketrampilan'!AS28)</f>
        <v/>
      </c>
      <c r="AW10" s="90" t="str">
        <f>IF(AV10="","",IF('Input Nilai Ketrampilan'!$AO$1="","",'Input Nilai Ketrampilan'!$AO$1))</f>
        <v/>
      </c>
      <c r="AX10" s="90" t="str">
        <f>IF('Input Nilai Ketrampilan'!AS29="","",'Input Nilai Ketrampilan'!AS29)</f>
        <v/>
      </c>
      <c r="AY10" s="90" t="str">
        <f>IF(AX10="","",IF('Input Nilai Ketrampilan'!$AO$1="","",'Input Nilai Ketrampilan'!$AO$1))</f>
        <v/>
      </c>
      <c r="AZ10" s="90" t="str">
        <f>IF('Input Nilai Ketrampilan'!AS30="","",'Input Nilai Ketrampilan'!AS30)</f>
        <v/>
      </c>
      <c r="BA10" s="90" t="str">
        <f>IF(AZ10="","",IF('Input Nilai Ketrampilan'!$AO$1="","",'Input Nilai Ketrampilan'!$AO$1))</f>
        <v/>
      </c>
      <c r="BB10" s="90" t="str">
        <f>IF('Input Nilai Ketrampilan'!AS31="","",'Input Nilai Ketrampilan'!AS31)</f>
        <v/>
      </c>
      <c r="BC10" s="90" t="str">
        <f>IF(BB10="","",IF('Input Nilai Ketrampilan'!$AO$1="","",'Input Nilai Ketrampilan'!$AO$1))</f>
        <v/>
      </c>
      <c r="BD10" s="90" t="str">
        <f>IF('Input Nilai Ketrampilan'!AS32="","",'Input Nilai Ketrampilan'!AS32)</f>
        <v/>
      </c>
      <c r="BE10" s="90" t="str">
        <f>IF(BD10="","",IF('Input Nilai Ketrampilan'!$AO$1="","",'Input Nilai Ketrampilan'!$AO$1))</f>
        <v/>
      </c>
      <c r="BF10" s="90" t="str">
        <f>IF('Input Nilai Ketrampilan'!AS33="","",'Input Nilai Ketrampilan'!AS33)</f>
        <v/>
      </c>
      <c r="BG10" s="90" t="str">
        <f>IF(BF10="","",IF('Input Nilai Ketrampilan'!$AO$1="","",'Input Nilai Ketrampilan'!$AO$1))</f>
        <v/>
      </c>
      <c r="BH10" s="90" t="str">
        <f>IF('Input Nilai Ketrampilan'!AS34="","",'Input Nilai Ketrampilan'!AS34)</f>
        <v/>
      </c>
      <c r="BI10" s="90" t="str">
        <f>IF(BH10="","",IF('Input Nilai Ketrampilan'!$AO$1="","",'Input Nilai Ketrampilan'!$AO$1))</f>
        <v/>
      </c>
      <c r="BJ10" s="90" t="str">
        <f>IF('Input Nilai Ketrampilan'!AS35="","",'Input Nilai Ketrampilan'!AS35)</f>
        <v/>
      </c>
      <c r="BK10" s="90" t="str">
        <f>IF(BJ10="","",IF('Input Nilai Ketrampilan'!$AO$1="","",'Input Nilai Ketrampilan'!$AO$1))</f>
        <v/>
      </c>
      <c r="BL10" s="90" t="str">
        <f>IF('Input Nilai Ketrampilan'!AS36="","",'Input Nilai Ketrampilan'!AS36)</f>
        <v/>
      </c>
      <c r="BM10" s="90" t="str">
        <f>IF(BL10="","",IF('Input Nilai Ketrampilan'!$AO$1="","",'Input Nilai Ketrampilan'!$AO$1))</f>
        <v/>
      </c>
      <c r="BN10" s="90" t="str">
        <f>IF('Input Nilai Ketrampilan'!AS37="","",'Input Nilai Ketrampilan'!AS37)</f>
        <v/>
      </c>
      <c r="BO10" s="90" t="str">
        <f>IF(BN10="","",IF('Input Nilai Ketrampilan'!$AO$1="","",'Input Nilai Ketrampilan'!$AO$1))</f>
        <v/>
      </c>
      <c r="BP10" s="90" t="str">
        <f>IF('Input Nilai Ketrampilan'!AS38="","",'Input Nilai Ketrampilan'!AS38)</f>
        <v/>
      </c>
      <c r="BQ10" s="90" t="str">
        <f>IF(BP10="","",IF('Input Nilai Ketrampilan'!$AO$1="","",'Input Nilai Ketrampilan'!$AO$1))</f>
        <v/>
      </c>
      <c r="BR10" s="90" t="str">
        <f>IF('Input Nilai Ketrampilan'!AS39="","",'Input Nilai Ketrampilan'!AS39)</f>
        <v/>
      </c>
      <c r="BS10" s="90" t="str">
        <f>IF(BR10="","",IF('Input Nilai Ketrampilan'!$AO$1="","",'Input Nilai Ketrampilan'!$AO$1))</f>
        <v/>
      </c>
      <c r="BT10" s="90" t="str">
        <f>IF('Input Nilai Ketrampilan'!AS40="","",'Input Nilai Ketrampilan'!AS40)</f>
        <v/>
      </c>
      <c r="BU10" s="90" t="str">
        <f>IF(BT10="","",IF('Input Nilai Ketrampilan'!$AO$1="","",'Input Nilai Ketrampilan'!$AO$1))</f>
        <v/>
      </c>
      <c r="BV10" s="90" t="str">
        <f>IF('Input Nilai Ketrampilan'!AS41="","",'Input Nilai Ketrampilan'!AS41)</f>
        <v/>
      </c>
      <c r="BW10" s="90" t="str">
        <f>IF(BV10="","",IF('Input Nilai Ketrampilan'!$AO$1="","",'Input Nilai Ketrampilan'!$AO$1))</f>
        <v/>
      </c>
      <c r="BX10" s="90" t="str">
        <f>IF('Input Nilai Ketrampilan'!AS42="","",'Input Nilai Ketrampilan'!AS42)</f>
        <v/>
      </c>
      <c r="BY10" s="90" t="str">
        <f>IF(BX10="","",IF('Input Nilai Ketrampilan'!$AO$1="","",'Input Nilai Ketrampilan'!$AO$1))</f>
        <v/>
      </c>
      <c r="BZ10" s="90" t="str">
        <f>IF('Input Nilai Ketrampilan'!AS43="","",'Input Nilai Ketrampilan'!AS43)</f>
        <v/>
      </c>
      <c r="CA10" s="90" t="str">
        <f>IF(BZ10="","",IF('Input Nilai Ketrampilan'!$AO$1="","",'Input Nilai Ketrampilan'!$AO$1))</f>
        <v/>
      </c>
      <c r="CB10" s="90" t="str">
        <f>IF('Input Nilai Ketrampilan'!AS44="","",'Input Nilai Ketrampilan'!AS44)</f>
        <v/>
      </c>
      <c r="CC10" s="90" t="str">
        <f>IF(CB10="","",IF('Input Nilai Ketrampilan'!$AO$1="","",'Input Nilai Ketrampilan'!$AO$1))</f>
        <v/>
      </c>
      <c r="CD10" s="90" t="str">
        <f>IF('Input Nilai Ketrampilan'!AS45="","",'Input Nilai Ketrampilan'!AS45)</f>
        <v/>
      </c>
      <c r="CE10" s="90" t="str">
        <f>IF(CD10="","",IF('Input Nilai Ketrampilan'!$AO$1="","",'Input Nilai Ketrampilan'!$AO$1))</f>
        <v/>
      </c>
      <c r="CF10" s="90" t="str">
        <f>IF('Input Nilai Ketrampilan'!AS46="","",'Input Nilai Ketrampilan'!AS46)</f>
        <v/>
      </c>
      <c r="CG10" s="90" t="str">
        <f>IF(CF10="","",IF('Input Nilai Ketrampilan'!$AO$1="","",'Input Nilai Ketrampilan'!$AO$1))</f>
        <v/>
      </c>
      <c r="CH10" s="90" t="str">
        <f>IF('Input Nilai Ketrampilan'!AS47="","",'Input Nilai Ketrampilan'!AS47)</f>
        <v/>
      </c>
      <c r="CI10" s="90" t="str">
        <f>IF(CH10="","",IF('Input Nilai Ketrampilan'!$AO$1="","",'Input Nilai Ketrampilan'!$AO$1))</f>
        <v/>
      </c>
      <c r="CJ10" s="90" t="str">
        <f>IF('Input Nilai Ketrampilan'!AS48="","",'Input Nilai Ketrampilan'!AS48)</f>
        <v/>
      </c>
      <c r="CK10" s="90" t="str">
        <f>IF(CJ10="","",IF('Input Nilai Ketrampilan'!$AO$1="","",'Input Nilai Ketrampilan'!$AO$1))</f>
        <v/>
      </c>
      <c r="CL10" s="90" t="str">
        <f>IF('Input Nilai Ketrampilan'!AS49="","",'Input Nilai Ketrampilan'!AS49)</f>
        <v/>
      </c>
      <c r="CM10" s="90" t="str">
        <f>IF(CL10="","",IF('Input Nilai Ketrampilan'!$AO$1="","",'Input Nilai Ketrampilan'!$AO$1))</f>
        <v/>
      </c>
      <c r="CN10" s="90" t="str">
        <f>IF('Input Nilai Ketrampilan'!AS50="","",'Input Nilai Ketrampilan'!AS50)</f>
        <v/>
      </c>
      <c r="CO10" s="90" t="str">
        <f>IF(CN10="","",IF('Input Nilai Ketrampilan'!$AO$1="","",'Input Nilai Ketrampilan'!$AO$1))</f>
        <v/>
      </c>
      <c r="CP10" s="90" t="str">
        <f>IF('Input Nilai Ketrampilan'!AS51="","",'Input Nilai Ketrampilan'!AS51)</f>
        <v/>
      </c>
      <c r="CQ10" s="90" t="str">
        <f>IF(CP10="","",IF('Input Nilai Ketrampilan'!$AO$1="","",'Input Nilai Ketrampilan'!$AO$1))</f>
        <v/>
      </c>
      <c r="CR10" s="90" t="str">
        <f>IF('Input Nilai Ketrampilan'!AS52="","",'Input Nilai Ketrampilan'!AS52)</f>
        <v/>
      </c>
      <c r="CS10" s="90" t="str">
        <f>IF(CR10="","",IF('Input Nilai Ketrampilan'!$AO$1="","",'Input Nilai Ketrampilan'!$AO$1))</f>
        <v/>
      </c>
    </row>
    <row r="11" spans="1:97">
      <c r="A11" s="72">
        <v>9</v>
      </c>
      <c r="B11" s="90" t="str">
        <f>IF('Input Nilai Ketrampilan'!AX5="","",'Input Nilai Ketrampilan'!AX5)</f>
        <v/>
      </c>
      <c r="C11" s="90" t="str">
        <f>IF(B11="","",IF('Input Nilai Ketrampilan'!$AT$1="","",'Input Nilai Ketrampilan'!$AT$1))</f>
        <v/>
      </c>
      <c r="D11" s="90" t="str">
        <f>IF('Input Nilai Ketrampilan'!AX6="","",'Input Nilai Ketrampilan'!AX6)</f>
        <v/>
      </c>
      <c r="E11" s="90" t="str">
        <f>IF(D11="","",IF('Input Nilai Ketrampilan'!$AT$1="","",'Input Nilai Ketrampilan'!$AT$1))</f>
        <v/>
      </c>
      <c r="F11" s="90" t="str">
        <f>IF('Input Nilai Ketrampilan'!AX7="","",'Input Nilai Ketrampilan'!AX7)</f>
        <v/>
      </c>
      <c r="G11" s="90" t="str">
        <f>IF(F11="","",IF('Input Nilai Ketrampilan'!$AT$1="","",'Input Nilai Ketrampilan'!$AT$1))</f>
        <v/>
      </c>
      <c r="H11" s="90" t="str">
        <f>IF('Input Nilai Ketrampilan'!AX8="","",'Input Nilai Ketrampilan'!AX8)</f>
        <v/>
      </c>
      <c r="I11" s="90" t="str">
        <f>IF(H11="","",IF('Input Nilai Ketrampilan'!$AT$1="","",'Input Nilai Ketrampilan'!$AT$1))</f>
        <v/>
      </c>
      <c r="J11" s="90" t="str">
        <f>IF('Input Nilai Ketrampilan'!AX9="","",'Input Nilai Ketrampilan'!AX9)</f>
        <v/>
      </c>
      <c r="K11" s="90" t="str">
        <f>IF(J11="","",IF('Input Nilai Ketrampilan'!$AT$1="","",'Input Nilai Ketrampilan'!$AT$1))</f>
        <v/>
      </c>
      <c r="L11" s="90" t="str">
        <f>IF('Input Nilai Ketrampilan'!AX10="","",'Input Nilai Ketrampilan'!AX10)</f>
        <v/>
      </c>
      <c r="M11" s="90" t="str">
        <f>IF(L11="","",IF('Input Nilai Ketrampilan'!$AT$1="","",'Input Nilai Ketrampilan'!$AT$1))</f>
        <v/>
      </c>
      <c r="N11" s="90" t="str">
        <f>IF('Input Nilai Ketrampilan'!AX11="","",'Input Nilai Ketrampilan'!AX11)</f>
        <v/>
      </c>
      <c r="O11" s="90" t="str">
        <f>IF(N11="","",IF('Input Nilai Ketrampilan'!$AT$1="","",'Input Nilai Ketrampilan'!$AT$1))</f>
        <v/>
      </c>
      <c r="P11" s="90" t="str">
        <f>IF('Input Nilai Ketrampilan'!AX12="","",'Input Nilai Ketrampilan'!AX12)</f>
        <v/>
      </c>
      <c r="Q11" s="90" t="str">
        <f>IF(P11="","",IF('Input Nilai Ketrampilan'!$AT$1="","",'Input Nilai Ketrampilan'!$AT$1))</f>
        <v/>
      </c>
      <c r="R11" s="90" t="str">
        <f>IF('Input Nilai Ketrampilan'!AX13="","",'Input Nilai Ketrampilan'!AX13)</f>
        <v/>
      </c>
      <c r="S11" s="90" t="str">
        <f>IF(R11="","",IF('Input Nilai Ketrampilan'!$AT$1="","",'Input Nilai Ketrampilan'!$AT$1))</f>
        <v/>
      </c>
      <c r="T11" s="90" t="str">
        <f>IF('Input Nilai Ketrampilan'!AX14="","",'Input Nilai Ketrampilan'!AX14)</f>
        <v/>
      </c>
      <c r="U11" s="90" t="str">
        <f>IF(T11="","",IF('Input Nilai Ketrampilan'!$AT$1="","",'Input Nilai Ketrampilan'!$AT$1))</f>
        <v/>
      </c>
      <c r="V11" s="90" t="str">
        <f>IF('Input Nilai Ketrampilan'!AX15="","",'Input Nilai Ketrampilan'!AX15)</f>
        <v/>
      </c>
      <c r="W11" s="90" t="str">
        <f>IF(V11="","",IF('Input Nilai Ketrampilan'!$AT$1="","",'Input Nilai Ketrampilan'!$AT$1))</f>
        <v/>
      </c>
      <c r="X11" s="90" t="str">
        <f>IF('Input Nilai Ketrampilan'!AX16="","",'Input Nilai Ketrampilan'!AX16)</f>
        <v/>
      </c>
      <c r="Y11" s="90" t="str">
        <f>IF(X11="","",IF('Input Nilai Ketrampilan'!$AT$1="","",'Input Nilai Ketrampilan'!$AT$1))</f>
        <v/>
      </c>
      <c r="Z11" s="90" t="str">
        <f>IF('Input Nilai Ketrampilan'!AX17="","",'Input Nilai Ketrampilan'!AX17)</f>
        <v/>
      </c>
      <c r="AA11" s="90" t="str">
        <f>IF(Z11="","",IF('Input Nilai Ketrampilan'!$AT$1="","",'Input Nilai Ketrampilan'!$AT$1))</f>
        <v/>
      </c>
      <c r="AB11" s="90" t="str">
        <f>IF('Input Nilai Ketrampilan'!AX18="","",'Input Nilai Ketrampilan'!AX18)</f>
        <v/>
      </c>
      <c r="AC11" s="90" t="str">
        <f>IF(AB11="","",IF('Input Nilai Ketrampilan'!$AT$1="","",'Input Nilai Ketrampilan'!$AT$1))</f>
        <v/>
      </c>
      <c r="AD11" s="90" t="str">
        <f>IF('Input Nilai Ketrampilan'!AX19="","",'Input Nilai Ketrampilan'!AX19)</f>
        <v/>
      </c>
      <c r="AE11" s="90" t="str">
        <f>IF(AD11="","",IF('Input Nilai Ketrampilan'!$AT$1="","",'Input Nilai Ketrampilan'!$AT$1))</f>
        <v/>
      </c>
      <c r="AF11" s="90" t="str">
        <f>IF('Input Nilai Ketrampilan'!AX20="","",'Input Nilai Ketrampilan'!AX20)</f>
        <v/>
      </c>
      <c r="AG11" s="90" t="str">
        <f>IF(AF11="","",IF('Input Nilai Ketrampilan'!$AT$1="","",'Input Nilai Ketrampilan'!$AT$1))</f>
        <v/>
      </c>
      <c r="AH11" s="90" t="str">
        <f>IF('Input Nilai Ketrampilan'!AX21="","",'Input Nilai Ketrampilan'!AX21)</f>
        <v/>
      </c>
      <c r="AI11" s="90" t="str">
        <f>IF(AH11="","",IF('Input Nilai Ketrampilan'!$AT$1="","",'Input Nilai Ketrampilan'!$AT$1))</f>
        <v/>
      </c>
      <c r="AJ11" s="90" t="str">
        <f>IF('Input Nilai Ketrampilan'!AX22="","",'Input Nilai Ketrampilan'!AX22)</f>
        <v/>
      </c>
      <c r="AK11" s="90" t="str">
        <f>IF(AJ11="","",IF('Input Nilai Ketrampilan'!$AT$1="","",'Input Nilai Ketrampilan'!$AT$1))</f>
        <v/>
      </c>
      <c r="AL11" s="90" t="str">
        <f>IF('Input Nilai Ketrampilan'!AX23="","",'Input Nilai Ketrampilan'!AX23)</f>
        <v/>
      </c>
      <c r="AM11" s="90" t="str">
        <f>IF(AL11="","",IF('Input Nilai Ketrampilan'!$AT$1="","",'Input Nilai Ketrampilan'!$AT$1))</f>
        <v/>
      </c>
      <c r="AN11" s="90" t="str">
        <f>IF('Input Nilai Ketrampilan'!AX24="","",'Input Nilai Ketrampilan'!AX24)</f>
        <v/>
      </c>
      <c r="AO11" s="90" t="str">
        <f>IF(AN11="","",IF('Input Nilai Ketrampilan'!$AT$1="","",'Input Nilai Ketrampilan'!$AT$1))</f>
        <v/>
      </c>
      <c r="AP11" s="90" t="str">
        <f>IF('Input Nilai Ketrampilan'!AX25="","",'Input Nilai Ketrampilan'!AX25)</f>
        <v/>
      </c>
      <c r="AQ11" s="90" t="str">
        <f>IF(AP11="","",IF('Input Nilai Ketrampilan'!$AT$1="","",'Input Nilai Ketrampilan'!$AT$1))</f>
        <v/>
      </c>
      <c r="AR11" s="90" t="str">
        <f>IF('Input Nilai Ketrampilan'!AX26="","",'Input Nilai Ketrampilan'!AX26)</f>
        <v/>
      </c>
      <c r="AS11" s="90" t="str">
        <f>IF(AR11="","",IF('Input Nilai Ketrampilan'!$AT$1="","",'Input Nilai Ketrampilan'!$AT$1))</f>
        <v/>
      </c>
      <c r="AT11" s="90" t="str">
        <f>IF('Input Nilai Ketrampilan'!AX27="","",'Input Nilai Ketrampilan'!AX27)</f>
        <v/>
      </c>
      <c r="AU11" s="90" t="str">
        <f>IF(AT11="","",IF('Input Nilai Ketrampilan'!$AT$1="","",'Input Nilai Ketrampilan'!$AT$1))</f>
        <v/>
      </c>
      <c r="AV11" s="90" t="str">
        <f>IF('Input Nilai Ketrampilan'!AX28="","",'Input Nilai Ketrampilan'!AX28)</f>
        <v/>
      </c>
      <c r="AW11" s="90" t="str">
        <f>IF(AV11="","",IF('Input Nilai Ketrampilan'!$AT$1="","",'Input Nilai Ketrampilan'!$AT$1))</f>
        <v/>
      </c>
      <c r="AX11" s="90" t="str">
        <f>IF('Input Nilai Ketrampilan'!AX29="","",'Input Nilai Ketrampilan'!AX29)</f>
        <v/>
      </c>
      <c r="AY11" s="90" t="str">
        <f>IF(AX11="","",IF('Input Nilai Ketrampilan'!$AT$1="","",'Input Nilai Ketrampilan'!$AT$1))</f>
        <v/>
      </c>
      <c r="AZ11" s="90" t="str">
        <f>IF('Input Nilai Ketrampilan'!AX30="","",'Input Nilai Ketrampilan'!AX30)</f>
        <v/>
      </c>
      <c r="BA11" s="90" t="str">
        <f>IF(AZ11="","",IF('Input Nilai Ketrampilan'!$AT$1="","",'Input Nilai Ketrampilan'!$AT$1))</f>
        <v/>
      </c>
      <c r="BB11" s="90" t="str">
        <f>IF('Input Nilai Ketrampilan'!AX31="","",'Input Nilai Ketrampilan'!AX31)</f>
        <v/>
      </c>
      <c r="BC11" s="90" t="str">
        <f>IF(BB11="","",IF('Input Nilai Ketrampilan'!$AT$1="","",'Input Nilai Ketrampilan'!$AT$1))</f>
        <v/>
      </c>
      <c r="BD11" s="90" t="str">
        <f>IF('Input Nilai Ketrampilan'!AX32="","",'Input Nilai Ketrampilan'!AX32)</f>
        <v/>
      </c>
      <c r="BE11" s="90" t="str">
        <f>IF(BD11="","",IF('Input Nilai Ketrampilan'!$AT$1="","",'Input Nilai Ketrampilan'!$AT$1))</f>
        <v/>
      </c>
      <c r="BF11" s="90" t="str">
        <f>IF('Input Nilai Ketrampilan'!AX33="","",'Input Nilai Ketrampilan'!AX33)</f>
        <v/>
      </c>
      <c r="BG11" s="90" t="str">
        <f>IF(BF11="","",IF('Input Nilai Ketrampilan'!$AT$1="","",'Input Nilai Ketrampilan'!$AT$1))</f>
        <v/>
      </c>
      <c r="BH11" s="90" t="str">
        <f>IF('Input Nilai Ketrampilan'!AX34="","",'Input Nilai Ketrampilan'!AX34)</f>
        <v/>
      </c>
      <c r="BI11" s="90" t="str">
        <f>IF(BH11="","",IF('Input Nilai Ketrampilan'!$AT$1="","",'Input Nilai Ketrampilan'!$AT$1))</f>
        <v/>
      </c>
      <c r="BJ11" s="90" t="str">
        <f>IF('Input Nilai Ketrampilan'!AX35="","",'Input Nilai Ketrampilan'!AX35)</f>
        <v/>
      </c>
      <c r="BK11" s="90" t="str">
        <f>IF(BJ11="","",IF('Input Nilai Ketrampilan'!$AT$1="","",'Input Nilai Ketrampilan'!$AT$1))</f>
        <v/>
      </c>
      <c r="BL11" s="90" t="str">
        <f>IF('Input Nilai Ketrampilan'!AX36="","",'Input Nilai Ketrampilan'!AX36)</f>
        <v/>
      </c>
      <c r="BM11" s="90" t="str">
        <f>IF(BL11="","",IF('Input Nilai Ketrampilan'!$AT$1="","",'Input Nilai Ketrampilan'!$AT$1))</f>
        <v/>
      </c>
      <c r="BN11" s="90" t="str">
        <f>IF('Input Nilai Ketrampilan'!AX37="","",'Input Nilai Ketrampilan'!AX37)</f>
        <v/>
      </c>
      <c r="BO11" s="90" t="str">
        <f>IF(BN11="","",IF('Input Nilai Ketrampilan'!$AT$1="","",'Input Nilai Ketrampilan'!$AT$1))</f>
        <v/>
      </c>
      <c r="BP11" s="90" t="str">
        <f>IF('Input Nilai Ketrampilan'!AX38="","",'Input Nilai Ketrampilan'!AX38)</f>
        <v/>
      </c>
      <c r="BQ11" s="90" t="str">
        <f>IF(BP11="","",IF('Input Nilai Ketrampilan'!$AT$1="","",'Input Nilai Ketrampilan'!$AT$1))</f>
        <v/>
      </c>
      <c r="BR11" s="90" t="str">
        <f>IF('Input Nilai Ketrampilan'!AX39="","",'Input Nilai Ketrampilan'!AX39)</f>
        <v/>
      </c>
      <c r="BS11" s="90" t="str">
        <f>IF(BR11="","",IF('Input Nilai Ketrampilan'!$AT$1="","",'Input Nilai Ketrampilan'!$AT$1))</f>
        <v/>
      </c>
      <c r="BT11" s="90" t="str">
        <f>IF('Input Nilai Ketrampilan'!AX40="","",'Input Nilai Ketrampilan'!AX40)</f>
        <v/>
      </c>
      <c r="BU11" s="90" t="str">
        <f>IF(BT11="","",IF('Input Nilai Ketrampilan'!$AT$1="","",'Input Nilai Ketrampilan'!$AT$1))</f>
        <v/>
      </c>
      <c r="BV11" s="90" t="str">
        <f>IF('Input Nilai Ketrampilan'!AX41="","",'Input Nilai Ketrampilan'!AX41)</f>
        <v/>
      </c>
      <c r="BW11" s="90" t="str">
        <f>IF(BV11="","",IF('Input Nilai Ketrampilan'!$AT$1="","",'Input Nilai Ketrampilan'!$AT$1))</f>
        <v/>
      </c>
      <c r="BX11" s="90" t="str">
        <f>IF('Input Nilai Ketrampilan'!AX42="","",'Input Nilai Ketrampilan'!AX42)</f>
        <v/>
      </c>
      <c r="BY11" s="90" t="str">
        <f>IF(BX11="","",IF('Input Nilai Ketrampilan'!$AT$1="","",'Input Nilai Ketrampilan'!$AT$1))</f>
        <v/>
      </c>
      <c r="BZ11" s="90" t="str">
        <f>IF('Input Nilai Ketrampilan'!AX43="","",'Input Nilai Ketrampilan'!AX43)</f>
        <v/>
      </c>
      <c r="CA11" s="90" t="str">
        <f>IF(BZ11="","",IF('Input Nilai Ketrampilan'!$AT$1="","",'Input Nilai Ketrampilan'!$AT$1))</f>
        <v/>
      </c>
      <c r="CB11" s="90" t="str">
        <f>IF('Input Nilai Ketrampilan'!AX44="","",'Input Nilai Ketrampilan'!AX44)</f>
        <v/>
      </c>
      <c r="CC11" s="90" t="str">
        <f>IF(CB11="","",IF('Input Nilai Ketrampilan'!$AT$1="","",'Input Nilai Ketrampilan'!$AT$1))</f>
        <v/>
      </c>
      <c r="CD11" s="90" t="str">
        <f>IF('Input Nilai Ketrampilan'!AX45="","",'Input Nilai Ketrampilan'!AX45)</f>
        <v/>
      </c>
      <c r="CE11" s="90" t="str">
        <f>IF(CD11="","",IF('Input Nilai Ketrampilan'!$AT$1="","",'Input Nilai Ketrampilan'!$AT$1))</f>
        <v/>
      </c>
      <c r="CF11" s="90" t="str">
        <f>IF('Input Nilai Ketrampilan'!AX46="","",'Input Nilai Ketrampilan'!AX46)</f>
        <v/>
      </c>
      <c r="CG11" s="90" t="str">
        <f>IF(CF11="","",IF('Input Nilai Ketrampilan'!$AT$1="","",'Input Nilai Ketrampilan'!$AT$1))</f>
        <v/>
      </c>
      <c r="CH11" s="90" t="str">
        <f>IF('Input Nilai Ketrampilan'!AX47="","",'Input Nilai Ketrampilan'!AX47)</f>
        <v/>
      </c>
      <c r="CI11" s="90" t="str">
        <f>IF(CH11="","",IF('Input Nilai Ketrampilan'!$AT$1="","",'Input Nilai Ketrampilan'!$AT$1))</f>
        <v/>
      </c>
      <c r="CJ11" s="90" t="str">
        <f>IF('Input Nilai Ketrampilan'!AX48="","",'Input Nilai Ketrampilan'!AX48)</f>
        <v/>
      </c>
      <c r="CK11" s="90" t="str">
        <f>IF(CJ11="","",IF('Input Nilai Ketrampilan'!$AT$1="","",'Input Nilai Ketrampilan'!$AT$1))</f>
        <v/>
      </c>
      <c r="CL11" s="90" t="str">
        <f>IF('Input Nilai Ketrampilan'!AX49="","",'Input Nilai Ketrampilan'!AX49)</f>
        <v/>
      </c>
      <c r="CM11" s="90" t="str">
        <f>IF(CL11="","",IF('Input Nilai Ketrampilan'!$AT$1="","",'Input Nilai Ketrampilan'!$AT$1))</f>
        <v/>
      </c>
      <c r="CN11" s="90" t="str">
        <f>IF('Input Nilai Ketrampilan'!AX50="","",'Input Nilai Ketrampilan'!AX50)</f>
        <v/>
      </c>
      <c r="CO11" s="90" t="str">
        <f>IF(CN11="","",IF('Input Nilai Ketrampilan'!$AT$1="","",'Input Nilai Ketrampilan'!$AT$1))</f>
        <v/>
      </c>
      <c r="CP11" s="90" t="str">
        <f>IF('Input Nilai Ketrampilan'!AX51="","",'Input Nilai Ketrampilan'!AX51)</f>
        <v/>
      </c>
      <c r="CQ11" s="90" t="str">
        <f>IF(CP11="","",IF('Input Nilai Ketrampilan'!$AT$1="","",'Input Nilai Ketrampilan'!$AT$1))</f>
        <v/>
      </c>
      <c r="CR11" s="90" t="str">
        <f>IF('Input Nilai Ketrampilan'!AX52="","",'Input Nilai Ketrampilan'!AX52)</f>
        <v/>
      </c>
      <c r="CS11" s="90" t="str">
        <f>IF(CR11="","",IF('Input Nilai Ketrampilan'!$AT$1="","",'Input Nilai Ketrampilan'!$AT$1))</f>
        <v/>
      </c>
    </row>
    <row r="12" spans="1:97">
      <c r="A12" s="72">
        <v>10</v>
      </c>
      <c r="B12" s="90" t="str">
        <f>IF('Input Nilai Ketrampilan'!BC5="","",'Input Nilai Ketrampilan'!BC5)</f>
        <v/>
      </c>
      <c r="C12" s="90" t="str">
        <f>IF(B12="","",IF('Input Nilai Ketrampilan'!$AY$1="","",'Input Nilai Ketrampilan'!$AY$1))</f>
        <v/>
      </c>
      <c r="D12" s="90" t="str">
        <f>IF('Input Nilai Ketrampilan'!BC6="","",'Input Nilai Ketrampilan'!BC6)</f>
        <v/>
      </c>
      <c r="E12" s="90" t="str">
        <f>IF(D12="","",IF('Input Nilai Ketrampilan'!$AY$1="","",'Input Nilai Ketrampilan'!$AY$1))</f>
        <v/>
      </c>
      <c r="F12" s="90" t="str">
        <f>IF('Input Nilai Ketrampilan'!BC7="","",'Input Nilai Ketrampilan'!BC7)</f>
        <v/>
      </c>
      <c r="G12" s="90" t="str">
        <f>IF(F12="","",IF('Input Nilai Ketrampilan'!$AY$1="","",'Input Nilai Ketrampilan'!$AY$1))</f>
        <v/>
      </c>
      <c r="H12" s="90" t="str">
        <f>IF('Input Nilai Ketrampilan'!BC8="","",'Input Nilai Ketrampilan'!BC8)</f>
        <v/>
      </c>
      <c r="I12" s="90" t="str">
        <f>IF(H12="","",IF('Input Nilai Ketrampilan'!$AY$1="","",'Input Nilai Ketrampilan'!$AY$1))</f>
        <v/>
      </c>
      <c r="J12" s="90" t="str">
        <f>IF('Input Nilai Ketrampilan'!BC9="","",'Input Nilai Ketrampilan'!BC9)</f>
        <v/>
      </c>
      <c r="K12" s="90" t="str">
        <f>IF(J12="","",IF('Input Nilai Ketrampilan'!$AY$1="","",'Input Nilai Ketrampilan'!$AY$1))</f>
        <v/>
      </c>
      <c r="L12" s="90" t="str">
        <f>IF('Input Nilai Ketrampilan'!BC10="","",'Input Nilai Ketrampilan'!BC10)</f>
        <v/>
      </c>
      <c r="M12" s="90" t="str">
        <f>IF(L12="","",IF('Input Nilai Ketrampilan'!$AY$1="","",'Input Nilai Ketrampilan'!$AY$1))</f>
        <v/>
      </c>
      <c r="N12" s="90" t="str">
        <f>IF('Input Nilai Ketrampilan'!BC11="","",'Input Nilai Ketrampilan'!BC11)</f>
        <v/>
      </c>
      <c r="O12" s="90" t="str">
        <f>IF(N12="","",IF('Input Nilai Ketrampilan'!$AY$1="","",'Input Nilai Ketrampilan'!$AY$1))</f>
        <v/>
      </c>
      <c r="P12" s="90" t="str">
        <f>IF('Input Nilai Ketrampilan'!BC12="","",'Input Nilai Ketrampilan'!BC12)</f>
        <v/>
      </c>
      <c r="Q12" s="90" t="str">
        <f>IF(P12="","",IF('Input Nilai Ketrampilan'!$AY$1="","",'Input Nilai Ketrampilan'!$AY$1))</f>
        <v/>
      </c>
      <c r="R12" s="90" t="str">
        <f>IF('Input Nilai Ketrampilan'!BC13="","",'Input Nilai Ketrampilan'!BC13)</f>
        <v/>
      </c>
      <c r="S12" s="90" t="str">
        <f>IF(R12="","",IF('Input Nilai Ketrampilan'!$AY$1="","",'Input Nilai Ketrampilan'!$AY$1))</f>
        <v/>
      </c>
      <c r="T12" s="90" t="str">
        <f>IF('Input Nilai Ketrampilan'!BC14="","",'Input Nilai Ketrampilan'!BC14)</f>
        <v/>
      </c>
      <c r="U12" s="90" t="str">
        <f>IF(T12="","",IF('Input Nilai Ketrampilan'!$AY$1="","",'Input Nilai Ketrampilan'!$AY$1))</f>
        <v/>
      </c>
      <c r="V12" s="90" t="str">
        <f>IF('Input Nilai Ketrampilan'!BC15="","",'Input Nilai Ketrampilan'!BC15)</f>
        <v/>
      </c>
      <c r="W12" s="90" t="str">
        <f>IF(V12="","",IF('Input Nilai Ketrampilan'!$AY$1="","",'Input Nilai Ketrampilan'!$AY$1))</f>
        <v/>
      </c>
      <c r="X12" s="90" t="str">
        <f>IF('Input Nilai Ketrampilan'!BC16="","",'Input Nilai Ketrampilan'!BC16)</f>
        <v/>
      </c>
      <c r="Y12" s="90" t="str">
        <f>IF(X12="","",IF('Input Nilai Ketrampilan'!$AY$1="","",'Input Nilai Ketrampilan'!$AY$1))</f>
        <v/>
      </c>
      <c r="Z12" s="90" t="str">
        <f>IF('Input Nilai Ketrampilan'!BC17="","",'Input Nilai Ketrampilan'!BC17)</f>
        <v/>
      </c>
      <c r="AA12" s="90" t="str">
        <f>IF(Z12="","",IF('Input Nilai Ketrampilan'!$AY$1="","",'Input Nilai Ketrampilan'!$AY$1))</f>
        <v/>
      </c>
      <c r="AB12" s="90" t="str">
        <f>IF('Input Nilai Ketrampilan'!BC18="","",'Input Nilai Ketrampilan'!BC18)</f>
        <v/>
      </c>
      <c r="AC12" s="90" t="str">
        <f>IF(AB12="","",IF('Input Nilai Ketrampilan'!$AY$1="","",'Input Nilai Ketrampilan'!$AY$1))</f>
        <v/>
      </c>
      <c r="AD12" s="90" t="str">
        <f>IF('Input Nilai Ketrampilan'!BC19="","",'Input Nilai Ketrampilan'!BC19)</f>
        <v/>
      </c>
      <c r="AE12" s="90" t="str">
        <f>IF(AD12="","",IF('Input Nilai Ketrampilan'!$AY$1="","",'Input Nilai Ketrampilan'!$AY$1))</f>
        <v/>
      </c>
      <c r="AF12" s="90" t="str">
        <f>IF('Input Nilai Ketrampilan'!BC20="","",'Input Nilai Ketrampilan'!BC20)</f>
        <v/>
      </c>
      <c r="AG12" s="90" t="str">
        <f>IF(AF12="","",IF('Input Nilai Ketrampilan'!$AY$1="","",'Input Nilai Ketrampilan'!$AY$1))</f>
        <v/>
      </c>
      <c r="AH12" s="90" t="str">
        <f>IF('Input Nilai Ketrampilan'!BC21="","",'Input Nilai Ketrampilan'!BC21)</f>
        <v/>
      </c>
      <c r="AI12" s="90" t="str">
        <f>IF(AH12="","",IF('Input Nilai Ketrampilan'!$AY$1="","",'Input Nilai Ketrampilan'!$AY$1))</f>
        <v/>
      </c>
      <c r="AJ12" s="90" t="str">
        <f>IF('Input Nilai Ketrampilan'!BC22="","",'Input Nilai Ketrampilan'!BC22)</f>
        <v/>
      </c>
      <c r="AK12" s="90" t="str">
        <f>IF(AJ12="","",IF('Input Nilai Ketrampilan'!$AY$1="","",'Input Nilai Ketrampilan'!$AY$1))</f>
        <v/>
      </c>
      <c r="AL12" s="90" t="str">
        <f>IF('Input Nilai Ketrampilan'!BC23="","",'Input Nilai Ketrampilan'!BC23)</f>
        <v/>
      </c>
      <c r="AM12" s="90" t="str">
        <f>IF(AL12="","",IF('Input Nilai Ketrampilan'!$AY$1="","",'Input Nilai Ketrampilan'!$AY$1))</f>
        <v/>
      </c>
      <c r="AN12" s="90" t="str">
        <f>IF('Input Nilai Ketrampilan'!BC24="","",'Input Nilai Ketrampilan'!BC24)</f>
        <v/>
      </c>
      <c r="AO12" s="90" t="str">
        <f>IF(AN12="","",IF('Input Nilai Ketrampilan'!$AY$1="","",'Input Nilai Ketrampilan'!$AY$1))</f>
        <v/>
      </c>
      <c r="AP12" s="90" t="str">
        <f>IF('Input Nilai Ketrampilan'!BC25="","",'Input Nilai Ketrampilan'!BC25)</f>
        <v/>
      </c>
      <c r="AQ12" s="90" t="str">
        <f>IF(AP12="","",IF('Input Nilai Ketrampilan'!$AY$1="","",'Input Nilai Ketrampilan'!$AY$1))</f>
        <v/>
      </c>
      <c r="AR12" s="90" t="str">
        <f>IF('Input Nilai Ketrampilan'!BC26="","",'Input Nilai Ketrampilan'!BC26)</f>
        <v/>
      </c>
      <c r="AS12" s="90" t="str">
        <f>IF(AR12="","",IF('Input Nilai Ketrampilan'!$AY$1="","",'Input Nilai Ketrampilan'!$AY$1))</f>
        <v/>
      </c>
      <c r="AT12" s="90" t="str">
        <f>IF('Input Nilai Ketrampilan'!BC27="","",'Input Nilai Ketrampilan'!BC27)</f>
        <v/>
      </c>
      <c r="AU12" s="90" t="str">
        <f>IF(AT12="","",IF('Input Nilai Ketrampilan'!$AY$1="","",'Input Nilai Ketrampilan'!$AY$1))</f>
        <v/>
      </c>
      <c r="AV12" s="90" t="str">
        <f>IF('Input Nilai Ketrampilan'!BC28="","",'Input Nilai Ketrampilan'!BC28)</f>
        <v/>
      </c>
      <c r="AW12" s="90" t="str">
        <f>IF(AV12="","",IF('Input Nilai Ketrampilan'!$AY$1="","",'Input Nilai Ketrampilan'!$AY$1))</f>
        <v/>
      </c>
      <c r="AX12" s="90" t="str">
        <f>IF('Input Nilai Ketrampilan'!BC29="","",'Input Nilai Ketrampilan'!BC29)</f>
        <v/>
      </c>
      <c r="AY12" s="90" t="str">
        <f>IF(AX12="","",IF('Input Nilai Ketrampilan'!$AY$1="","",'Input Nilai Ketrampilan'!$AY$1))</f>
        <v/>
      </c>
      <c r="AZ12" s="90" t="str">
        <f>IF('Input Nilai Ketrampilan'!BC30="","",'Input Nilai Ketrampilan'!BC30)</f>
        <v/>
      </c>
      <c r="BA12" s="90" t="str">
        <f>IF(AZ12="","",IF('Input Nilai Ketrampilan'!$AY$1="","",'Input Nilai Ketrampilan'!$AY$1))</f>
        <v/>
      </c>
      <c r="BB12" s="90" t="str">
        <f>IF('Input Nilai Ketrampilan'!BC31="","",'Input Nilai Ketrampilan'!BC31)</f>
        <v/>
      </c>
      <c r="BC12" s="90" t="str">
        <f>IF(BB12="","",IF('Input Nilai Ketrampilan'!$AY$1="","",'Input Nilai Ketrampilan'!$AY$1))</f>
        <v/>
      </c>
      <c r="BD12" s="90" t="str">
        <f>IF('Input Nilai Ketrampilan'!BC32="","",'Input Nilai Ketrampilan'!BC32)</f>
        <v/>
      </c>
      <c r="BE12" s="90" t="str">
        <f>IF(BD12="","",IF('Input Nilai Ketrampilan'!$AY$1="","",'Input Nilai Ketrampilan'!$AY$1))</f>
        <v/>
      </c>
      <c r="BF12" s="90" t="str">
        <f>IF('Input Nilai Ketrampilan'!BC33="","",'Input Nilai Ketrampilan'!BC33)</f>
        <v/>
      </c>
      <c r="BG12" s="90" t="str">
        <f>IF(BF12="","",IF('Input Nilai Ketrampilan'!$AY$1="","",'Input Nilai Ketrampilan'!$AY$1))</f>
        <v/>
      </c>
      <c r="BH12" s="90" t="str">
        <f>IF('Input Nilai Ketrampilan'!BC34="","",'Input Nilai Ketrampilan'!BC34)</f>
        <v/>
      </c>
      <c r="BI12" s="90" t="str">
        <f>IF(BH12="","",IF('Input Nilai Ketrampilan'!$AY$1="","",'Input Nilai Ketrampilan'!$AY$1))</f>
        <v/>
      </c>
      <c r="BJ12" s="90" t="str">
        <f>IF('Input Nilai Ketrampilan'!BC35="","",'Input Nilai Ketrampilan'!BC35)</f>
        <v/>
      </c>
      <c r="BK12" s="90" t="str">
        <f>IF(BJ12="","",IF('Input Nilai Ketrampilan'!$AY$1="","",'Input Nilai Ketrampilan'!$AY$1))</f>
        <v/>
      </c>
      <c r="BL12" s="90" t="str">
        <f>IF('Input Nilai Ketrampilan'!BC36="","",'Input Nilai Ketrampilan'!BC36)</f>
        <v/>
      </c>
      <c r="BM12" s="90" t="str">
        <f>IF(BL12="","",IF('Input Nilai Ketrampilan'!$AY$1="","",'Input Nilai Ketrampilan'!$AY$1))</f>
        <v/>
      </c>
      <c r="BN12" s="90" t="str">
        <f>IF('Input Nilai Ketrampilan'!BC37="","",'Input Nilai Ketrampilan'!BC37)</f>
        <v/>
      </c>
      <c r="BO12" s="90" t="str">
        <f>IF(BN12="","",IF('Input Nilai Ketrampilan'!$AY$1="","",'Input Nilai Ketrampilan'!$AY$1))</f>
        <v/>
      </c>
      <c r="BP12" s="90" t="str">
        <f>IF('Input Nilai Ketrampilan'!BC38="","",'Input Nilai Ketrampilan'!BC38)</f>
        <v/>
      </c>
      <c r="BQ12" s="90" t="str">
        <f>IF(BP12="","",IF('Input Nilai Ketrampilan'!$AY$1="","",'Input Nilai Ketrampilan'!$AY$1))</f>
        <v/>
      </c>
      <c r="BR12" s="90" t="str">
        <f>IF('Input Nilai Ketrampilan'!BC39="","",'Input Nilai Ketrampilan'!BC39)</f>
        <v/>
      </c>
      <c r="BS12" s="90" t="str">
        <f>IF(BR12="","",IF('Input Nilai Ketrampilan'!$AY$1="","",'Input Nilai Ketrampilan'!$AY$1))</f>
        <v/>
      </c>
      <c r="BT12" s="90" t="str">
        <f>IF('Input Nilai Ketrampilan'!BC40="","",'Input Nilai Ketrampilan'!BC40)</f>
        <v/>
      </c>
      <c r="BU12" s="90" t="str">
        <f>IF(BT12="","",IF('Input Nilai Ketrampilan'!$AY$1="","",'Input Nilai Ketrampilan'!$AY$1))</f>
        <v/>
      </c>
      <c r="BV12" s="90" t="str">
        <f>IF('Input Nilai Ketrampilan'!BC41="","",'Input Nilai Ketrampilan'!BC41)</f>
        <v/>
      </c>
      <c r="BW12" s="90" t="str">
        <f>IF(BV12="","",IF('Input Nilai Ketrampilan'!$AY$1="","",'Input Nilai Ketrampilan'!$AY$1))</f>
        <v/>
      </c>
      <c r="BX12" s="90" t="str">
        <f>IF('Input Nilai Ketrampilan'!BC42="","",'Input Nilai Ketrampilan'!BC42)</f>
        <v/>
      </c>
      <c r="BY12" s="90" t="str">
        <f>IF(BX12="","",IF('Input Nilai Ketrampilan'!$AY$1="","",'Input Nilai Ketrampilan'!$AY$1))</f>
        <v/>
      </c>
      <c r="BZ12" s="90" t="str">
        <f>IF('Input Nilai Ketrampilan'!BC43="","",'Input Nilai Ketrampilan'!BC43)</f>
        <v/>
      </c>
      <c r="CA12" s="90" t="str">
        <f>IF(BZ12="","",IF('Input Nilai Ketrampilan'!$AY$1="","",'Input Nilai Ketrampilan'!$AY$1))</f>
        <v/>
      </c>
      <c r="CB12" s="90" t="str">
        <f>IF('Input Nilai Ketrampilan'!BC44="","",'Input Nilai Ketrampilan'!BC44)</f>
        <v/>
      </c>
      <c r="CC12" s="90" t="str">
        <f>IF(CB12="","",IF('Input Nilai Ketrampilan'!$AY$1="","",'Input Nilai Ketrampilan'!$AY$1))</f>
        <v/>
      </c>
      <c r="CD12" s="90" t="str">
        <f>IF('Input Nilai Ketrampilan'!BC45="","",'Input Nilai Ketrampilan'!BC45)</f>
        <v/>
      </c>
      <c r="CE12" s="90" t="str">
        <f>IF(CD12="","",IF('Input Nilai Ketrampilan'!$AY$1="","",'Input Nilai Ketrampilan'!$AY$1))</f>
        <v/>
      </c>
      <c r="CF12" s="90" t="str">
        <f>IF('Input Nilai Ketrampilan'!BC46="","",'Input Nilai Ketrampilan'!BC46)</f>
        <v/>
      </c>
      <c r="CG12" s="90" t="str">
        <f>IF(CF12="","",IF('Input Nilai Ketrampilan'!$AY$1="","",'Input Nilai Ketrampilan'!$AY$1))</f>
        <v/>
      </c>
      <c r="CH12" s="90" t="str">
        <f>IF('Input Nilai Ketrampilan'!BC47="","",'Input Nilai Ketrampilan'!BC47)</f>
        <v/>
      </c>
      <c r="CI12" s="90" t="str">
        <f>IF(CH12="","",IF('Input Nilai Ketrampilan'!$AY$1="","",'Input Nilai Ketrampilan'!$AY$1))</f>
        <v/>
      </c>
      <c r="CJ12" s="90" t="str">
        <f>IF('Input Nilai Ketrampilan'!BC48="","",'Input Nilai Ketrampilan'!BC48)</f>
        <v/>
      </c>
      <c r="CK12" s="90" t="str">
        <f>IF(CJ12="","",IF('Input Nilai Ketrampilan'!$AY$1="","",'Input Nilai Ketrampilan'!$AY$1))</f>
        <v/>
      </c>
      <c r="CL12" s="90" t="str">
        <f>IF('Input Nilai Ketrampilan'!BC49="","",'Input Nilai Ketrampilan'!BC49)</f>
        <v/>
      </c>
      <c r="CM12" s="90" t="str">
        <f>IF(CL12="","",IF('Input Nilai Ketrampilan'!$AY$1="","",'Input Nilai Ketrampilan'!$AY$1))</f>
        <v/>
      </c>
      <c r="CN12" s="90" t="str">
        <f>IF('Input Nilai Ketrampilan'!BC50="","",'Input Nilai Ketrampilan'!BC50)</f>
        <v/>
      </c>
      <c r="CO12" s="90" t="str">
        <f>IF(CN12="","",IF('Input Nilai Ketrampilan'!$AY$1="","",'Input Nilai Ketrampilan'!$AY$1))</f>
        <v/>
      </c>
      <c r="CP12" s="90" t="str">
        <f>IF('Input Nilai Ketrampilan'!BC51="","",'Input Nilai Ketrampilan'!BC51)</f>
        <v/>
      </c>
      <c r="CQ12" s="90" t="str">
        <f>IF(CP12="","",IF('Input Nilai Ketrampilan'!$AY$1="","",'Input Nilai Ketrampilan'!$AY$1))</f>
        <v/>
      </c>
      <c r="CR12" s="90" t="str">
        <f>IF('Input Nilai Ketrampilan'!BC52="","",'Input Nilai Ketrampilan'!BC52)</f>
        <v/>
      </c>
      <c r="CS12" s="90" t="str">
        <f>IF(CR12="","",IF('Input Nilai Ketrampilan'!$AY$1="","",'Input Nilai Ketrampilan'!$AY$1))</f>
        <v/>
      </c>
    </row>
    <row r="15" spans="1:97">
      <c r="D15" s="42">
        <v>6</v>
      </c>
      <c r="F15" s="42">
        <v>7</v>
      </c>
      <c r="H15" s="42">
        <v>8</v>
      </c>
      <c r="J15" s="42">
        <f>H15+1</f>
        <v>9</v>
      </c>
      <c r="L15" s="42">
        <f>J15+1</f>
        <v>10</v>
      </c>
      <c r="N15" s="42">
        <f>L15+1</f>
        <v>11</v>
      </c>
      <c r="P15" s="42">
        <f>N15+1</f>
        <v>12</v>
      </c>
      <c r="R15" s="42">
        <f>P15+1</f>
        <v>13</v>
      </c>
      <c r="T15" s="42">
        <f>R15+1</f>
        <v>14</v>
      </c>
      <c r="V15" s="42">
        <f>T15+1</f>
        <v>15</v>
      </c>
      <c r="X15" s="42">
        <f>V15+1</f>
        <v>16</v>
      </c>
      <c r="Z15" s="42">
        <f>X15+1</f>
        <v>17</v>
      </c>
      <c r="AB15" s="42">
        <f>Z15+1</f>
        <v>18</v>
      </c>
      <c r="AD15" s="42">
        <f>AB15+1</f>
        <v>19</v>
      </c>
      <c r="AF15" s="42">
        <f>AD15+1</f>
        <v>20</v>
      </c>
      <c r="AH15" s="42">
        <f>AF15+1</f>
        <v>21</v>
      </c>
      <c r="AJ15" s="42">
        <f>AH15+1</f>
        <v>22</v>
      </c>
      <c r="AL15" s="42">
        <f>AJ15+1</f>
        <v>23</v>
      </c>
      <c r="AN15" s="42">
        <f>AL15+1</f>
        <v>24</v>
      </c>
      <c r="AP15" s="42">
        <f>AN15+1</f>
        <v>25</v>
      </c>
      <c r="AR15" s="42">
        <f>AP15+1</f>
        <v>26</v>
      </c>
      <c r="AT15" s="42">
        <f>AR15+1</f>
        <v>27</v>
      </c>
      <c r="AV15" s="42">
        <f>AT15+1</f>
        <v>28</v>
      </c>
      <c r="AX15" s="42">
        <f>AV15+1</f>
        <v>29</v>
      </c>
      <c r="AZ15" s="42">
        <f>AX15+1</f>
        <v>30</v>
      </c>
      <c r="BB15" s="42">
        <f>AZ15+1</f>
        <v>31</v>
      </c>
      <c r="BD15" s="42">
        <f>BB15+1</f>
        <v>32</v>
      </c>
      <c r="BF15" s="42">
        <f>BD15+1</f>
        <v>33</v>
      </c>
      <c r="BH15" s="42">
        <f>BF15+1</f>
        <v>34</v>
      </c>
      <c r="BJ15" s="42">
        <f>BH15+1</f>
        <v>35</v>
      </c>
      <c r="BL15" s="42">
        <f>BJ15+1</f>
        <v>36</v>
      </c>
      <c r="BN15" s="42">
        <f>BL15+1</f>
        <v>37</v>
      </c>
      <c r="BP15" s="42">
        <f>BN15+1</f>
        <v>38</v>
      </c>
      <c r="BR15" s="42">
        <f>BP15+1</f>
        <v>39</v>
      </c>
      <c r="BT15" s="42">
        <f>BR15+1</f>
        <v>40</v>
      </c>
      <c r="BV15" s="42">
        <f>BT15+1</f>
        <v>41</v>
      </c>
      <c r="BX15" s="42">
        <f>BV15+1</f>
        <v>42</v>
      </c>
      <c r="BZ15" s="42">
        <f>BX15+1</f>
        <v>43</v>
      </c>
      <c r="CB15" s="42">
        <f>BZ15+1</f>
        <v>44</v>
      </c>
      <c r="CD15" s="42">
        <f>CB15+1</f>
        <v>45</v>
      </c>
      <c r="CF15" s="42">
        <f>CD15+1</f>
        <v>46</v>
      </c>
      <c r="CH15" s="42">
        <f>CF15+1</f>
        <v>47</v>
      </c>
      <c r="CJ15" s="42">
        <f>CH15+1</f>
        <v>48</v>
      </c>
      <c r="CL15" s="42">
        <f>CJ15+1</f>
        <v>49</v>
      </c>
      <c r="CN15" s="42">
        <f>CL15+1</f>
        <v>50</v>
      </c>
      <c r="CP15" s="42">
        <f>CN15+1</f>
        <v>51</v>
      </c>
      <c r="CR15" s="42">
        <f>CP15+1</f>
        <v>52</v>
      </c>
    </row>
    <row r="16" spans="1:97">
      <c r="A16" s="72">
        <v>1</v>
      </c>
      <c r="B16" s="42" t="s">
        <v>409</v>
      </c>
      <c r="C16" s="42" t="s">
        <v>419</v>
      </c>
      <c r="D16" s="42" t="str">
        <f>$B$16&amp;D15&amp;"="&amp;""&amp;$C$16&amp;D15&amp;")"</f>
        <v>IF('Input Nilai Ketrampilan'!I6="";"";'Input Nilai Ketrampilan'!I6)</v>
      </c>
      <c r="F16" s="42" t="str">
        <f>$B$16&amp;F15&amp;"="&amp;$C$16&amp;F15&amp;")"</f>
        <v>IF('Input Nilai Ketrampilan'!I7="";"";'Input Nilai Ketrampilan'!I7)</v>
      </c>
      <c r="H16" s="42" t="str">
        <f>$B$16&amp;H15&amp;"="&amp;$C$16&amp;H15&amp;")"</f>
        <v>IF('Input Nilai Ketrampilan'!I8="";"";'Input Nilai Ketrampilan'!I8)</v>
      </c>
      <c r="J16" s="42" t="str">
        <f>$B$16&amp;J15&amp;"="&amp;$C$16&amp;J15&amp;")"</f>
        <v>IF('Input Nilai Ketrampilan'!I9="";"";'Input Nilai Ketrampilan'!I9)</v>
      </c>
      <c r="L16" s="42" t="str">
        <f>$B$16&amp;L15&amp;"="&amp;$C$16&amp;L15&amp;")"</f>
        <v>IF('Input Nilai Ketrampilan'!I10="";"";'Input Nilai Ketrampilan'!I10)</v>
      </c>
      <c r="N16" s="42" t="str">
        <f>$B$16&amp;N15&amp;"="&amp;$C$16&amp;N15&amp;")"</f>
        <v>IF('Input Nilai Ketrampilan'!I11="";"";'Input Nilai Ketrampilan'!I11)</v>
      </c>
      <c r="P16" s="42" t="str">
        <f>$B$16&amp;P15&amp;"="&amp;$C$16&amp;P15&amp;")"</f>
        <v>IF('Input Nilai Ketrampilan'!I12="";"";'Input Nilai Ketrampilan'!I12)</v>
      </c>
      <c r="R16" s="42" t="str">
        <f>$B$16&amp;R15&amp;"="&amp;$C$16&amp;R15&amp;")"</f>
        <v>IF('Input Nilai Ketrampilan'!I13="";"";'Input Nilai Ketrampilan'!I13)</v>
      </c>
      <c r="T16" s="42" t="str">
        <f>$B$16&amp;T15&amp;"="&amp;$C$16&amp;T15&amp;")"</f>
        <v>IF('Input Nilai Ketrampilan'!I14="";"";'Input Nilai Ketrampilan'!I14)</v>
      </c>
      <c r="V16" s="42" t="str">
        <f>$B$16&amp;V15&amp;"="&amp;$C$16&amp;V15&amp;")"</f>
        <v>IF('Input Nilai Ketrampilan'!I15="";"";'Input Nilai Ketrampilan'!I15)</v>
      </c>
      <c r="X16" s="42" t="str">
        <f>$B$16&amp;X15&amp;"="&amp;$C$16&amp;X15&amp;")"</f>
        <v>IF('Input Nilai Ketrampilan'!I16="";"";'Input Nilai Ketrampilan'!I16)</v>
      </c>
      <c r="Z16" s="42" t="str">
        <f>$B$16&amp;Z15&amp;"="&amp;$C$16&amp;Z15&amp;")"</f>
        <v>IF('Input Nilai Ketrampilan'!I17="";"";'Input Nilai Ketrampilan'!I17)</v>
      </c>
      <c r="AB16" s="42" t="str">
        <f>$B$16&amp;AB15&amp;"="&amp;$C$16&amp;AB15&amp;")"</f>
        <v>IF('Input Nilai Ketrampilan'!I18="";"";'Input Nilai Ketrampilan'!I18)</v>
      </c>
      <c r="AD16" s="42" t="str">
        <f>$B$16&amp;AD15&amp;"="&amp;$C$16&amp;AD15&amp;")"</f>
        <v>IF('Input Nilai Ketrampilan'!I19="";"";'Input Nilai Ketrampilan'!I19)</v>
      </c>
      <c r="AF16" s="42" t="str">
        <f>$B$16&amp;AF15&amp;"="&amp;$C$16&amp;AF15&amp;")"</f>
        <v>IF('Input Nilai Ketrampilan'!I20="";"";'Input Nilai Ketrampilan'!I20)</v>
      </c>
      <c r="AH16" s="42" t="str">
        <f>$B$16&amp;AH15&amp;"="&amp;$C$16&amp;AH15&amp;")"</f>
        <v>IF('Input Nilai Ketrampilan'!I21="";"";'Input Nilai Ketrampilan'!I21)</v>
      </c>
      <c r="AJ16" s="42" t="str">
        <f>$B$16&amp;AJ15&amp;"="&amp;$C$16&amp;AJ15&amp;")"</f>
        <v>IF('Input Nilai Ketrampilan'!I22="";"";'Input Nilai Ketrampilan'!I22)</v>
      </c>
      <c r="AL16" s="42" t="str">
        <f>$B$16&amp;AL15&amp;"="&amp;$C$16&amp;AL15&amp;")"</f>
        <v>IF('Input Nilai Ketrampilan'!I23="";"";'Input Nilai Ketrampilan'!I23)</v>
      </c>
      <c r="AN16" s="42" t="str">
        <f>$B$16&amp;AN15&amp;"="&amp;$C$16&amp;AN15&amp;")"</f>
        <v>IF('Input Nilai Ketrampilan'!I24="";"";'Input Nilai Ketrampilan'!I24)</v>
      </c>
      <c r="AP16" s="42" t="str">
        <f>$B$16&amp;AP15&amp;"="&amp;$C$16&amp;AP15&amp;")"</f>
        <v>IF('Input Nilai Ketrampilan'!I25="";"";'Input Nilai Ketrampilan'!I25)</v>
      </c>
      <c r="AR16" s="42" t="str">
        <f>$B$16&amp;AR15&amp;"="&amp;$C$16&amp;AR15&amp;")"</f>
        <v>IF('Input Nilai Ketrampilan'!I26="";"";'Input Nilai Ketrampilan'!I26)</v>
      </c>
      <c r="AT16" s="42" t="str">
        <f>$B$16&amp;AT15&amp;"="&amp;$C$16&amp;AT15&amp;")"</f>
        <v>IF('Input Nilai Ketrampilan'!I27="";"";'Input Nilai Ketrampilan'!I27)</v>
      </c>
      <c r="AV16" s="42" t="str">
        <f>$B$16&amp;AV15&amp;"="&amp;$C$16&amp;AV15&amp;")"</f>
        <v>IF('Input Nilai Ketrampilan'!I28="";"";'Input Nilai Ketrampilan'!I28)</v>
      </c>
      <c r="AX16" s="42" t="str">
        <f>$B$16&amp;AX15&amp;"="&amp;$C$16&amp;AX15&amp;")"</f>
        <v>IF('Input Nilai Ketrampilan'!I29="";"";'Input Nilai Ketrampilan'!I29)</v>
      </c>
      <c r="AZ16" s="42" t="str">
        <f>$B$16&amp;AZ15&amp;"="&amp;$C$16&amp;AZ15&amp;")"</f>
        <v>IF('Input Nilai Ketrampilan'!I30="";"";'Input Nilai Ketrampilan'!I30)</v>
      </c>
      <c r="BB16" s="42" t="str">
        <f>$B$16&amp;BB15&amp;"="&amp;$C$16&amp;BB15&amp;")"</f>
        <v>IF('Input Nilai Ketrampilan'!I31="";"";'Input Nilai Ketrampilan'!I31)</v>
      </c>
      <c r="BD16" s="42" t="str">
        <f>$B$16&amp;BD15&amp;"="&amp;$C$16&amp;BD15&amp;")"</f>
        <v>IF('Input Nilai Ketrampilan'!I32="";"";'Input Nilai Ketrampilan'!I32)</v>
      </c>
      <c r="BF16" s="42" t="str">
        <f>$B$16&amp;BF15&amp;"="&amp;$C$16&amp;BF15&amp;")"</f>
        <v>IF('Input Nilai Ketrampilan'!I33="";"";'Input Nilai Ketrampilan'!I33)</v>
      </c>
      <c r="BH16" s="42" t="str">
        <f>$B$16&amp;BH15&amp;"="&amp;$C$16&amp;BH15&amp;")"</f>
        <v>IF('Input Nilai Ketrampilan'!I34="";"";'Input Nilai Ketrampilan'!I34)</v>
      </c>
      <c r="BJ16" s="42" t="str">
        <f>$B$16&amp;BJ15&amp;"="&amp;$C$16&amp;BJ15&amp;")"</f>
        <v>IF('Input Nilai Ketrampilan'!I35="";"";'Input Nilai Ketrampilan'!I35)</v>
      </c>
      <c r="BL16" s="42" t="str">
        <f>$B$16&amp;BL15&amp;"="&amp;$C$16&amp;BL15&amp;")"</f>
        <v>IF('Input Nilai Ketrampilan'!I36="";"";'Input Nilai Ketrampilan'!I36)</v>
      </c>
      <c r="BN16" s="42" t="str">
        <f>$B$16&amp;BN15&amp;"="&amp;$C$16&amp;BN15&amp;")"</f>
        <v>IF('Input Nilai Ketrampilan'!I37="";"";'Input Nilai Ketrampilan'!I37)</v>
      </c>
      <c r="BP16" s="42" t="str">
        <f>$B$16&amp;BP15&amp;"="&amp;$C$16&amp;BP15&amp;")"</f>
        <v>IF('Input Nilai Ketrampilan'!I38="";"";'Input Nilai Ketrampilan'!I38)</v>
      </c>
      <c r="BR16" s="42" t="str">
        <f>$B$16&amp;BR15&amp;"="&amp;$C$16&amp;BR15&amp;")"</f>
        <v>IF('Input Nilai Ketrampilan'!I39="";"";'Input Nilai Ketrampilan'!I39)</v>
      </c>
      <c r="BT16" s="42" t="str">
        <f>$B$16&amp;BT15&amp;"="&amp;$C$16&amp;BT15&amp;")"</f>
        <v>IF('Input Nilai Ketrampilan'!I40="";"";'Input Nilai Ketrampilan'!I40)</v>
      </c>
      <c r="BV16" s="42" t="str">
        <f>$B$16&amp;BV15&amp;"="&amp;$C$16&amp;BV15&amp;")"</f>
        <v>IF('Input Nilai Ketrampilan'!I41="";"";'Input Nilai Ketrampilan'!I41)</v>
      </c>
      <c r="BX16" s="42" t="str">
        <f>$B$16&amp;BX15&amp;"="&amp;$C$16&amp;BX15&amp;")"</f>
        <v>IF('Input Nilai Ketrampilan'!I42="";"";'Input Nilai Ketrampilan'!I42)</v>
      </c>
      <c r="BZ16" s="42" t="str">
        <f>$B$16&amp;BZ15&amp;"="&amp;$C$16&amp;BZ15&amp;")"</f>
        <v>IF('Input Nilai Ketrampilan'!I43="";"";'Input Nilai Ketrampilan'!I43)</v>
      </c>
      <c r="CB16" s="42" t="str">
        <f>$B$16&amp;CB15&amp;"="&amp;$C$16&amp;CB15&amp;")"</f>
        <v>IF('Input Nilai Ketrampilan'!I44="";"";'Input Nilai Ketrampilan'!I44)</v>
      </c>
      <c r="CD16" s="42" t="str">
        <f>$B$16&amp;CD15&amp;"="&amp;$C$16&amp;CD15&amp;")"</f>
        <v>IF('Input Nilai Ketrampilan'!I45="";"";'Input Nilai Ketrampilan'!I45)</v>
      </c>
      <c r="CF16" s="42" t="str">
        <f>$B$16&amp;CF15&amp;"="&amp;$C$16&amp;CF15&amp;")"</f>
        <v>IF('Input Nilai Ketrampilan'!I46="";"";'Input Nilai Ketrampilan'!I46)</v>
      </c>
      <c r="CH16" s="42" t="str">
        <f>$B$16&amp;CH15&amp;"="&amp;$C$16&amp;CH15&amp;")"</f>
        <v>IF('Input Nilai Ketrampilan'!I47="";"";'Input Nilai Ketrampilan'!I47)</v>
      </c>
      <c r="CJ16" s="42" t="str">
        <f>$B$16&amp;CJ15&amp;"="&amp;$C$16&amp;CJ15&amp;")"</f>
        <v>IF('Input Nilai Ketrampilan'!I48="";"";'Input Nilai Ketrampilan'!I48)</v>
      </c>
      <c r="CL16" s="42" t="str">
        <f>$B$16&amp;CL15&amp;"="&amp;$C$16&amp;CL15&amp;")"</f>
        <v>IF('Input Nilai Ketrampilan'!I49="";"";'Input Nilai Ketrampilan'!I49)</v>
      </c>
      <c r="CN16" s="42" t="str">
        <f>$B$16&amp;CN15&amp;"="&amp;$C$16&amp;CN15&amp;")"</f>
        <v>IF('Input Nilai Ketrampilan'!I50="";"";'Input Nilai Ketrampilan'!I50)</v>
      </c>
      <c r="CP16" s="42" t="str">
        <f>$B$16&amp;CP15&amp;"="&amp;$C$16&amp;CP15&amp;")"</f>
        <v>IF('Input Nilai Ketrampilan'!I51="";"";'Input Nilai Ketrampilan'!I51)</v>
      </c>
      <c r="CR16" s="42" t="str">
        <f>$B$16&amp;CR15&amp;"="&amp;$C$16&amp;CR15&amp;")"</f>
        <v>IF('Input Nilai Ketrampilan'!I52="";"";'Input Nilai Ketrampilan'!I52)</v>
      </c>
    </row>
    <row r="17" spans="1:96">
      <c r="A17" s="72">
        <v>2</v>
      </c>
      <c r="B17" s="42" t="s">
        <v>410</v>
      </c>
      <c r="C17" s="42" t="s">
        <v>420</v>
      </c>
      <c r="D17" s="42" t="str">
        <f>$B$17&amp;D15&amp;"="&amp;$C$17&amp;D15&amp;")"</f>
        <v>IF('Input Nilai Ketrampilan'!M6="";"";'Input Nilai Ketrampilan'!M6)</v>
      </c>
      <c r="F17" s="42" t="str">
        <f>$B$17&amp;F15&amp;"="&amp;$C$17&amp;F15&amp;")"</f>
        <v>IF('Input Nilai Ketrampilan'!M7="";"";'Input Nilai Ketrampilan'!M7)</v>
      </c>
      <c r="H17" s="42" t="str">
        <f>$B$17&amp;H15&amp;"="&amp;$C$17&amp;H15&amp;")"</f>
        <v>IF('Input Nilai Ketrampilan'!M8="";"";'Input Nilai Ketrampilan'!M8)</v>
      </c>
      <c r="J17" s="42" t="str">
        <f>$B$17&amp;J15&amp;"="&amp;$C$17&amp;J15&amp;")"</f>
        <v>IF('Input Nilai Ketrampilan'!M9="";"";'Input Nilai Ketrampilan'!M9)</v>
      </c>
      <c r="L17" s="42" t="str">
        <f>$B$17&amp;L15&amp;"="&amp;$C$17&amp;L15&amp;")"</f>
        <v>IF('Input Nilai Ketrampilan'!M10="";"";'Input Nilai Ketrampilan'!M10)</v>
      </c>
      <c r="N17" s="42" t="str">
        <f>$B$17&amp;N15&amp;"="&amp;$C$17&amp;N15&amp;")"</f>
        <v>IF('Input Nilai Ketrampilan'!M11="";"";'Input Nilai Ketrampilan'!M11)</v>
      </c>
      <c r="P17" s="42" t="str">
        <f>$B$17&amp;P15&amp;"="&amp;$C$17&amp;P15&amp;")"</f>
        <v>IF('Input Nilai Ketrampilan'!M12="";"";'Input Nilai Ketrampilan'!M12)</v>
      </c>
      <c r="R17" s="42" t="str">
        <f>$B$17&amp;R15&amp;"="&amp;$C$17&amp;R15&amp;")"</f>
        <v>IF('Input Nilai Ketrampilan'!M13="";"";'Input Nilai Ketrampilan'!M13)</v>
      </c>
      <c r="T17" s="42" t="str">
        <f>$B$17&amp;T15&amp;"="&amp;$C$17&amp;T15&amp;")"</f>
        <v>IF('Input Nilai Ketrampilan'!M14="";"";'Input Nilai Ketrampilan'!M14)</v>
      </c>
      <c r="V17" s="42" t="str">
        <f>$B$17&amp;V15&amp;"="&amp;$C$17&amp;V15&amp;")"</f>
        <v>IF('Input Nilai Ketrampilan'!M15="";"";'Input Nilai Ketrampilan'!M15)</v>
      </c>
      <c r="X17" s="42" t="str">
        <f>$B$17&amp;X15&amp;"="&amp;$C$17&amp;X15&amp;")"</f>
        <v>IF('Input Nilai Ketrampilan'!M16="";"";'Input Nilai Ketrampilan'!M16)</v>
      </c>
      <c r="Z17" s="42" t="str">
        <f>$B$17&amp;Z15&amp;"="&amp;$C$17&amp;Z15&amp;")"</f>
        <v>IF('Input Nilai Ketrampilan'!M17="";"";'Input Nilai Ketrampilan'!M17)</v>
      </c>
      <c r="AB17" s="42" t="str">
        <f>$B$17&amp;AB15&amp;"="&amp;$C$17&amp;AB15&amp;")"</f>
        <v>IF('Input Nilai Ketrampilan'!M18="";"";'Input Nilai Ketrampilan'!M18)</v>
      </c>
      <c r="AD17" s="42" t="str">
        <f>$B$17&amp;AD15&amp;"="&amp;$C$17&amp;AD15&amp;")"</f>
        <v>IF('Input Nilai Ketrampilan'!M19="";"";'Input Nilai Ketrampilan'!M19)</v>
      </c>
      <c r="AF17" s="42" t="str">
        <f>$B$17&amp;AF15&amp;"="&amp;$C$17&amp;AF15&amp;")"</f>
        <v>IF('Input Nilai Ketrampilan'!M20="";"";'Input Nilai Ketrampilan'!M20)</v>
      </c>
      <c r="AH17" s="42" t="str">
        <f>$B$17&amp;AH15&amp;"="&amp;$C$17&amp;AH15&amp;")"</f>
        <v>IF('Input Nilai Ketrampilan'!M21="";"";'Input Nilai Ketrampilan'!M21)</v>
      </c>
      <c r="AJ17" s="42" t="str">
        <f>$B$17&amp;AJ15&amp;"="&amp;$C$17&amp;AJ15&amp;")"</f>
        <v>IF('Input Nilai Ketrampilan'!M22="";"";'Input Nilai Ketrampilan'!M22)</v>
      </c>
      <c r="AL17" s="42" t="str">
        <f>$B$17&amp;AL15&amp;"="&amp;$C$17&amp;AL15&amp;")"</f>
        <v>IF('Input Nilai Ketrampilan'!M23="";"";'Input Nilai Ketrampilan'!M23)</v>
      </c>
      <c r="AN17" s="42" t="str">
        <f>$B$17&amp;AN15&amp;"="&amp;$C$17&amp;AN15&amp;")"</f>
        <v>IF('Input Nilai Ketrampilan'!M24="";"";'Input Nilai Ketrampilan'!M24)</v>
      </c>
      <c r="AP17" s="42" t="str">
        <f>$B$17&amp;AP15&amp;"="&amp;$C$17&amp;AP15&amp;")"</f>
        <v>IF('Input Nilai Ketrampilan'!M25="";"";'Input Nilai Ketrampilan'!M25)</v>
      </c>
      <c r="AR17" s="42" t="str">
        <f>$B$17&amp;AR15&amp;"="&amp;$C$17&amp;AR15&amp;")"</f>
        <v>IF('Input Nilai Ketrampilan'!M26="";"";'Input Nilai Ketrampilan'!M26)</v>
      </c>
      <c r="AT17" s="42" t="str">
        <f>$B$17&amp;AT15&amp;"="&amp;$C$17&amp;AT15&amp;")"</f>
        <v>IF('Input Nilai Ketrampilan'!M27="";"";'Input Nilai Ketrampilan'!M27)</v>
      </c>
      <c r="AV17" s="42" t="str">
        <f>$B$17&amp;AV15&amp;"="&amp;$C$17&amp;AV15&amp;")"</f>
        <v>IF('Input Nilai Ketrampilan'!M28="";"";'Input Nilai Ketrampilan'!M28)</v>
      </c>
      <c r="AX17" s="42" t="str">
        <f>$B$17&amp;AX15&amp;"="&amp;$C$17&amp;AX15&amp;")"</f>
        <v>IF('Input Nilai Ketrampilan'!M29="";"";'Input Nilai Ketrampilan'!M29)</v>
      </c>
      <c r="AZ17" s="42" t="str">
        <f>$B$17&amp;AZ15&amp;"="&amp;$C$17&amp;AZ15&amp;")"</f>
        <v>IF('Input Nilai Ketrampilan'!M30="";"";'Input Nilai Ketrampilan'!M30)</v>
      </c>
      <c r="BB17" s="42" t="str">
        <f>$B$17&amp;BB15&amp;"="&amp;$C$17&amp;BB15&amp;")"</f>
        <v>IF('Input Nilai Ketrampilan'!M31="";"";'Input Nilai Ketrampilan'!M31)</v>
      </c>
      <c r="BD17" s="42" t="str">
        <f>$B$17&amp;BD15&amp;"="&amp;$C$17&amp;BD15&amp;")"</f>
        <v>IF('Input Nilai Ketrampilan'!M32="";"";'Input Nilai Ketrampilan'!M32)</v>
      </c>
      <c r="BF17" s="42" t="str">
        <f>$B$17&amp;BF15&amp;"="&amp;$C$17&amp;BF15&amp;")"</f>
        <v>IF('Input Nilai Ketrampilan'!M33="";"";'Input Nilai Ketrampilan'!M33)</v>
      </c>
      <c r="BH17" s="42" t="str">
        <f>$B$17&amp;BH15&amp;"="&amp;$C$17&amp;BH15&amp;")"</f>
        <v>IF('Input Nilai Ketrampilan'!M34="";"";'Input Nilai Ketrampilan'!M34)</v>
      </c>
      <c r="BJ17" s="42" t="str">
        <f>$B$17&amp;BJ15&amp;"="&amp;$C$17&amp;BJ15&amp;")"</f>
        <v>IF('Input Nilai Ketrampilan'!M35="";"";'Input Nilai Ketrampilan'!M35)</v>
      </c>
      <c r="BL17" s="42" t="str">
        <f>$B$17&amp;BL15&amp;"="&amp;$C$17&amp;BL15&amp;")"</f>
        <v>IF('Input Nilai Ketrampilan'!M36="";"";'Input Nilai Ketrampilan'!M36)</v>
      </c>
      <c r="BN17" s="42" t="str">
        <f>$B$17&amp;BN15&amp;"="&amp;$C$17&amp;BN15&amp;")"</f>
        <v>IF('Input Nilai Ketrampilan'!M37="";"";'Input Nilai Ketrampilan'!M37)</v>
      </c>
      <c r="BP17" s="42" t="str">
        <f>$B$17&amp;BP15&amp;"="&amp;$C$17&amp;BP15&amp;")"</f>
        <v>IF('Input Nilai Ketrampilan'!M38="";"";'Input Nilai Ketrampilan'!M38)</v>
      </c>
      <c r="BR17" s="42" t="str">
        <f>$B$17&amp;BR15&amp;"="&amp;$C$17&amp;BR15&amp;")"</f>
        <v>IF('Input Nilai Ketrampilan'!M39="";"";'Input Nilai Ketrampilan'!M39)</v>
      </c>
      <c r="BT17" s="42" t="str">
        <f>$B$17&amp;BT15&amp;"="&amp;$C$17&amp;BT15&amp;")"</f>
        <v>IF('Input Nilai Ketrampilan'!M40="";"";'Input Nilai Ketrampilan'!M40)</v>
      </c>
      <c r="BV17" s="42" t="str">
        <f>$B$17&amp;BV15&amp;"="&amp;$C$17&amp;BV15&amp;")"</f>
        <v>IF('Input Nilai Ketrampilan'!M41="";"";'Input Nilai Ketrampilan'!M41)</v>
      </c>
      <c r="BX17" s="42" t="str">
        <f>$B$17&amp;BX15&amp;"="&amp;$C$17&amp;BX15&amp;")"</f>
        <v>IF('Input Nilai Ketrampilan'!M42="";"";'Input Nilai Ketrampilan'!M42)</v>
      </c>
      <c r="BZ17" s="42" t="str">
        <f>$B$17&amp;BZ15&amp;"="&amp;$C$17&amp;BZ15&amp;")"</f>
        <v>IF('Input Nilai Ketrampilan'!M43="";"";'Input Nilai Ketrampilan'!M43)</v>
      </c>
      <c r="CB17" s="42" t="str">
        <f>$B$17&amp;CB15&amp;"="&amp;$C$17&amp;CB15&amp;")"</f>
        <v>IF('Input Nilai Ketrampilan'!M44="";"";'Input Nilai Ketrampilan'!M44)</v>
      </c>
      <c r="CD17" s="42" t="str">
        <f>$B$17&amp;CD15&amp;"="&amp;$C$17&amp;CD15&amp;")"</f>
        <v>IF('Input Nilai Ketrampilan'!M45="";"";'Input Nilai Ketrampilan'!M45)</v>
      </c>
      <c r="CF17" s="42" t="str">
        <f>$B$17&amp;CF15&amp;"="&amp;$C$17&amp;CF15&amp;")"</f>
        <v>IF('Input Nilai Ketrampilan'!M46="";"";'Input Nilai Ketrampilan'!M46)</v>
      </c>
      <c r="CH17" s="42" t="str">
        <f>$B$17&amp;CH15&amp;"="&amp;$C$17&amp;CH15&amp;")"</f>
        <v>IF('Input Nilai Ketrampilan'!M47="";"";'Input Nilai Ketrampilan'!M47)</v>
      </c>
      <c r="CJ17" s="42" t="str">
        <f>$B$17&amp;CJ15&amp;"="&amp;$C$17&amp;CJ15&amp;")"</f>
        <v>IF('Input Nilai Ketrampilan'!M48="";"";'Input Nilai Ketrampilan'!M48)</v>
      </c>
      <c r="CL17" s="42" t="str">
        <f>$B$17&amp;CL15&amp;"="&amp;$C$17&amp;CL15&amp;")"</f>
        <v>IF('Input Nilai Ketrampilan'!M49="";"";'Input Nilai Ketrampilan'!M49)</v>
      </c>
      <c r="CN17" s="42" t="str">
        <f>$B$17&amp;CN15&amp;"="&amp;$C$17&amp;CN15&amp;")"</f>
        <v>IF('Input Nilai Ketrampilan'!M50="";"";'Input Nilai Ketrampilan'!M50)</v>
      </c>
      <c r="CP17" s="42" t="str">
        <f>$B$17&amp;CP15&amp;"="&amp;$C$17&amp;CP15&amp;")"</f>
        <v>IF('Input Nilai Ketrampilan'!M51="";"";'Input Nilai Ketrampilan'!M51)</v>
      </c>
      <c r="CR17" s="42" t="str">
        <f>$B$17&amp;CR15&amp;"="&amp;$C$17&amp;CR15&amp;")"</f>
        <v>IF('Input Nilai Ketrampilan'!M52="";"";'Input Nilai Ketrampilan'!M52)</v>
      </c>
    </row>
    <row r="18" spans="1:96">
      <c r="A18" s="72">
        <v>3</v>
      </c>
      <c r="B18" s="42" t="s">
        <v>411</v>
      </c>
      <c r="C18" s="42" t="s">
        <v>421</v>
      </c>
      <c r="D18" s="42" t="str">
        <f>$B$18&amp;D15&amp;"="&amp;$C$18&amp;D15&amp;")"</f>
        <v>IF('Input Nilai Ketrampilan'!Q6="";"";'Input Nilai Ketrampilan'!Q6)</v>
      </c>
      <c r="F18" s="42" t="str">
        <f>$B$18&amp;F15&amp;"="&amp;$C$18&amp;F15&amp;")"</f>
        <v>IF('Input Nilai Ketrampilan'!Q7="";"";'Input Nilai Ketrampilan'!Q7)</v>
      </c>
      <c r="H18" s="42" t="str">
        <f>$B$18&amp;H15&amp;"="&amp;$C$18&amp;H15&amp;")"</f>
        <v>IF('Input Nilai Ketrampilan'!Q8="";"";'Input Nilai Ketrampilan'!Q8)</v>
      </c>
      <c r="J18" s="42" t="str">
        <f>$B$18&amp;J15&amp;"="&amp;$C$18&amp;J15&amp;")"</f>
        <v>IF('Input Nilai Ketrampilan'!Q9="";"";'Input Nilai Ketrampilan'!Q9)</v>
      </c>
      <c r="L18" s="42" t="str">
        <f>$B$18&amp;L15&amp;"="&amp;$C$18&amp;L15&amp;")"</f>
        <v>IF('Input Nilai Ketrampilan'!Q10="";"";'Input Nilai Ketrampilan'!Q10)</v>
      </c>
      <c r="N18" s="42" t="str">
        <f>$B$18&amp;N15&amp;"="&amp;$C$18&amp;N15&amp;")"</f>
        <v>IF('Input Nilai Ketrampilan'!Q11="";"";'Input Nilai Ketrampilan'!Q11)</v>
      </c>
      <c r="P18" s="42" t="str">
        <f>$B$18&amp;P15&amp;"="&amp;$C$18&amp;P15&amp;")"</f>
        <v>IF('Input Nilai Ketrampilan'!Q12="";"";'Input Nilai Ketrampilan'!Q12)</v>
      </c>
      <c r="R18" s="42" t="str">
        <f>$B$18&amp;R15&amp;"="&amp;$C$18&amp;R15&amp;")"</f>
        <v>IF('Input Nilai Ketrampilan'!Q13="";"";'Input Nilai Ketrampilan'!Q13)</v>
      </c>
      <c r="T18" s="42" t="str">
        <f>$B$18&amp;T15&amp;"="&amp;$C$18&amp;T15&amp;")"</f>
        <v>IF('Input Nilai Ketrampilan'!Q14="";"";'Input Nilai Ketrampilan'!Q14)</v>
      </c>
      <c r="V18" s="42" t="str">
        <f>$B$18&amp;V15&amp;"="&amp;$C$18&amp;V15&amp;")"</f>
        <v>IF('Input Nilai Ketrampilan'!Q15="";"";'Input Nilai Ketrampilan'!Q15)</v>
      </c>
      <c r="X18" s="42" t="str">
        <f>$B$18&amp;X15&amp;"="&amp;$C$18&amp;X15&amp;")"</f>
        <v>IF('Input Nilai Ketrampilan'!Q16="";"";'Input Nilai Ketrampilan'!Q16)</v>
      </c>
      <c r="Z18" s="42" t="str">
        <f>$B$18&amp;Z15&amp;"="&amp;$C$18&amp;Z15&amp;")"</f>
        <v>IF('Input Nilai Ketrampilan'!Q17="";"";'Input Nilai Ketrampilan'!Q17)</v>
      </c>
      <c r="AB18" s="42" t="str">
        <f>$B$18&amp;AB15&amp;"="&amp;$C$18&amp;AB15&amp;")"</f>
        <v>IF('Input Nilai Ketrampilan'!Q18="";"";'Input Nilai Ketrampilan'!Q18)</v>
      </c>
      <c r="AD18" s="42" t="str">
        <f>$B$18&amp;AD15&amp;"="&amp;$C$18&amp;AD15&amp;")"</f>
        <v>IF('Input Nilai Ketrampilan'!Q19="";"";'Input Nilai Ketrampilan'!Q19)</v>
      </c>
      <c r="AF18" s="42" t="str">
        <f>$B$18&amp;AF15&amp;"="&amp;$C$18&amp;AF15&amp;")"</f>
        <v>IF('Input Nilai Ketrampilan'!Q20="";"";'Input Nilai Ketrampilan'!Q20)</v>
      </c>
      <c r="AH18" s="42" t="str">
        <f>$B$18&amp;AH15&amp;"="&amp;$C$18&amp;AH15&amp;")"</f>
        <v>IF('Input Nilai Ketrampilan'!Q21="";"";'Input Nilai Ketrampilan'!Q21)</v>
      </c>
      <c r="AJ18" s="42" t="str">
        <f>$B$18&amp;AJ15&amp;"="&amp;$C$18&amp;AJ15&amp;")"</f>
        <v>IF('Input Nilai Ketrampilan'!Q22="";"";'Input Nilai Ketrampilan'!Q22)</v>
      </c>
      <c r="AL18" s="42" t="str">
        <f>$B$18&amp;AL15&amp;"="&amp;$C$18&amp;AL15&amp;")"</f>
        <v>IF('Input Nilai Ketrampilan'!Q23="";"";'Input Nilai Ketrampilan'!Q23)</v>
      </c>
      <c r="AN18" s="42" t="str">
        <f>$B$18&amp;AN15&amp;"="&amp;$C$18&amp;AN15&amp;")"</f>
        <v>IF('Input Nilai Ketrampilan'!Q24="";"";'Input Nilai Ketrampilan'!Q24)</v>
      </c>
      <c r="AP18" s="42" t="str">
        <f>$B$18&amp;AP15&amp;"="&amp;$C$18&amp;AP15&amp;")"</f>
        <v>IF('Input Nilai Ketrampilan'!Q25="";"";'Input Nilai Ketrampilan'!Q25)</v>
      </c>
      <c r="AR18" s="42" t="str">
        <f>$B$18&amp;AR15&amp;"="&amp;$C$18&amp;AR15&amp;")"</f>
        <v>IF('Input Nilai Ketrampilan'!Q26="";"";'Input Nilai Ketrampilan'!Q26)</v>
      </c>
      <c r="AT18" s="42" t="str">
        <f>$B$18&amp;AT15&amp;"="&amp;$C$18&amp;AT15&amp;")"</f>
        <v>IF('Input Nilai Ketrampilan'!Q27="";"";'Input Nilai Ketrampilan'!Q27)</v>
      </c>
      <c r="AV18" s="42" t="str">
        <f>$B$18&amp;AV15&amp;"="&amp;$C$18&amp;AV15&amp;")"</f>
        <v>IF('Input Nilai Ketrampilan'!Q28="";"";'Input Nilai Ketrampilan'!Q28)</v>
      </c>
      <c r="AX18" s="42" t="str">
        <f>$B$18&amp;AX15&amp;"="&amp;$C$18&amp;AX15&amp;")"</f>
        <v>IF('Input Nilai Ketrampilan'!Q29="";"";'Input Nilai Ketrampilan'!Q29)</v>
      </c>
      <c r="AZ18" s="42" t="str">
        <f>$B$18&amp;AZ15&amp;"="&amp;$C$18&amp;AZ15&amp;")"</f>
        <v>IF('Input Nilai Ketrampilan'!Q30="";"";'Input Nilai Ketrampilan'!Q30)</v>
      </c>
      <c r="BB18" s="42" t="str">
        <f>$B$18&amp;BB15&amp;"="&amp;$C$18&amp;BB15&amp;")"</f>
        <v>IF('Input Nilai Ketrampilan'!Q31="";"";'Input Nilai Ketrampilan'!Q31)</v>
      </c>
      <c r="BD18" s="42" t="str">
        <f>$B$18&amp;BD15&amp;"="&amp;$C$18&amp;BD15&amp;")"</f>
        <v>IF('Input Nilai Ketrampilan'!Q32="";"";'Input Nilai Ketrampilan'!Q32)</v>
      </c>
      <c r="BF18" s="42" t="str">
        <f>$B$18&amp;BF15&amp;"="&amp;$C$18&amp;BF15&amp;")"</f>
        <v>IF('Input Nilai Ketrampilan'!Q33="";"";'Input Nilai Ketrampilan'!Q33)</v>
      </c>
      <c r="BH18" s="42" t="str">
        <f>$B$18&amp;BH15&amp;"="&amp;$C$18&amp;BH15&amp;")"</f>
        <v>IF('Input Nilai Ketrampilan'!Q34="";"";'Input Nilai Ketrampilan'!Q34)</v>
      </c>
      <c r="BJ18" s="42" t="str">
        <f>$B$18&amp;BJ15&amp;"="&amp;$C$18&amp;BJ15&amp;")"</f>
        <v>IF('Input Nilai Ketrampilan'!Q35="";"";'Input Nilai Ketrampilan'!Q35)</v>
      </c>
      <c r="BL18" s="42" t="str">
        <f>$B$18&amp;BL15&amp;"="&amp;$C$18&amp;BL15&amp;")"</f>
        <v>IF('Input Nilai Ketrampilan'!Q36="";"";'Input Nilai Ketrampilan'!Q36)</v>
      </c>
      <c r="BN18" s="42" t="str">
        <f>$B$18&amp;BN15&amp;"="&amp;$C$18&amp;BN15&amp;")"</f>
        <v>IF('Input Nilai Ketrampilan'!Q37="";"";'Input Nilai Ketrampilan'!Q37)</v>
      </c>
      <c r="BP18" s="42" t="str">
        <f>$B$18&amp;BP15&amp;"="&amp;$C$18&amp;BP15&amp;")"</f>
        <v>IF('Input Nilai Ketrampilan'!Q38="";"";'Input Nilai Ketrampilan'!Q38)</v>
      </c>
      <c r="BR18" s="42" t="str">
        <f>$B$18&amp;BR15&amp;"="&amp;$C$18&amp;BR15&amp;")"</f>
        <v>IF('Input Nilai Ketrampilan'!Q39="";"";'Input Nilai Ketrampilan'!Q39)</v>
      </c>
      <c r="BT18" s="42" t="str">
        <f>$B$18&amp;BT15&amp;"="&amp;$C$18&amp;BT15&amp;")"</f>
        <v>IF('Input Nilai Ketrampilan'!Q40="";"";'Input Nilai Ketrampilan'!Q40)</v>
      </c>
      <c r="BV18" s="42" t="str">
        <f>$B$18&amp;BV15&amp;"="&amp;$C$18&amp;BV15&amp;")"</f>
        <v>IF('Input Nilai Ketrampilan'!Q41="";"";'Input Nilai Ketrampilan'!Q41)</v>
      </c>
      <c r="BX18" s="42" t="str">
        <f>$B$18&amp;BX15&amp;"="&amp;$C$18&amp;BX15&amp;")"</f>
        <v>IF('Input Nilai Ketrampilan'!Q42="";"";'Input Nilai Ketrampilan'!Q42)</v>
      </c>
      <c r="BZ18" s="42" t="str">
        <f>$B$18&amp;BZ15&amp;"="&amp;$C$18&amp;BZ15&amp;")"</f>
        <v>IF('Input Nilai Ketrampilan'!Q43="";"";'Input Nilai Ketrampilan'!Q43)</v>
      </c>
      <c r="CB18" s="42" t="str">
        <f>$B$18&amp;CB15&amp;"="&amp;$C$18&amp;CB15&amp;")"</f>
        <v>IF('Input Nilai Ketrampilan'!Q44="";"";'Input Nilai Ketrampilan'!Q44)</v>
      </c>
      <c r="CD18" s="42" t="str">
        <f>$B$18&amp;CD15&amp;"="&amp;$C$18&amp;CD15&amp;")"</f>
        <v>IF('Input Nilai Ketrampilan'!Q45="";"";'Input Nilai Ketrampilan'!Q45)</v>
      </c>
      <c r="CF18" s="42" t="str">
        <f>$B$18&amp;CF15&amp;"="&amp;$C$18&amp;CF15&amp;")"</f>
        <v>IF('Input Nilai Ketrampilan'!Q46="";"";'Input Nilai Ketrampilan'!Q46)</v>
      </c>
      <c r="CH18" s="42" t="str">
        <f>$B$18&amp;CH15&amp;"="&amp;$C$18&amp;CH15&amp;")"</f>
        <v>IF('Input Nilai Ketrampilan'!Q47="";"";'Input Nilai Ketrampilan'!Q47)</v>
      </c>
      <c r="CJ18" s="42" t="str">
        <f>$B$18&amp;CJ15&amp;"="&amp;$C$18&amp;CJ15&amp;")"</f>
        <v>IF('Input Nilai Ketrampilan'!Q48="";"";'Input Nilai Ketrampilan'!Q48)</v>
      </c>
      <c r="CL18" s="42" t="str">
        <f>$B$18&amp;CL15&amp;"="&amp;$C$18&amp;CL15&amp;")"</f>
        <v>IF('Input Nilai Ketrampilan'!Q49="";"";'Input Nilai Ketrampilan'!Q49)</v>
      </c>
      <c r="CN18" s="42" t="str">
        <f>$B$18&amp;CN15&amp;"="&amp;$C$18&amp;CN15&amp;")"</f>
        <v>IF('Input Nilai Ketrampilan'!Q50="";"";'Input Nilai Ketrampilan'!Q50)</v>
      </c>
      <c r="CP18" s="42" t="str">
        <f>$B$18&amp;CP15&amp;"="&amp;$C$18&amp;CP15&amp;")"</f>
        <v>IF('Input Nilai Ketrampilan'!Q51="";"";'Input Nilai Ketrampilan'!Q51)</v>
      </c>
      <c r="CR18" s="42" t="str">
        <f>$B$18&amp;CR15&amp;"="&amp;$C$18&amp;CR15&amp;")"</f>
        <v>IF('Input Nilai Ketrampilan'!Q52="";"";'Input Nilai Ketrampilan'!Q52)</v>
      </c>
    </row>
    <row r="19" spans="1:96">
      <c r="A19" s="72">
        <v>4</v>
      </c>
      <c r="B19" s="42" t="s">
        <v>412</v>
      </c>
      <c r="C19" s="42" t="s">
        <v>422</v>
      </c>
      <c r="D19" s="42" t="str">
        <f>$B$19&amp;D15&amp;"="&amp;$C$19&amp;D15&amp;")"</f>
        <v>IF('Input Nilai Ketrampilan'!U6="";"";'Input Nilai Ketrampilan'!U6)</v>
      </c>
      <c r="F19" s="42" t="str">
        <f>$B$19&amp;F15&amp;"="&amp;$C$19&amp;F15&amp;")"</f>
        <v>IF('Input Nilai Ketrampilan'!U7="";"";'Input Nilai Ketrampilan'!U7)</v>
      </c>
      <c r="H19" s="42" t="str">
        <f>$B$19&amp;H15&amp;"="&amp;$C$19&amp;H15&amp;")"</f>
        <v>IF('Input Nilai Ketrampilan'!U8="";"";'Input Nilai Ketrampilan'!U8)</v>
      </c>
      <c r="J19" s="42" t="str">
        <f>$B$19&amp;J15&amp;"="&amp;$C$19&amp;J15&amp;")"</f>
        <v>IF('Input Nilai Ketrampilan'!U9="";"";'Input Nilai Ketrampilan'!U9)</v>
      </c>
      <c r="L19" s="42" t="str">
        <f>$B$19&amp;L15&amp;"="&amp;$C$19&amp;L15&amp;")"</f>
        <v>IF('Input Nilai Ketrampilan'!U10="";"";'Input Nilai Ketrampilan'!U10)</v>
      </c>
      <c r="N19" s="42" t="str">
        <f>$B$19&amp;N15&amp;"="&amp;$C$19&amp;N15&amp;")"</f>
        <v>IF('Input Nilai Ketrampilan'!U11="";"";'Input Nilai Ketrampilan'!U11)</v>
      </c>
      <c r="P19" s="42" t="str">
        <f>$B$19&amp;P15&amp;"="&amp;$C$19&amp;P15&amp;")"</f>
        <v>IF('Input Nilai Ketrampilan'!U12="";"";'Input Nilai Ketrampilan'!U12)</v>
      </c>
      <c r="R19" s="42" t="str">
        <f>$B$19&amp;R15&amp;"="&amp;$C$19&amp;R15&amp;")"</f>
        <v>IF('Input Nilai Ketrampilan'!U13="";"";'Input Nilai Ketrampilan'!U13)</v>
      </c>
      <c r="T19" s="42" t="str">
        <f>$B$19&amp;T15&amp;"="&amp;$C$19&amp;T15&amp;")"</f>
        <v>IF('Input Nilai Ketrampilan'!U14="";"";'Input Nilai Ketrampilan'!U14)</v>
      </c>
      <c r="V19" s="42" t="str">
        <f>$B$19&amp;V15&amp;"="&amp;$C$19&amp;V15&amp;")"</f>
        <v>IF('Input Nilai Ketrampilan'!U15="";"";'Input Nilai Ketrampilan'!U15)</v>
      </c>
      <c r="X19" s="42" t="str">
        <f>$B$19&amp;X15&amp;"="&amp;$C$19&amp;X15&amp;")"</f>
        <v>IF('Input Nilai Ketrampilan'!U16="";"";'Input Nilai Ketrampilan'!U16)</v>
      </c>
      <c r="Z19" s="42" t="str">
        <f>$B$19&amp;Z15&amp;"="&amp;$C$19&amp;Z15&amp;")"</f>
        <v>IF('Input Nilai Ketrampilan'!U17="";"";'Input Nilai Ketrampilan'!U17)</v>
      </c>
      <c r="AB19" s="42" t="str">
        <f>$B$19&amp;AB15&amp;"="&amp;$C$19&amp;AB15&amp;")"</f>
        <v>IF('Input Nilai Ketrampilan'!U18="";"";'Input Nilai Ketrampilan'!U18)</v>
      </c>
      <c r="AD19" s="42" t="str">
        <f>$B$19&amp;AD15&amp;"="&amp;$C$19&amp;AD15&amp;")"</f>
        <v>IF('Input Nilai Ketrampilan'!U19="";"";'Input Nilai Ketrampilan'!U19)</v>
      </c>
      <c r="AF19" s="42" t="str">
        <f>$B$19&amp;AF15&amp;"="&amp;$C$19&amp;AF15&amp;")"</f>
        <v>IF('Input Nilai Ketrampilan'!U20="";"";'Input Nilai Ketrampilan'!U20)</v>
      </c>
      <c r="AH19" s="42" t="str">
        <f>$B$19&amp;AH15&amp;"="&amp;$C$19&amp;AH15&amp;")"</f>
        <v>IF('Input Nilai Ketrampilan'!U21="";"";'Input Nilai Ketrampilan'!U21)</v>
      </c>
      <c r="AJ19" s="42" t="str">
        <f>$B$19&amp;AJ15&amp;"="&amp;$C$19&amp;AJ15&amp;")"</f>
        <v>IF('Input Nilai Ketrampilan'!U22="";"";'Input Nilai Ketrampilan'!U22)</v>
      </c>
      <c r="AL19" s="42" t="str">
        <f>$B$19&amp;AL15&amp;"="&amp;$C$19&amp;AL15&amp;")"</f>
        <v>IF('Input Nilai Ketrampilan'!U23="";"";'Input Nilai Ketrampilan'!U23)</v>
      </c>
      <c r="AN19" s="42" t="str">
        <f>$B$19&amp;AN15&amp;"="&amp;$C$19&amp;AN15&amp;")"</f>
        <v>IF('Input Nilai Ketrampilan'!U24="";"";'Input Nilai Ketrampilan'!U24)</v>
      </c>
      <c r="AP19" s="42" t="str">
        <f>$B$19&amp;AP15&amp;"="&amp;$C$19&amp;AP15&amp;")"</f>
        <v>IF('Input Nilai Ketrampilan'!U25="";"";'Input Nilai Ketrampilan'!U25)</v>
      </c>
      <c r="AR19" s="42" t="str">
        <f>$B$19&amp;AR15&amp;"="&amp;$C$19&amp;AR15&amp;")"</f>
        <v>IF('Input Nilai Ketrampilan'!U26="";"";'Input Nilai Ketrampilan'!U26)</v>
      </c>
      <c r="AT19" s="42" t="str">
        <f>$B$19&amp;AT15&amp;"="&amp;$C$19&amp;AT15&amp;")"</f>
        <v>IF('Input Nilai Ketrampilan'!U27="";"";'Input Nilai Ketrampilan'!U27)</v>
      </c>
      <c r="AV19" s="42" t="str">
        <f>$B$19&amp;AV15&amp;"="&amp;$C$19&amp;AV15&amp;")"</f>
        <v>IF('Input Nilai Ketrampilan'!U28="";"";'Input Nilai Ketrampilan'!U28)</v>
      </c>
      <c r="AX19" s="42" t="str">
        <f>$B$19&amp;AX15&amp;"="&amp;$C$19&amp;AX15&amp;")"</f>
        <v>IF('Input Nilai Ketrampilan'!U29="";"";'Input Nilai Ketrampilan'!U29)</v>
      </c>
      <c r="AZ19" s="42" t="str">
        <f>$B$19&amp;AZ15&amp;"="&amp;$C$19&amp;AZ15&amp;")"</f>
        <v>IF('Input Nilai Ketrampilan'!U30="";"";'Input Nilai Ketrampilan'!U30)</v>
      </c>
      <c r="BB19" s="42" t="str">
        <f>$B$19&amp;BB15&amp;"="&amp;$C$19&amp;BB15&amp;")"</f>
        <v>IF('Input Nilai Ketrampilan'!U31="";"";'Input Nilai Ketrampilan'!U31)</v>
      </c>
      <c r="BD19" s="42" t="str">
        <f>$B$19&amp;BD15&amp;"="&amp;$C$19&amp;BD15&amp;")"</f>
        <v>IF('Input Nilai Ketrampilan'!U32="";"";'Input Nilai Ketrampilan'!U32)</v>
      </c>
      <c r="BF19" s="42" t="str">
        <f>$B$19&amp;BF15&amp;"="&amp;$C$19&amp;BF15&amp;")"</f>
        <v>IF('Input Nilai Ketrampilan'!U33="";"";'Input Nilai Ketrampilan'!U33)</v>
      </c>
      <c r="BH19" s="42" t="str">
        <f>$B$19&amp;BH15&amp;"="&amp;$C$19&amp;BH15&amp;")"</f>
        <v>IF('Input Nilai Ketrampilan'!U34="";"";'Input Nilai Ketrampilan'!U34)</v>
      </c>
      <c r="BJ19" s="42" t="str">
        <f>$B$19&amp;BJ15&amp;"="&amp;$C$19&amp;BJ15&amp;")"</f>
        <v>IF('Input Nilai Ketrampilan'!U35="";"";'Input Nilai Ketrampilan'!U35)</v>
      </c>
      <c r="BL19" s="42" t="str">
        <f>$B$19&amp;BL15&amp;"="&amp;$C$19&amp;BL15&amp;")"</f>
        <v>IF('Input Nilai Ketrampilan'!U36="";"";'Input Nilai Ketrampilan'!U36)</v>
      </c>
      <c r="BN19" s="42" t="str">
        <f>$B$19&amp;BN15&amp;"="&amp;$C$19&amp;BN15&amp;")"</f>
        <v>IF('Input Nilai Ketrampilan'!U37="";"";'Input Nilai Ketrampilan'!U37)</v>
      </c>
      <c r="BP19" s="42" t="str">
        <f>$B$19&amp;BP15&amp;"="&amp;$C$19&amp;BP15&amp;")"</f>
        <v>IF('Input Nilai Ketrampilan'!U38="";"";'Input Nilai Ketrampilan'!U38)</v>
      </c>
      <c r="BR19" s="42" t="str">
        <f>$B$19&amp;BR15&amp;"="&amp;$C$19&amp;BR15&amp;")"</f>
        <v>IF('Input Nilai Ketrampilan'!U39="";"";'Input Nilai Ketrampilan'!U39)</v>
      </c>
      <c r="BT19" s="42" t="str">
        <f>$B$19&amp;BT15&amp;"="&amp;$C$19&amp;BT15&amp;")"</f>
        <v>IF('Input Nilai Ketrampilan'!U40="";"";'Input Nilai Ketrampilan'!U40)</v>
      </c>
      <c r="BV19" s="42" t="str">
        <f>$B$19&amp;BV15&amp;"="&amp;$C$19&amp;BV15&amp;")"</f>
        <v>IF('Input Nilai Ketrampilan'!U41="";"";'Input Nilai Ketrampilan'!U41)</v>
      </c>
      <c r="BX19" s="42" t="str">
        <f>$B$19&amp;BX15&amp;"="&amp;$C$19&amp;BX15&amp;")"</f>
        <v>IF('Input Nilai Ketrampilan'!U42="";"";'Input Nilai Ketrampilan'!U42)</v>
      </c>
      <c r="BZ19" s="42" t="str">
        <f>$B$19&amp;BZ15&amp;"="&amp;$C$19&amp;BZ15&amp;")"</f>
        <v>IF('Input Nilai Ketrampilan'!U43="";"";'Input Nilai Ketrampilan'!U43)</v>
      </c>
      <c r="CB19" s="42" t="str">
        <f>$B$19&amp;CB15&amp;"="&amp;$C$19&amp;CB15&amp;")"</f>
        <v>IF('Input Nilai Ketrampilan'!U44="";"";'Input Nilai Ketrampilan'!U44)</v>
      </c>
      <c r="CD19" s="42" t="str">
        <f>$B$19&amp;CD15&amp;"="&amp;$C$19&amp;CD15&amp;")"</f>
        <v>IF('Input Nilai Ketrampilan'!U45="";"";'Input Nilai Ketrampilan'!U45)</v>
      </c>
      <c r="CF19" s="42" t="str">
        <f>$B$19&amp;CF15&amp;"="&amp;$C$19&amp;CF15&amp;")"</f>
        <v>IF('Input Nilai Ketrampilan'!U46="";"";'Input Nilai Ketrampilan'!U46)</v>
      </c>
      <c r="CH19" s="42" t="str">
        <f>$B$19&amp;CH15&amp;"="&amp;$C$19&amp;CH15&amp;")"</f>
        <v>IF('Input Nilai Ketrampilan'!U47="";"";'Input Nilai Ketrampilan'!U47)</v>
      </c>
      <c r="CJ19" s="42" t="str">
        <f>$B$19&amp;CJ15&amp;"="&amp;$C$19&amp;CJ15&amp;")"</f>
        <v>IF('Input Nilai Ketrampilan'!U48="";"";'Input Nilai Ketrampilan'!U48)</v>
      </c>
      <c r="CL19" s="42" t="str">
        <f>$B$19&amp;CL15&amp;"="&amp;$C$19&amp;CL15&amp;")"</f>
        <v>IF('Input Nilai Ketrampilan'!U49="";"";'Input Nilai Ketrampilan'!U49)</v>
      </c>
      <c r="CN19" s="42" t="str">
        <f>$B$19&amp;CN15&amp;"="&amp;$C$19&amp;CN15&amp;")"</f>
        <v>IF('Input Nilai Ketrampilan'!U50="";"";'Input Nilai Ketrampilan'!U50)</v>
      </c>
      <c r="CP19" s="42" t="str">
        <f>$B$19&amp;CP15&amp;"="&amp;$C$19&amp;CP15&amp;")"</f>
        <v>IF('Input Nilai Ketrampilan'!U51="";"";'Input Nilai Ketrampilan'!U51)</v>
      </c>
      <c r="CR19" s="42" t="str">
        <f>$B$19&amp;CR15&amp;"="&amp;$C$19&amp;CR15&amp;")"</f>
        <v>IF('Input Nilai Ketrampilan'!U52="";"";'Input Nilai Ketrampilan'!U52)</v>
      </c>
    </row>
    <row r="20" spans="1:96">
      <c r="A20" s="72">
        <v>5</v>
      </c>
      <c r="B20" s="42" t="s">
        <v>413</v>
      </c>
      <c r="C20" s="42" t="s">
        <v>423</v>
      </c>
      <c r="D20" s="42" t="str">
        <f>$B$20&amp;D15&amp;"="&amp;$C$20&amp;D15&amp;")"</f>
        <v>IF('Input Nilai Ketrampilan'!Y6="";"";'Input Nilai Ketrampilan'!Y6)</v>
      </c>
      <c r="F20" s="42" t="str">
        <f>$B$20&amp;F15&amp;"="&amp;$C$20&amp;F15&amp;")"</f>
        <v>IF('Input Nilai Ketrampilan'!Y7="";"";'Input Nilai Ketrampilan'!Y7)</v>
      </c>
      <c r="H20" s="42" t="str">
        <f>$B$20&amp;H15&amp;"="&amp;$C$20&amp;H15&amp;")"</f>
        <v>IF('Input Nilai Ketrampilan'!Y8="";"";'Input Nilai Ketrampilan'!Y8)</v>
      </c>
      <c r="J20" s="42" t="str">
        <f>$B$20&amp;J15&amp;"="&amp;$C$20&amp;J15&amp;")"</f>
        <v>IF('Input Nilai Ketrampilan'!Y9="";"";'Input Nilai Ketrampilan'!Y9)</v>
      </c>
      <c r="L20" s="42" t="str">
        <f>$B$20&amp;L15&amp;"="&amp;$C$20&amp;L15&amp;")"</f>
        <v>IF('Input Nilai Ketrampilan'!Y10="";"";'Input Nilai Ketrampilan'!Y10)</v>
      </c>
      <c r="N20" s="42" t="str">
        <f>$B$20&amp;N15&amp;"="&amp;$C$20&amp;N15&amp;")"</f>
        <v>IF('Input Nilai Ketrampilan'!Y11="";"";'Input Nilai Ketrampilan'!Y11)</v>
      </c>
      <c r="P20" s="42" t="str">
        <f>$B$20&amp;P15&amp;"="&amp;$C$20&amp;P15&amp;")"</f>
        <v>IF('Input Nilai Ketrampilan'!Y12="";"";'Input Nilai Ketrampilan'!Y12)</v>
      </c>
      <c r="R20" s="42" t="str">
        <f>$B$20&amp;R15&amp;"="&amp;$C$20&amp;R15&amp;")"</f>
        <v>IF('Input Nilai Ketrampilan'!Y13="";"";'Input Nilai Ketrampilan'!Y13)</v>
      </c>
      <c r="T20" s="42" t="str">
        <f>$B$20&amp;T15&amp;"="&amp;$C$20&amp;T15&amp;")"</f>
        <v>IF('Input Nilai Ketrampilan'!Y14="";"";'Input Nilai Ketrampilan'!Y14)</v>
      </c>
      <c r="V20" s="42" t="str">
        <f>$B$20&amp;V15&amp;"="&amp;$C$20&amp;V15&amp;")"</f>
        <v>IF('Input Nilai Ketrampilan'!Y15="";"";'Input Nilai Ketrampilan'!Y15)</v>
      </c>
      <c r="X20" s="42" t="str">
        <f>$B$20&amp;X15&amp;"="&amp;$C$20&amp;X15&amp;")"</f>
        <v>IF('Input Nilai Ketrampilan'!Y16="";"";'Input Nilai Ketrampilan'!Y16)</v>
      </c>
      <c r="Z20" s="42" t="str">
        <f>$B$20&amp;Z15&amp;"="&amp;$C$20&amp;Z15&amp;")"</f>
        <v>IF('Input Nilai Ketrampilan'!Y17="";"";'Input Nilai Ketrampilan'!Y17)</v>
      </c>
      <c r="AB20" s="42" t="str">
        <f>$B$20&amp;AB15&amp;"="&amp;$C$20&amp;AB15&amp;")"</f>
        <v>IF('Input Nilai Ketrampilan'!Y18="";"";'Input Nilai Ketrampilan'!Y18)</v>
      </c>
      <c r="AD20" s="42" t="str">
        <f>$B$20&amp;AD15&amp;"="&amp;$C$20&amp;AD15&amp;")"</f>
        <v>IF('Input Nilai Ketrampilan'!Y19="";"";'Input Nilai Ketrampilan'!Y19)</v>
      </c>
      <c r="AF20" s="42" t="str">
        <f>$B$20&amp;AF15&amp;"="&amp;$C$20&amp;AF15&amp;")"</f>
        <v>IF('Input Nilai Ketrampilan'!Y20="";"";'Input Nilai Ketrampilan'!Y20)</v>
      </c>
      <c r="AH20" s="42" t="str">
        <f>$B$20&amp;AH15&amp;"="&amp;$C$20&amp;AH15&amp;")"</f>
        <v>IF('Input Nilai Ketrampilan'!Y21="";"";'Input Nilai Ketrampilan'!Y21)</v>
      </c>
      <c r="AJ20" s="42" t="str">
        <f>$B$20&amp;AJ15&amp;"="&amp;$C$20&amp;AJ15&amp;")"</f>
        <v>IF('Input Nilai Ketrampilan'!Y22="";"";'Input Nilai Ketrampilan'!Y22)</v>
      </c>
      <c r="AL20" s="42" t="str">
        <f>$B$20&amp;AL15&amp;"="&amp;$C$20&amp;AL15&amp;")"</f>
        <v>IF('Input Nilai Ketrampilan'!Y23="";"";'Input Nilai Ketrampilan'!Y23)</v>
      </c>
      <c r="AN20" s="42" t="str">
        <f>$B$20&amp;AN15&amp;"="&amp;$C$20&amp;AN15&amp;")"</f>
        <v>IF('Input Nilai Ketrampilan'!Y24="";"";'Input Nilai Ketrampilan'!Y24)</v>
      </c>
      <c r="AP20" s="42" t="str">
        <f>$B$20&amp;AP15&amp;"="&amp;$C$20&amp;AP15&amp;")"</f>
        <v>IF('Input Nilai Ketrampilan'!Y25="";"";'Input Nilai Ketrampilan'!Y25)</v>
      </c>
      <c r="AR20" s="42" t="str">
        <f>$B$20&amp;AR15&amp;"="&amp;$C$20&amp;AR15&amp;")"</f>
        <v>IF('Input Nilai Ketrampilan'!Y26="";"";'Input Nilai Ketrampilan'!Y26)</v>
      </c>
      <c r="AT20" s="42" t="str">
        <f>$B$20&amp;AT15&amp;"="&amp;$C$20&amp;AT15&amp;")"</f>
        <v>IF('Input Nilai Ketrampilan'!Y27="";"";'Input Nilai Ketrampilan'!Y27)</v>
      </c>
      <c r="AV20" s="42" t="str">
        <f>$B$20&amp;AV15&amp;"="&amp;$C$20&amp;AV15&amp;")"</f>
        <v>IF('Input Nilai Ketrampilan'!Y28="";"";'Input Nilai Ketrampilan'!Y28)</v>
      </c>
      <c r="AX20" s="42" t="str">
        <f>$B$20&amp;AX15&amp;"="&amp;$C$20&amp;AX15&amp;")"</f>
        <v>IF('Input Nilai Ketrampilan'!Y29="";"";'Input Nilai Ketrampilan'!Y29)</v>
      </c>
      <c r="AZ20" s="42" t="str">
        <f>$B$20&amp;AZ15&amp;"="&amp;$C$20&amp;AZ15&amp;")"</f>
        <v>IF('Input Nilai Ketrampilan'!Y30="";"";'Input Nilai Ketrampilan'!Y30)</v>
      </c>
      <c r="BB20" s="42" t="str">
        <f>$B$20&amp;BB15&amp;"="&amp;$C$20&amp;BB15&amp;")"</f>
        <v>IF('Input Nilai Ketrampilan'!Y31="";"";'Input Nilai Ketrampilan'!Y31)</v>
      </c>
      <c r="BD20" s="42" t="str">
        <f>$B$20&amp;BD15&amp;"="&amp;$C$20&amp;BD15&amp;")"</f>
        <v>IF('Input Nilai Ketrampilan'!Y32="";"";'Input Nilai Ketrampilan'!Y32)</v>
      </c>
      <c r="BF20" s="42" t="str">
        <f>$B$20&amp;BF15&amp;"="&amp;$C$20&amp;BF15&amp;")"</f>
        <v>IF('Input Nilai Ketrampilan'!Y33="";"";'Input Nilai Ketrampilan'!Y33)</v>
      </c>
      <c r="BH20" s="42" t="str">
        <f>$B$20&amp;BH15&amp;"="&amp;$C$20&amp;BH15&amp;")"</f>
        <v>IF('Input Nilai Ketrampilan'!Y34="";"";'Input Nilai Ketrampilan'!Y34)</v>
      </c>
      <c r="BJ20" s="42" t="str">
        <f>$B$20&amp;BJ15&amp;"="&amp;$C$20&amp;BJ15&amp;")"</f>
        <v>IF('Input Nilai Ketrampilan'!Y35="";"";'Input Nilai Ketrampilan'!Y35)</v>
      </c>
      <c r="BL20" s="42" t="str">
        <f>$B$20&amp;BL15&amp;"="&amp;$C$20&amp;BL15&amp;")"</f>
        <v>IF('Input Nilai Ketrampilan'!Y36="";"";'Input Nilai Ketrampilan'!Y36)</v>
      </c>
      <c r="BN20" s="42" t="str">
        <f>$B$20&amp;BN15&amp;"="&amp;$C$20&amp;BN15&amp;")"</f>
        <v>IF('Input Nilai Ketrampilan'!Y37="";"";'Input Nilai Ketrampilan'!Y37)</v>
      </c>
      <c r="BP20" s="42" t="str">
        <f>$B$20&amp;BP15&amp;"="&amp;$C$20&amp;BP15&amp;")"</f>
        <v>IF('Input Nilai Ketrampilan'!Y38="";"";'Input Nilai Ketrampilan'!Y38)</v>
      </c>
      <c r="BR20" s="42" t="str">
        <f>$B$20&amp;BR15&amp;"="&amp;$C$20&amp;BR15&amp;")"</f>
        <v>IF('Input Nilai Ketrampilan'!Y39="";"";'Input Nilai Ketrampilan'!Y39)</v>
      </c>
      <c r="BT20" s="42" t="str">
        <f>$B$20&amp;BT15&amp;"="&amp;$C$20&amp;BT15&amp;")"</f>
        <v>IF('Input Nilai Ketrampilan'!Y40="";"";'Input Nilai Ketrampilan'!Y40)</v>
      </c>
      <c r="BV20" s="42" t="str">
        <f>$B$20&amp;BV15&amp;"="&amp;$C$20&amp;BV15&amp;")"</f>
        <v>IF('Input Nilai Ketrampilan'!Y41="";"";'Input Nilai Ketrampilan'!Y41)</v>
      </c>
      <c r="BX20" s="42" t="str">
        <f>$B$20&amp;BX15&amp;"="&amp;$C$20&amp;BX15&amp;")"</f>
        <v>IF('Input Nilai Ketrampilan'!Y42="";"";'Input Nilai Ketrampilan'!Y42)</v>
      </c>
      <c r="BZ20" s="42" t="str">
        <f>$B$20&amp;BZ15&amp;"="&amp;$C$20&amp;BZ15&amp;")"</f>
        <v>IF('Input Nilai Ketrampilan'!Y43="";"";'Input Nilai Ketrampilan'!Y43)</v>
      </c>
      <c r="CB20" s="42" t="str">
        <f>$B$20&amp;CB15&amp;"="&amp;$C$20&amp;CB15&amp;")"</f>
        <v>IF('Input Nilai Ketrampilan'!Y44="";"";'Input Nilai Ketrampilan'!Y44)</v>
      </c>
      <c r="CD20" s="42" t="str">
        <f>$B$20&amp;CD15&amp;"="&amp;$C$20&amp;CD15&amp;")"</f>
        <v>IF('Input Nilai Ketrampilan'!Y45="";"";'Input Nilai Ketrampilan'!Y45)</v>
      </c>
      <c r="CF20" s="42" t="str">
        <f>$B$20&amp;CF15&amp;"="&amp;$C$20&amp;CF15&amp;")"</f>
        <v>IF('Input Nilai Ketrampilan'!Y46="";"";'Input Nilai Ketrampilan'!Y46)</v>
      </c>
      <c r="CH20" s="42" t="str">
        <f>$B$20&amp;CH15&amp;"="&amp;$C$20&amp;CH15&amp;")"</f>
        <v>IF('Input Nilai Ketrampilan'!Y47="";"";'Input Nilai Ketrampilan'!Y47)</v>
      </c>
      <c r="CJ20" s="42" t="str">
        <f>$B$20&amp;CJ15&amp;"="&amp;$C$20&amp;CJ15&amp;")"</f>
        <v>IF('Input Nilai Ketrampilan'!Y48="";"";'Input Nilai Ketrampilan'!Y48)</v>
      </c>
      <c r="CL20" s="42" t="str">
        <f>$B$20&amp;CL15&amp;"="&amp;$C$20&amp;CL15&amp;")"</f>
        <v>IF('Input Nilai Ketrampilan'!Y49="";"";'Input Nilai Ketrampilan'!Y49)</v>
      </c>
      <c r="CN20" s="42" t="str">
        <f>$B$20&amp;CN15&amp;"="&amp;$C$20&amp;CN15&amp;")"</f>
        <v>IF('Input Nilai Ketrampilan'!Y50="";"";'Input Nilai Ketrampilan'!Y50)</v>
      </c>
      <c r="CP20" s="42" t="str">
        <f>$B$20&amp;CP15&amp;"="&amp;$C$20&amp;CP15&amp;")"</f>
        <v>IF('Input Nilai Ketrampilan'!Y51="";"";'Input Nilai Ketrampilan'!Y51)</v>
      </c>
      <c r="CR20" s="42" t="str">
        <f>$B$20&amp;CR15&amp;"="&amp;$C$20&amp;CR15&amp;")"</f>
        <v>IF('Input Nilai Ketrampilan'!Y52="";"";'Input Nilai Ketrampilan'!Y52)</v>
      </c>
    </row>
    <row r="21" spans="1:96">
      <c r="A21" s="72">
        <v>6</v>
      </c>
      <c r="B21" s="42" t="s">
        <v>414</v>
      </c>
      <c r="C21" s="42" t="s">
        <v>424</v>
      </c>
      <c r="D21" s="42" t="str">
        <f>$B$21&amp;D15&amp;"="&amp;$C$21&amp;D15&amp;")"</f>
        <v>IF('Input Nilai Ketrampilan'!AC6="";"";'Input Nilai Ketrampilan'!AC6)</v>
      </c>
      <c r="F21" s="42" t="str">
        <f>$B$21&amp;F15&amp;"="&amp;$C$21&amp;F15&amp;")"</f>
        <v>IF('Input Nilai Ketrampilan'!AC7="";"";'Input Nilai Ketrampilan'!AC7)</v>
      </c>
      <c r="H21" s="42" t="str">
        <f>$B$21&amp;H15&amp;"="&amp;$C$21&amp;H15&amp;")"</f>
        <v>IF('Input Nilai Ketrampilan'!AC8="";"";'Input Nilai Ketrampilan'!AC8)</v>
      </c>
      <c r="J21" s="42" t="str">
        <f>$B$21&amp;J15&amp;"="&amp;$C$21&amp;J15&amp;")"</f>
        <v>IF('Input Nilai Ketrampilan'!AC9="";"";'Input Nilai Ketrampilan'!AC9)</v>
      </c>
      <c r="L21" s="42" t="str">
        <f>$B$21&amp;L15&amp;"="&amp;$C$21&amp;L15&amp;")"</f>
        <v>IF('Input Nilai Ketrampilan'!AC10="";"";'Input Nilai Ketrampilan'!AC10)</v>
      </c>
      <c r="N21" s="42" t="str">
        <f>$B$21&amp;N15&amp;"="&amp;$C$21&amp;N15&amp;")"</f>
        <v>IF('Input Nilai Ketrampilan'!AC11="";"";'Input Nilai Ketrampilan'!AC11)</v>
      </c>
      <c r="P21" s="42" t="str">
        <f>$B$21&amp;P15&amp;"="&amp;$C$21&amp;P15&amp;")"</f>
        <v>IF('Input Nilai Ketrampilan'!AC12="";"";'Input Nilai Ketrampilan'!AC12)</v>
      </c>
      <c r="R21" s="42" t="str">
        <f>$B$21&amp;R15&amp;"="&amp;$C$21&amp;R15&amp;")"</f>
        <v>IF('Input Nilai Ketrampilan'!AC13="";"";'Input Nilai Ketrampilan'!AC13)</v>
      </c>
      <c r="T21" s="42" t="str">
        <f>$B$21&amp;T15&amp;"="&amp;$C$21&amp;T15&amp;")"</f>
        <v>IF('Input Nilai Ketrampilan'!AC14="";"";'Input Nilai Ketrampilan'!AC14)</v>
      </c>
      <c r="V21" s="42" t="str">
        <f>$B$21&amp;V15&amp;"="&amp;$C$21&amp;V15&amp;")"</f>
        <v>IF('Input Nilai Ketrampilan'!AC15="";"";'Input Nilai Ketrampilan'!AC15)</v>
      </c>
      <c r="X21" s="42" t="str">
        <f>$B$21&amp;X15&amp;"="&amp;$C$21&amp;X15&amp;")"</f>
        <v>IF('Input Nilai Ketrampilan'!AC16="";"";'Input Nilai Ketrampilan'!AC16)</v>
      </c>
      <c r="Z21" s="42" t="str">
        <f>$B$21&amp;Z15&amp;"="&amp;$C$21&amp;Z15&amp;")"</f>
        <v>IF('Input Nilai Ketrampilan'!AC17="";"";'Input Nilai Ketrampilan'!AC17)</v>
      </c>
      <c r="AB21" s="42" t="str">
        <f>$B$21&amp;AB15&amp;"="&amp;$C$21&amp;AB15&amp;")"</f>
        <v>IF('Input Nilai Ketrampilan'!AC18="";"";'Input Nilai Ketrampilan'!AC18)</v>
      </c>
      <c r="AD21" s="42" t="str">
        <f>$B$21&amp;AD15&amp;"="&amp;$C$21&amp;AD15&amp;")"</f>
        <v>IF('Input Nilai Ketrampilan'!AC19="";"";'Input Nilai Ketrampilan'!AC19)</v>
      </c>
      <c r="AF21" s="42" t="str">
        <f>$B$21&amp;AF15&amp;"="&amp;$C$21&amp;AF15&amp;")"</f>
        <v>IF('Input Nilai Ketrampilan'!AC20="";"";'Input Nilai Ketrampilan'!AC20)</v>
      </c>
      <c r="AH21" s="42" t="str">
        <f>$B$21&amp;AH15&amp;"="&amp;$C$21&amp;AH15&amp;")"</f>
        <v>IF('Input Nilai Ketrampilan'!AC21="";"";'Input Nilai Ketrampilan'!AC21)</v>
      </c>
      <c r="AJ21" s="42" t="str">
        <f>$B$21&amp;AJ15&amp;"="&amp;$C$21&amp;AJ15&amp;")"</f>
        <v>IF('Input Nilai Ketrampilan'!AC22="";"";'Input Nilai Ketrampilan'!AC22)</v>
      </c>
      <c r="AL21" s="42" t="str">
        <f>$B$21&amp;AL15&amp;"="&amp;$C$21&amp;AL15&amp;")"</f>
        <v>IF('Input Nilai Ketrampilan'!AC23="";"";'Input Nilai Ketrampilan'!AC23)</v>
      </c>
      <c r="AN21" s="42" t="str">
        <f>$B$21&amp;AN15&amp;"="&amp;$C$21&amp;AN15&amp;")"</f>
        <v>IF('Input Nilai Ketrampilan'!AC24="";"";'Input Nilai Ketrampilan'!AC24)</v>
      </c>
      <c r="AP21" s="42" t="str">
        <f>$B$21&amp;AP15&amp;"="&amp;$C$21&amp;AP15&amp;")"</f>
        <v>IF('Input Nilai Ketrampilan'!AC25="";"";'Input Nilai Ketrampilan'!AC25)</v>
      </c>
      <c r="AR21" s="42" t="str">
        <f>$B$21&amp;AR15&amp;"="&amp;$C$21&amp;AR15&amp;")"</f>
        <v>IF('Input Nilai Ketrampilan'!AC26="";"";'Input Nilai Ketrampilan'!AC26)</v>
      </c>
      <c r="AT21" s="42" t="str">
        <f>$B$21&amp;AT15&amp;"="&amp;$C$21&amp;AT15&amp;")"</f>
        <v>IF('Input Nilai Ketrampilan'!AC27="";"";'Input Nilai Ketrampilan'!AC27)</v>
      </c>
      <c r="AV21" s="42" t="str">
        <f>$B$21&amp;AV15&amp;"="&amp;$C$21&amp;AV15&amp;")"</f>
        <v>IF('Input Nilai Ketrampilan'!AC28="";"";'Input Nilai Ketrampilan'!AC28)</v>
      </c>
      <c r="AX21" s="42" t="str">
        <f>$B$21&amp;AX15&amp;"="&amp;$C$21&amp;AX15&amp;")"</f>
        <v>IF('Input Nilai Ketrampilan'!AC29="";"";'Input Nilai Ketrampilan'!AC29)</v>
      </c>
      <c r="AZ21" s="42" t="str">
        <f>$B$21&amp;AZ15&amp;"="&amp;$C$21&amp;AZ15&amp;")"</f>
        <v>IF('Input Nilai Ketrampilan'!AC30="";"";'Input Nilai Ketrampilan'!AC30)</v>
      </c>
      <c r="BB21" s="42" t="str">
        <f>$B$21&amp;BB15&amp;"="&amp;$C$21&amp;BB15&amp;")"</f>
        <v>IF('Input Nilai Ketrampilan'!AC31="";"";'Input Nilai Ketrampilan'!AC31)</v>
      </c>
      <c r="BD21" s="42" t="str">
        <f>$B$21&amp;BD15&amp;"="&amp;$C$21&amp;BD15&amp;")"</f>
        <v>IF('Input Nilai Ketrampilan'!AC32="";"";'Input Nilai Ketrampilan'!AC32)</v>
      </c>
      <c r="BF21" s="42" t="str">
        <f>$B$21&amp;BF15&amp;"="&amp;$C$21&amp;BF15&amp;")"</f>
        <v>IF('Input Nilai Ketrampilan'!AC33="";"";'Input Nilai Ketrampilan'!AC33)</v>
      </c>
      <c r="BH21" s="42" t="str">
        <f>$B$21&amp;BH15&amp;"="&amp;$C$21&amp;BH15&amp;")"</f>
        <v>IF('Input Nilai Ketrampilan'!AC34="";"";'Input Nilai Ketrampilan'!AC34)</v>
      </c>
      <c r="BJ21" s="42" t="str">
        <f>$B$21&amp;BJ15&amp;"="&amp;$C$21&amp;BJ15&amp;")"</f>
        <v>IF('Input Nilai Ketrampilan'!AC35="";"";'Input Nilai Ketrampilan'!AC35)</v>
      </c>
      <c r="BL21" s="42" t="str">
        <f>$B$21&amp;BL15&amp;"="&amp;$C$21&amp;BL15&amp;")"</f>
        <v>IF('Input Nilai Ketrampilan'!AC36="";"";'Input Nilai Ketrampilan'!AC36)</v>
      </c>
      <c r="BN21" s="42" t="str">
        <f>$B$21&amp;BN15&amp;"="&amp;$C$21&amp;BN15&amp;")"</f>
        <v>IF('Input Nilai Ketrampilan'!AC37="";"";'Input Nilai Ketrampilan'!AC37)</v>
      </c>
      <c r="BP21" s="42" t="str">
        <f>$B$21&amp;BP15&amp;"="&amp;$C$21&amp;BP15&amp;")"</f>
        <v>IF('Input Nilai Ketrampilan'!AC38="";"";'Input Nilai Ketrampilan'!AC38)</v>
      </c>
      <c r="BR21" s="42" t="str">
        <f>$B$21&amp;BR15&amp;"="&amp;$C$21&amp;BR15&amp;")"</f>
        <v>IF('Input Nilai Ketrampilan'!AC39="";"";'Input Nilai Ketrampilan'!AC39)</v>
      </c>
      <c r="BT21" s="42" t="str">
        <f>$B$21&amp;BT15&amp;"="&amp;$C$21&amp;BT15&amp;")"</f>
        <v>IF('Input Nilai Ketrampilan'!AC40="";"";'Input Nilai Ketrampilan'!AC40)</v>
      </c>
      <c r="BV21" s="42" t="str">
        <f>$B$21&amp;BV15&amp;"="&amp;$C$21&amp;BV15&amp;")"</f>
        <v>IF('Input Nilai Ketrampilan'!AC41="";"";'Input Nilai Ketrampilan'!AC41)</v>
      </c>
      <c r="BX21" s="42" t="str">
        <f>$B$21&amp;BX15&amp;"="&amp;$C$21&amp;BX15&amp;")"</f>
        <v>IF('Input Nilai Ketrampilan'!AC42="";"";'Input Nilai Ketrampilan'!AC42)</v>
      </c>
      <c r="BZ21" s="42" t="str">
        <f>$B$21&amp;BZ15&amp;"="&amp;$C$21&amp;BZ15&amp;")"</f>
        <v>IF('Input Nilai Ketrampilan'!AC43="";"";'Input Nilai Ketrampilan'!AC43)</v>
      </c>
      <c r="CB21" s="42" t="str">
        <f>$B$21&amp;CB15&amp;"="&amp;$C$21&amp;CB15&amp;")"</f>
        <v>IF('Input Nilai Ketrampilan'!AC44="";"";'Input Nilai Ketrampilan'!AC44)</v>
      </c>
      <c r="CD21" s="42" t="str">
        <f>$B$21&amp;CD15&amp;"="&amp;$C$21&amp;CD15&amp;")"</f>
        <v>IF('Input Nilai Ketrampilan'!AC45="";"";'Input Nilai Ketrampilan'!AC45)</v>
      </c>
      <c r="CF21" s="42" t="str">
        <f>$B$21&amp;CF15&amp;"="&amp;$C$21&amp;CF15&amp;")"</f>
        <v>IF('Input Nilai Ketrampilan'!AC46="";"";'Input Nilai Ketrampilan'!AC46)</v>
      </c>
      <c r="CH21" s="42" t="str">
        <f>$B$21&amp;CH15&amp;"="&amp;$C$21&amp;CH15&amp;")"</f>
        <v>IF('Input Nilai Ketrampilan'!AC47="";"";'Input Nilai Ketrampilan'!AC47)</v>
      </c>
      <c r="CJ21" s="42" t="str">
        <f>$B$21&amp;CJ15&amp;"="&amp;$C$21&amp;CJ15&amp;")"</f>
        <v>IF('Input Nilai Ketrampilan'!AC48="";"";'Input Nilai Ketrampilan'!AC48)</v>
      </c>
      <c r="CL21" s="42" t="str">
        <f>$B$21&amp;CL15&amp;"="&amp;$C$21&amp;CL15&amp;")"</f>
        <v>IF('Input Nilai Ketrampilan'!AC49="";"";'Input Nilai Ketrampilan'!AC49)</v>
      </c>
      <c r="CN21" s="42" t="str">
        <f>$B$21&amp;CN15&amp;"="&amp;$C$21&amp;CN15&amp;")"</f>
        <v>IF('Input Nilai Ketrampilan'!AC50="";"";'Input Nilai Ketrampilan'!AC50)</v>
      </c>
      <c r="CP21" s="42" t="str">
        <f>$B$21&amp;CP15&amp;"="&amp;$C$21&amp;CP15&amp;")"</f>
        <v>IF('Input Nilai Ketrampilan'!AC51="";"";'Input Nilai Ketrampilan'!AC51)</v>
      </c>
      <c r="CR21" s="42" t="str">
        <f>$B$21&amp;CR15&amp;"="&amp;$C$21&amp;CR15&amp;")"</f>
        <v>IF('Input Nilai Ketrampilan'!AC52="";"";'Input Nilai Ketrampilan'!AC52)</v>
      </c>
    </row>
    <row r="22" spans="1:96">
      <c r="A22" s="72">
        <v>7</v>
      </c>
      <c r="B22" s="42" t="s">
        <v>415</v>
      </c>
      <c r="C22" s="42" t="s">
        <v>425</v>
      </c>
      <c r="D22" s="42" t="str">
        <f>$B$22&amp;D15&amp;"="&amp;$C$22&amp;D15&amp;")"</f>
        <v>IF('Input Nilai Ketrampilan'!AG6="";"";'Input Nilai Ketrampilan'!AG6)</v>
      </c>
      <c r="F22" s="42" t="str">
        <f>$B$22&amp;F15&amp;"="&amp;$C$22&amp;F15&amp;")"</f>
        <v>IF('Input Nilai Ketrampilan'!AG7="";"";'Input Nilai Ketrampilan'!AG7)</v>
      </c>
      <c r="H22" s="42" t="str">
        <f>$B$22&amp;H15&amp;"="&amp;$C$22&amp;H15&amp;")"</f>
        <v>IF('Input Nilai Ketrampilan'!AG8="";"";'Input Nilai Ketrampilan'!AG8)</v>
      </c>
      <c r="J22" s="42" t="str">
        <f>$B$22&amp;J15&amp;"="&amp;$C$22&amp;J15&amp;")"</f>
        <v>IF('Input Nilai Ketrampilan'!AG9="";"";'Input Nilai Ketrampilan'!AG9)</v>
      </c>
      <c r="L22" s="42" t="str">
        <f>$B$22&amp;L15&amp;"="&amp;$C$22&amp;L15&amp;")"</f>
        <v>IF('Input Nilai Ketrampilan'!AG10="";"";'Input Nilai Ketrampilan'!AG10)</v>
      </c>
      <c r="N22" s="42" t="str">
        <f>$B$22&amp;N15&amp;"="&amp;$C$22&amp;N15&amp;")"</f>
        <v>IF('Input Nilai Ketrampilan'!AG11="";"";'Input Nilai Ketrampilan'!AG11)</v>
      </c>
      <c r="P22" s="42" t="str">
        <f>$B$22&amp;P15&amp;"="&amp;$C$22&amp;P15&amp;")"</f>
        <v>IF('Input Nilai Ketrampilan'!AG12="";"";'Input Nilai Ketrampilan'!AG12)</v>
      </c>
      <c r="R22" s="42" t="str">
        <f>$B$22&amp;R15&amp;"="&amp;$C$22&amp;R15&amp;")"</f>
        <v>IF('Input Nilai Ketrampilan'!AG13="";"";'Input Nilai Ketrampilan'!AG13)</v>
      </c>
      <c r="T22" s="42" t="str">
        <f>$B$22&amp;T15&amp;"="&amp;$C$22&amp;T15&amp;")"</f>
        <v>IF('Input Nilai Ketrampilan'!AG14="";"";'Input Nilai Ketrampilan'!AG14)</v>
      </c>
      <c r="V22" s="42" t="str">
        <f>$B$22&amp;V15&amp;"="&amp;$C$22&amp;V15&amp;")"</f>
        <v>IF('Input Nilai Ketrampilan'!AG15="";"";'Input Nilai Ketrampilan'!AG15)</v>
      </c>
      <c r="X22" s="42" t="str">
        <f>$B$22&amp;X15&amp;"="&amp;$C$22&amp;X15&amp;")"</f>
        <v>IF('Input Nilai Ketrampilan'!AG16="";"";'Input Nilai Ketrampilan'!AG16)</v>
      </c>
      <c r="Z22" s="42" t="str">
        <f>$B$22&amp;Z15&amp;"="&amp;$C$22&amp;Z15&amp;")"</f>
        <v>IF('Input Nilai Ketrampilan'!AG17="";"";'Input Nilai Ketrampilan'!AG17)</v>
      </c>
      <c r="AB22" s="42" t="str">
        <f>$B$22&amp;AB15&amp;"="&amp;$C$22&amp;AB15&amp;")"</f>
        <v>IF('Input Nilai Ketrampilan'!AG18="";"";'Input Nilai Ketrampilan'!AG18)</v>
      </c>
      <c r="AD22" s="42" t="str">
        <f>$B$22&amp;AD15&amp;"="&amp;$C$22&amp;AD15&amp;")"</f>
        <v>IF('Input Nilai Ketrampilan'!AG19="";"";'Input Nilai Ketrampilan'!AG19)</v>
      </c>
      <c r="AF22" s="42" t="str">
        <f>$B$22&amp;AF15&amp;"="&amp;$C$22&amp;AF15&amp;")"</f>
        <v>IF('Input Nilai Ketrampilan'!AG20="";"";'Input Nilai Ketrampilan'!AG20)</v>
      </c>
      <c r="AH22" s="42" t="str">
        <f>$B$22&amp;AH15&amp;"="&amp;$C$22&amp;AH15&amp;")"</f>
        <v>IF('Input Nilai Ketrampilan'!AG21="";"";'Input Nilai Ketrampilan'!AG21)</v>
      </c>
      <c r="AJ22" s="42" t="str">
        <f>$B$22&amp;AJ15&amp;"="&amp;$C$22&amp;AJ15&amp;")"</f>
        <v>IF('Input Nilai Ketrampilan'!AG22="";"";'Input Nilai Ketrampilan'!AG22)</v>
      </c>
      <c r="AL22" s="42" t="str">
        <f>$B$22&amp;AL15&amp;"="&amp;$C$22&amp;AL15&amp;")"</f>
        <v>IF('Input Nilai Ketrampilan'!AG23="";"";'Input Nilai Ketrampilan'!AG23)</v>
      </c>
      <c r="AN22" s="42" t="str">
        <f>$B$22&amp;AN15&amp;"="&amp;$C$22&amp;AN15&amp;")"</f>
        <v>IF('Input Nilai Ketrampilan'!AG24="";"";'Input Nilai Ketrampilan'!AG24)</v>
      </c>
      <c r="AP22" s="42" t="str">
        <f>$B$22&amp;AP15&amp;"="&amp;$C$22&amp;AP15&amp;")"</f>
        <v>IF('Input Nilai Ketrampilan'!AG25="";"";'Input Nilai Ketrampilan'!AG25)</v>
      </c>
      <c r="AR22" s="42" t="str">
        <f>$B$22&amp;AR15&amp;"="&amp;$C$22&amp;AR15&amp;")"</f>
        <v>IF('Input Nilai Ketrampilan'!AG26="";"";'Input Nilai Ketrampilan'!AG26)</v>
      </c>
      <c r="AT22" s="42" t="str">
        <f>$B$22&amp;AT15&amp;"="&amp;$C$22&amp;AT15&amp;")"</f>
        <v>IF('Input Nilai Ketrampilan'!AG27="";"";'Input Nilai Ketrampilan'!AG27)</v>
      </c>
      <c r="AV22" s="42" t="str">
        <f>$B$22&amp;AV15&amp;"="&amp;$C$22&amp;AV15&amp;")"</f>
        <v>IF('Input Nilai Ketrampilan'!AG28="";"";'Input Nilai Ketrampilan'!AG28)</v>
      </c>
      <c r="AX22" s="42" t="str">
        <f>$B$22&amp;AX15&amp;"="&amp;$C$22&amp;AX15&amp;")"</f>
        <v>IF('Input Nilai Ketrampilan'!AG29="";"";'Input Nilai Ketrampilan'!AG29)</v>
      </c>
      <c r="AZ22" s="42" t="str">
        <f>$B$22&amp;AZ15&amp;"="&amp;$C$22&amp;AZ15&amp;")"</f>
        <v>IF('Input Nilai Ketrampilan'!AG30="";"";'Input Nilai Ketrampilan'!AG30)</v>
      </c>
      <c r="BB22" s="42" t="str">
        <f>$B$22&amp;BB15&amp;"="&amp;$C$22&amp;BB15&amp;")"</f>
        <v>IF('Input Nilai Ketrampilan'!AG31="";"";'Input Nilai Ketrampilan'!AG31)</v>
      </c>
      <c r="BD22" s="42" t="str">
        <f>$B$22&amp;BD15&amp;"="&amp;$C$22&amp;BD15&amp;")"</f>
        <v>IF('Input Nilai Ketrampilan'!AG32="";"";'Input Nilai Ketrampilan'!AG32)</v>
      </c>
      <c r="BF22" s="42" t="str">
        <f>$B$22&amp;BF15&amp;"="&amp;$C$22&amp;BF15&amp;")"</f>
        <v>IF('Input Nilai Ketrampilan'!AG33="";"";'Input Nilai Ketrampilan'!AG33)</v>
      </c>
      <c r="BH22" s="42" t="str">
        <f>$B$22&amp;BH15&amp;"="&amp;$C$22&amp;BH15&amp;")"</f>
        <v>IF('Input Nilai Ketrampilan'!AG34="";"";'Input Nilai Ketrampilan'!AG34)</v>
      </c>
      <c r="BJ22" s="42" t="str">
        <f>$B$22&amp;BJ15&amp;"="&amp;$C$22&amp;BJ15&amp;")"</f>
        <v>IF('Input Nilai Ketrampilan'!AG35="";"";'Input Nilai Ketrampilan'!AG35)</v>
      </c>
      <c r="BL22" s="42" t="str">
        <f>$B$22&amp;BL15&amp;"="&amp;$C$22&amp;BL15&amp;")"</f>
        <v>IF('Input Nilai Ketrampilan'!AG36="";"";'Input Nilai Ketrampilan'!AG36)</v>
      </c>
      <c r="BN22" s="42" t="str">
        <f>$B$22&amp;BN15&amp;"="&amp;$C$22&amp;BN15&amp;")"</f>
        <v>IF('Input Nilai Ketrampilan'!AG37="";"";'Input Nilai Ketrampilan'!AG37)</v>
      </c>
      <c r="BP22" s="42" t="str">
        <f>$B$22&amp;BP15&amp;"="&amp;$C$22&amp;BP15&amp;")"</f>
        <v>IF('Input Nilai Ketrampilan'!AG38="";"";'Input Nilai Ketrampilan'!AG38)</v>
      </c>
      <c r="BR22" s="42" t="str">
        <f>$B$22&amp;BR15&amp;"="&amp;$C$22&amp;BR15&amp;")"</f>
        <v>IF('Input Nilai Ketrampilan'!AG39="";"";'Input Nilai Ketrampilan'!AG39)</v>
      </c>
      <c r="BT22" s="42" t="str">
        <f>$B$22&amp;BT15&amp;"="&amp;$C$22&amp;BT15&amp;")"</f>
        <v>IF('Input Nilai Ketrampilan'!AG40="";"";'Input Nilai Ketrampilan'!AG40)</v>
      </c>
      <c r="BV22" s="42" t="str">
        <f>$B$22&amp;BV15&amp;"="&amp;$C$22&amp;BV15&amp;")"</f>
        <v>IF('Input Nilai Ketrampilan'!AG41="";"";'Input Nilai Ketrampilan'!AG41)</v>
      </c>
      <c r="BX22" s="42" t="str">
        <f>$B$22&amp;BX15&amp;"="&amp;$C$22&amp;BX15&amp;")"</f>
        <v>IF('Input Nilai Ketrampilan'!AG42="";"";'Input Nilai Ketrampilan'!AG42)</v>
      </c>
      <c r="BZ22" s="42" t="str">
        <f>$B$22&amp;BZ15&amp;"="&amp;$C$22&amp;BZ15&amp;")"</f>
        <v>IF('Input Nilai Ketrampilan'!AG43="";"";'Input Nilai Ketrampilan'!AG43)</v>
      </c>
      <c r="CB22" s="42" t="str">
        <f>$B$22&amp;CB15&amp;"="&amp;$C$22&amp;CB15&amp;")"</f>
        <v>IF('Input Nilai Ketrampilan'!AG44="";"";'Input Nilai Ketrampilan'!AG44)</v>
      </c>
      <c r="CD22" s="42" t="str">
        <f>$B$22&amp;CD15&amp;"="&amp;$C$22&amp;CD15&amp;")"</f>
        <v>IF('Input Nilai Ketrampilan'!AG45="";"";'Input Nilai Ketrampilan'!AG45)</v>
      </c>
      <c r="CF22" s="42" t="str">
        <f>$B$22&amp;CF15&amp;"="&amp;$C$22&amp;CF15&amp;")"</f>
        <v>IF('Input Nilai Ketrampilan'!AG46="";"";'Input Nilai Ketrampilan'!AG46)</v>
      </c>
      <c r="CH22" s="42" t="str">
        <f>$B$22&amp;CH15&amp;"="&amp;$C$22&amp;CH15&amp;")"</f>
        <v>IF('Input Nilai Ketrampilan'!AG47="";"";'Input Nilai Ketrampilan'!AG47)</v>
      </c>
      <c r="CJ22" s="42" t="str">
        <f>$B$22&amp;CJ15&amp;"="&amp;$C$22&amp;CJ15&amp;")"</f>
        <v>IF('Input Nilai Ketrampilan'!AG48="";"";'Input Nilai Ketrampilan'!AG48)</v>
      </c>
      <c r="CL22" s="42" t="str">
        <f>$B$22&amp;CL15&amp;"="&amp;$C$22&amp;CL15&amp;")"</f>
        <v>IF('Input Nilai Ketrampilan'!AG49="";"";'Input Nilai Ketrampilan'!AG49)</v>
      </c>
      <c r="CN22" s="42" t="str">
        <f>$B$22&amp;CN15&amp;"="&amp;$C$22&amp;CN15&amp;")"</f>
        <v>IF('Input Nilai Ketrampilan'!AG50="";"";'Input Nilai Ketrampilan'!AG50)</v>
      </c>
      <c r="CP22" s="42" t="str">
        <f>$B$22&amp;CP15&amp;"="&amp;$C$22&amp;CP15&amp;")"</f>
        <v>IF('Input Nilai Ketrampilan'!AG51="";"";'Input Nilai Ketrampilan'!AG51)</v>
      </c>
      <c r="CR22" s="42" t="str">
        <f>$B$22&amp;CR15&amp;"="&amp;$C$22&amp;CR15&amp;")"</f>
        <v>IF('Input Nilai Ketrampilan'!AG52="";"";'Input Nilai Ketrampilan'!AG52)</v>
      </c>
    </row>
    <row r="23" spans="1:96">
      <c r="A23" s="72">
        <v>8</v>
      </c>
      <c r="B23" s="42" t="s">
        <v>416</v>
      </c>
      <c r="C23" s="42" t="s">
        <v>426</v>
      </c>
      <c r="D23" s="42" t="str">
        <f>$B$23&amp;D15&amp;"="&amp;$C$23&amp;D15&amp;")"</f>
        <v>IF('Input Nilai Ketrampilan'!AK6="";"";'Input Nilai Ketrampilan'!AK6)</v>
      </c>
      <c r="F23" s="42" t="str">
        <f>$B$23&amp;F15&amp;"="&amp;$C$23&amp;F15&amp;")"</f>
        <v>IF('Input Nilai Ketrampilan'!AK7="";"";'Input Nilai Ketrampilan'!AK7)</v>
      </c>
      <c r="H23" s="42" t="str">
        <f>$B$23&amp;H15&amp;"="&amp;$C$23&amp;H15&amp;")"</f>
        <v>IF('Input Nilai Ketrampilan'!AK8="";"";'Input Nilai Ketrampilan'!AK8)</v>
      </c>
      <c r="J23" s="42" t="str">
        <f>$B$23&amp;J15&amp;"="&amp;$C$23&amp;J15&amp;")"</f>
        <v>IF('Input Nilai Ketrampilan'!AK9="";"";'Input Nilai Ketrampilan'!AK9)</v>
      </c>
      <c r="L23" s="42" t="str">
        <f>$B$23&amp;L15&amp;"="&amp;$C$23&amp;L15&amp;")"</f>
        <v>IF('Input Nilai Ketrampilan'!AK10="";"";'Input Nilai Ketrampilan'!AK10)</v>
      </c>
      <c r="N23" s="42" t="str">
        <f>$B$23&amp;N15&amp;"="&amp;$C$23&amp;N15&amp;")"</f>
        <v>IF('Input Nilai Ketrampilan'!AK11="";"";'Input Nilai Ketrampilan'!AK11)</v>
      </c>
      <c r="P23" s="42" t="str">
        <f>$B$23&amp;P15&amp;"="&amp;$C$23&amp;P15&amp;")"</f>
        <v>IF('Input Nilai Ketrampilan'!AK12="";"";'Input Nilai Ketrampilan'!AK12)</v>
      </c>
      <c r="R23" s="42" t="str">
        <f>$B$23&amp;R15&amp;"="&amp;$C$23&amp;R15&amp;")"</f>
        <v>IF('Input Nilai Ketrampilan'!AK13="";"";'Input Nilai Ketrampilan'!AK13)</v>
      </c>
      <c r="T23" s="42" t="str">
        <f>$B$23&amp;T15&amp;"="&amp;$C$23&amp;T15&amp;")"</f>
        <v>IF('Input Nilai Ketrampilan'!AK14="";"";'Input Nilai Ketrampilan'!AK14)</v>
      </c>
      <c r="V23" s="42" t="str">
        <f>$B$23&amp;V15&amp;"="&amp;$C$23&amp;V15&amp;")"</f>
        <v>IF('Input Nilai Ketrampilan'!AK15="";"";'Input Nilai Ketrampilan'!AK15)</v>
      </c>
      <c r="X23" s="42" t="str">
        <f>$B$23&amp;X15&amp;"="&amp;$C$23&amp;X15&amp;")"</f>
        <v>IF('Input Nilai Ketrampilan'!AK16="";"";'Input Nilai Ketrampilan'!AK16)</v>
      </c>
      <c r="Z23" s="42" t="str">
        <f>$B$23&amp;Z15&amp;"="&amp;$C$23&amp;Z15&amp;")"</f>
        <v>IF('Input Nilai Ketrampilan'!AK17="";"";'Input Nilai Ketrampilan'!AK17)</v>
      </c>
      <c r="AB23" s="42" t="str">
        <f>$B$23&amp;AB15&amp;"="&amp;$C$23&amp;AB15&amp;")"</f>
        <v>IF('Input Nilai Ketrampilan'!AK18="";"";'Input Nilai Ketrampilan'!AK18)</v>
      </c>
      <c r="AD23" s="42" t="str">
        <f>$B$23&amp;AD15&amp;"="&amp;$C$23&amp;AD15&amp;")"</f>
        <v>IF('Input Nilai Ketrampilan'!AK19="";"";'Input Nilai Ketrampilan'!AK19)</v>
      </c>
      <c r="AF23" s="42" t="str">
        <f>$B$23&amp;AF15&amp;"="&amp;$C$23&amp;AF15&amp;")"</f>
        <v>IF('Input Nilai Ketrampilan'!AK20="";"";'Input Nilai Ketrampilan'!AK20)</v>
      </c>
      <c r="AH23" s="42" t="str">
        <f>$B$23&amp;AH15&amp;"="&amp;$C$23&amp;AH15&amp;")"</f>
        <v>IF('Input Nilai Ketrampilan'!AK21="";"";'Input Nilai Ketrampilan'!AK21)</v>
      </c>
      <c r="AJ23" s="42" t="str">
        <f>$B$23&amp;AJ15&amp;"="&amp;$C$23&amp;AJ15&amp;")"</f>
        <v>IF('Input Nilai Ketrampilan'!AK22="";"";'Input Nilai Ketrampilan'!AK22)</v>
      </c>
      <c r="AL23" s="42" t="str">
        <f>$B$23&amp;AL15&amp;"="&amp;$C$23&amp;AL15&amp;")"</f>
        <v>IF('Input Nilai Ketrampilan'!AK23="";"";'Input Nilai Ketrampilan'!AK23)</v>
      </c>
      <c r="AN23" s="42" t="str">
        <f>$B$23&amp;AN15&amp;"="&amp;$C$23&amp;AN15&amp;")"</f>
        <v>IF('Input Nilai Ketrampilan'!AK24="";"";'Input Nilai Ketrampilan'!AK24)</v>
      </c>
      <c r="AP23" s="42" t="str">
        <f>$B$23&amp;AP15&amp;"="&amp;$C$23&amp;AP15&amp;")"</f>
        <v>IF('Input Nilai Ketrampilan'!AK25="";"";'Input Nilai Ketrampilan'!AK25)</v>
      </c>
      <c r="AR23" s="42" t="str">
        <f>$B$23&amp;AR15&amp;"="&amp;$C$23&amp;AR15&amp;")"</f>
        <v>IF('Input Nilai Ketrampilan'!AK26="";"";'Input Nilai Ketrampilan'!AK26)</v>
      </c>
      <c r="AT23" s="42" t="str">
        <f>$B$23&amp;AT15&amp;"="&amp;$C$23&amp;AT15&amp;")"</f>
        <v>IF('Input Nilai Ketrampilan'!AK27="";"";'Input Nilai Ketrampilan'!AK27)</v>
      </c>
      <c r="AV23" s="42" t="str">
        <f>$B$23&amp;AV15&amp;"="&amp;$C$23&amp;AV15&amp;")"</f>
        <v>IF('Input Nilai Ketrampilan'!AK28="";"";'Input Nilai Ketrampilan'!AK28)</v>
      </c>
      <c r="AX23" s="42" t="str">
        <f>$B$23&amp;AX15&amp;"="&amp;$C$23&amp;AX15&amp;")"</f>
        <v>IF('Input Nilai Ketrampilan'!AK29="";"";'Input Nilai Ketrampilan'!AK29)</v>
      </c>
      <c r="AZ23" s="42" t="str">
        <f>$B$23&amp;AZ15&amp;"="&amp;$C$23&amp;AZ15&amp;")"</f>
        <v>IF('Input Nilai Ketrampilan'!AK30="";"";'Input Nilai Ketrampilan'!AK30)</v>
      </c>
      <c r="BB23" s="42" t="str">
        <f>$B$23&amp;BB15&amp;"="&amp;$C$23&amp;BB15&amp;")"</f>
        <v>IF('Input Nilai Ketrampilan'!AK31="";"";'Input Nilai Ketrampilan'!AK31)</v>
      </c>
      <c r="BD23" s="42" t="str">
        <f>$B$23&amp;BD15&amp;"="&amp;$C$23&amp;BD15&amp;")"</f>
        <v>IF('Input Nilai Ketrampilan'!AK32="";"";'Input Nilai Ketrampilan'!AK32)</v>
      </c>
      <c r="BF23" s="42" t="str">
        <f>$B$23&amp;BF15&amp;"="&amp;$C$23&amp;BF15&amp;")"</f>
        <v>IF('Input Nilai Ketrampilan'!AK33="";"";'Input Nilai Ketrampilan'!AK33)</v>
      </c>
      <c r="BH23" s="42" t="str">
        <f>$B$23&amp;BH15&amp;"="&amp;$C$23&amp;BH15&amp;")"</f>
        <v>IF('Input Nilai Ketrampilan'!AK34="";"";'Input Nilai Ketrampilan'!AK34)</v>
      </c>
      <c r="BJ23" s="42" t="str">
        <f>$B$23&amp;BJ15&amp;"="&amp;$C$23&amp;BJ15&amp;")"</f>
        <v>IF('Input Nilai Ketrampilan'!AK35="";"";'Input Nilai Ketrampilan'!AK35)</v>
      </c>
      <c r="BL23" s="42" t="str">
        <f>$B$23&amp;BL15&amp;"="&amp;$C$23&amp;BL15&amp;")"</f>
        <v>IF('Input Nilai Ketrampilan'!AK36="";"";'Input Nilai Ketrampilan'!AK36)</v>
      </c>
      <c r="BN23" s="42" t="str">
        <f>$B$23&amp;BN15&amp;"="&amp;$C$23&amp;BN15&amp;")"</f>
        <v>IF('Input Nilai Ketrampilan'!AK37="";"";'Input Nilai Ketrampilan'!AK37)</v>
      </c>
      <c r="BP23" s="42" t="str">
        <f>$B$23&amp;BP15&amp;"="&amp;$C$23&amp;BP15&amp;")"</f>
        <v>IF('Input Nilai Ketrampilan'!AK38="";"";'Input Nilai Ketrampilan'!AK38)</v>
      </c>
      <c r="BR23" s="42" t="str">
        <f>$B$23&amp;BR15&amp;"="&amp;$C$23&amp;BR15&amp;")"</f>
        <v>IF('Input Nilai Ketrampilan'!AK39="";"";'Input Nilai Ketrampilan'!AK39)</v>
      </c>
      <c r="BT23" s="42" t="str">
        <f>$B$23&amp;BT15&amp;"="&amp;$C$23&amp;BT15&amp;")"</f>
        <v>IF('Input Nilai Ketrampilan'!AK40="";"";'Input Nilai Ketrampilan'!AK40)</v>
      </c>
      <c r="BV23" s="42" t="str">
        <f>$B$23&amp;BV15&amp;"="&amp;$C$23&amp;BV15&amp;")"</f>
        <v>IF('Input Nilai Ketrampilan'!AK41="";"";'Input Nilai Ketrampilan'!AK41)</v>
      </c>
      <c r="BX23" s="42" t="str">
        <f>$B$23&amp;BX15&amp;"="&amp;$C$23&amp;BX15&amp;")"</f>
        <v>IF('Input Nilai Ketrampilan'!AK42="";"";'Input Nilai Ketrampilan'!AK42)</v>
      </c>
      <c r="BZ23" s="42" t="str">
        <f>$B$23&amp;BZ15&amp;"="&amp;$C$23&amp;BZ15&amp;")"</f>
        <v>IF('Input Nilai Ketrampilan'!AK43="";"";'Input Nilai Ketrampilan'!AK43)</v>
      </c>
      <c r="CB23" s="42" t="str">
        <f>$B$23&amp;CB15&amp;"="&amp;$C$23&amp;CB15&amp;")"</f>
        <v>IF('Input Nilai Ketrampilan'!AK44="";"";'Input Nilai Ketrampilan'!AK44)</v>
      </c>
      <c r="CD23" s="42" t="str">
        <f>$B$23&amp;CD15&amp;"="&amp;$C$23&amp;CD15&amp;")"</f>
        <v>IF('Input Nilai Ketrampilan'!AK45="";"";'Input Nilai Ketrampilan'!AK45)</v>
      </c>
      <c r="CF23" s="42" t="str">
        <f>$B$23&amp;CF15&amp;"="&amp;$C$23&amp;CF15&amp;")"</f>
        <v>IF('Input Nilai Ketrampilan'!AK46="";"";'Input Nilai Ketrampilan'!AK46)</v>
      </c>
      <c r="CH23" s="42" t="str">
        <f>$B$23&amp;CH15&amp;"="&amp;$C$23&amp;CH15&amp;")"</f>
        <v>IF('Input Nilai Ketrampilan'!AK47="";"";'Input Nilai Ketrampilan'!AK47)</v>
      </c>
      <c r="CJ23" s="42" t="str">
        <f>$B$23&amp;CJ15&amp;"="&amp;$C$23&amp;CJ15&amp;")"</f>
        <v>IF('Input Nilai Ketrampilan'!AK48="";"";'Input Nilai Ketrampilan'!AK48)</v>
      </c>
      <c r="CL23" s="42" t="str">
        <f>$B$23&amp;CL15&amp;"="&amp;$C$23&amp;CL15&amp;")"</f>
        <v>IF('Input Nilai Ketrampilan'!AK49="";"";'Input Nilai Ketrampilan'!AK49)</v>
      </c>
      <c r="CN23" s="42" t="str">
        <f>$B$23&amp;CN15&amp;"="&amp;$C$23&amp;CN15&amp;")"</f>
        <v>IF('Input Nilai Ketrampilan'!AK50="";"";'Input Nilai Ketrampilan'!AK50)</v>
      </c>
      <c r="CP23" s="42" t="str">
        <f>$B$23&amp;CP15&amp;"="&amp;$C$23&amp;CP15&amp;")"</f>
        <v>IF('Input Nilai Ketrampilan'!AK51="";"";'Input Nilai Ketrampilan'!AK51)</v>
      </c>
      <c r="CR23" s="42" t="str">
        <f>$B$23&amp;CR15&amp;"="&amp;$C$23&amp;CR15&amp;")"</f>
        <v>IF('Input Nilai Ketrampilan'!AK52="";"";'Input Nilai Ketrampilan'!AK52)</v>
      </c>
    </row>
    <row r="24" spans="1:96">
      <c r="A24" s="72">
        <v>9</v>
      </c>
      <c r="B24" s="42" t="s">
        <v>417</v>
      </c>
      <c r="C24" s="42" t="s">
        <v>427</v>
      </c>
      <c r="D24" s="42" t="str">
        <f>$B$24&amp;D15&amp;"="&amp;$C$24&amp;D15&amp;")"</f>
        <v>IF('Input Nilai Ketrampilan'!AO6="";"";'Input Nilai Ketrampilan'!AO6)</v>
      </c>
      <c r="F24" s="42" t="str">
        <f>$B$24&amp;F15&amp;"="&amp;$C$24&amp;F15&amp;")"</f>
        <v>IF('Input Nilai Ketrampilan'!AO7="";"";'Input Nilai Ketrampilan'!AO7)</v>
      </c>
      <c r="H24" s="42" t="str">
        <f>$B$24&amp;H15&amp;"="&amp;$C$24&amp;H15&amp;")"</f>
        <v>IF('Input Nilai Ketrampilan'!AO8="";"";'Input Nilai Ketrampilan'!AO8)</v>
      </c>
      <c r="J24" s="42" t="str">
        <f>$B$24&amp;J15&amp;"="&amp;$C$24&amp;J15&amp;")"</f>
        <v>IF('Input Nilai Ketrampilan'!AO9="";"";'Input Nilai Ketrampilan'!AO9)</v>
      </c>
      <c r="L24" s="42" t="str">
        <f>$B$24&amp;L15&amp;"="&amp;$C$24&amp;L15&amp;")"</f>
        <v>IF('Input Nilai Ketrampilan'!AO10="";"";'Input Nilai Ketrampilan'!AO10)</v>
      </c>
      <c r="N24" s="42" t="str">
        <f>$B$24&amp;N15&amp;"="&amp;$C$24&amp;N15&amp;")"</f>
        <v>IF('Input Nilai Ketrampilan'!AO11="";"";'Input Nilai Ketrampilan'!AO11)</v>
      </c>
      <c r="P24" s="42" t="str">
        <f>$B$24&amp;P15&amp;"="&amp;$C$24&amp;P15&amp;")"</f>
        <v>IF('Input Nilai Ketrampilan'!AO12="";"";'Input Nilai Ketrampilan'!AO12)</v>
      </c>
      <c r="R24" s="42" t="str">
        <f>$B$24&amp;R15&amp;"="&amp;$C$24&amp;R15&amp;")"</f>
        <v>IF('Input Nilai Ketrampilan'!AO13="";"";'Input Nilai Ketrampilan'!AO13)</v>
      </c>
      <c r="T24" s="42" t="str">
        <f>$B$24&amp;T15&amp;"="&amp;$C$24&amp;T15&amp;")"</f>
        <v>IF('Input Nilai Ketrampilan'!AO14="";"";'Input Nilai Ketrampilan'!AO14)</v>
      </c>
      <c r="V24" s="42" t="str">
        <f>$B$24&amp;V15&amp;"="&amp;$C$24&amp;V15&amp;")"</f>
        <v>IF('Input Nilai Ketrampilan'!AO15="";"";'Input Nilai Ketrampilan'!AO15)</v>
      </c>
      <c r="X24" s="42" t="str">
        <f>$B$24&amp;X15&amp;"="&amp;$C$24&amp;X15&amp;")"</f>
        <v>IF('Input Nilai Ketrampilan'!AO16="";"";'Input Nilai Ketrampilan'!AO16)</v>
      </c>
      <c r="Z24" s="42" t="str">
        <f>$B$24&amp;Z15&amp;"="&amp;$C$24&amp;Z15&amp;")"</f>
        <v>IF('Input Nilai Ketrampilan'!AO17="";"";'Input Nilai Ketrampilan'!AO17)</v>
      </c>
      <c r="AB24" s="42" t="str">
        <f>$B$24&amp;AB15&amp;"="&amp;$C$24&amp;AB15&amp;")"</f>
        <v>IF('Input Nilai Ketrampilan'!AO18="";"";'Input Nilai Ketrampilan'!AO18)</v>
      </c>
      <c r="AD24" s="42" t="str">
        <f>$B$24&amp;AD15&amp;"="&amp;$C$24&amp;AD15&amp;")"</f>
        <v>IF('Input Nilai Ketrampilan'!AO19="";"";'Input Nilai Ketrampilan'!AO19)</v>
      </c>
      <c r="AF24" s="42" t="str">
        <f>$B$24&amp;AF15&amp;"="&amp;$C$24&amp;AF15&amp;")"</f>
        <v>IF('Input Nilai Ketrampilan'!AO20="";"";'Input Nilai Ketrampilan'!AO20)</v>
      </c>
      <c r="AH24" s="42" t="str">
        <f>$B$24&amp;AH15&amp;"="&amp;$C$24&amp;AH15&amp;")"</f>
        <v>IF('Input Nilai Ketrampilan'!AO21="";"";'Input Nilai Ketrampilan'!AO21)</v>
      </c>
      <c r="AJ24" s="42" t="str">
        <f>$B$24&amp;AJ15&amp;"="&amp;$C$24&amp;AJ15&amp;")"</f>
        <v>IF('Input Nilai Ketrampilan'!AO22="";"";'Input Nilai Ketrampilan'!AO22)</v>
      </c>
      <c r="AL24" s="42" t="str">
        <f>$B$24&amp;AL15&amp;"="&amp;$C$24&amp;AL15&amp;")"</f>
        <v>IF('Input Nilai Ketrampilan'!AO23="";"";'Input Nilai Ketrampilan'!AO23)</v>
      </c>
      <c r="AN24" s="42" t="str">
        <f>$B$24&amp;AN15&amp;"="&amp;$C$24&amp;AN15&amp;")"</f>
        <v>IF('Input Nilai Ketrampilan'!AO24="";"";'Input Nilai Ketrampilan'!AO24)</v>
      </c>
      <c r="AP24" s="42" t="str">
        <f>$B$24&amp;AP15&amp;"="&amp;$C$24&amp;AP15&amp;")"</f>
        <v>IF('Input Nilai Ketrampilan'!AO25="";"";'Input Nilai Ketrampilan'!AO25)</v>
      </c>
      <c r="AR24" s="42" t="str">
        <f>$B$24&amp;AR15&amp;"="&amp;$C$24&amp;AR15&amp;")"</f>
        <v>IF('Input Nilai Ketrampilan'!AO26="";"";'Input Nilai Ketrampilan'!AO26)</v>
      </c>
      <c r="AT24" s="42" t="str">
        <f>$B$24&amp;AT15&amp;"="&amp;$C$24&amp;AT15&amp;")"</f>
        <v>IF('Input Nilai Ketrampilan'!AO27="";"";'Input Nilai Ketrampilan'!AO27)</v>
      </c>
      <c r="AV24" s="42" t="str">
        <f>$B$24&amp;AV15&amp;"="&amp;$C$24&amp;AV15&amp;")"</f>
        <v>IF('Input Nilai Ketrampilan'!AO28="";"";'Input Nilai Ketrampilan'!AO28)</v>
      </c>
      <c r="AX24" s="42" t="str">
        <f>$B$24&amp;AX15&amp;"="&amp;$C$24&amp;AX15&amp;")"</f>
        <v>IF('Input Nilai Ketrampilan'!AO29="";"";'Input Nilai Ketrampilan'!AO29)</v>
      </c>
      <c r="AZ24" s="42" t="str">
        <f>$B$24&amp;AZ15&amp;"="&amp;$C$24&amp;AZ15&amp;")"</f>
        <v>IF('Input Nilai Ketrampilan'!AO30="";"";'Input Nilai Ketrampilan'!AO30)</v>
      </c>
      <c r="BB24" s="42" t="str">
        <f>$B$24&amp;BB15&amp;"="&amp;$C$24&amp;BB15&amp;")"</f>
        <v>IF('Input Nilai Ketrampilan'!AO31="";"";'Input Nilai Ketrampilan'!AO31)</v>
      </c>
      <c r="BD24" s="42" t="str">
        <f>$B$24&amp;BD15&amp;"="&amp;$C$24&amp;BD15&amp;")"</f>
        <v>IF('Input Nilai Ketrampilan'!AO32="";"";'Input Nilai Ketrampilan'!AO32)</v>
      </c>
      <c r="BF24" s="42" t="str">
        <f>$B$24&amp;BF15&amp;"="&amp;$C$24&amp;BF15&amp;")"</f>
        <v>IF('Input Nilai Ketrampilan'!AO33="";"";'Input Nilai Ketrampilan'!AO33)</v>
      </c>
      <c r="BH24" s="42" t="str">
        <f>$B$24&amp;BH15&amp;"="&amp;$C$24&amp;BH15&amp;")"</f>
        <v>IF('Input Nilai Ketrampilan'!AO34="";"";'Input Nilai Ketrampilan'!AO34)</v>
      </c>
      <c r="BJ24" s="42" t="str">
        <f>$B$24&amp;BJ15&amp;"="&amp;$C$24&amp;BJ15&amp;")"</f>
        <v>IF('Input Nilai Ketrampilan'!AO35="";"";'Input Nilai Ketrampilan'!AO35)</v>
      </c>
      <c r="BL24" s="42" t="str">
        <f>$B$24&amp;BL15&amp;"="&amp;$C$24&amp;BL15&amp;")"</f>
        <v>IF('Input Nilai Ketrampilan'!AO36="";"";'Input Nilai Ketrampilan'!AO36)</v>
      </c>
      <c r="BN24" s="42" t="str">
        <f>$B$24&amp;BN15&amp;"="&amp;$C$24&amp;BN15&amp;")"</f>
        <v>IF('Input Nilai Ketrampilan'!AO37="";"";'Input Nilai Ketrampilan'!AO37)</v>
      </c>
      <c r="BP24" s="42" t="str">
        <f>$B$24&amp;BP15&amp;"="&amp;$C$24&amp;BP15&amp;")"</f>
        <v>IF('Input Nilai Ketrampilan'!AO38="";"";'Input Nilai Ketrampilan'!AO38)</v>
      </c>
      <c r="BR24" s="42" t="str">
        <f>$B$24&amp;BR15&amp;"="&amp;$C$24&amp;BR15&amp;")"</f>
        <v>IF('Input Nilai Ketrampilan'!AO39="";"";'Input Nilai Ketrampilan'!AO39)</v>
      </c>
      <c r="BT24" s="42" t="str">
        <f>$B$24&amp;BT15&amp;"="&amp;$C$24&amp;BT15&amp;")"</f>
        <v>IF('Input Nilai Ketrampilan'!AO40="";"";'Input Nilai Ketrampilan'!AO40)</v>
      </c>
      <c r="BV24" s="42" t="str">
        <f>$B$24&amp;BV15&amp;"="&amp;$C$24&amp;BV15&amp;")"</f>
        <v>IF('Input Nilai Ketrampilan'!AO41="";"";'Input Nilai Ketrampilan'!AO41)</v>
      </c>
      <c r="BX24" s="42" t="str">
        <f>$B$24&amp;BX15&amp;"="&amp;$C$24&amp;BX15&amp;")"</f>
        <v>IF('Input Nilai Ketrampilan'!AO42="";"";'Input Nilai Ketrampilan'!AO42)</v>
      </c>
      <c r="BZ24" s="42" t="str">
        <f>$B$24&amp;BZ15&amp;"="&amp;$C$24&amp;BZ15&amp;")"</f>
        <v>IF('Input Nilai Ketrampilan'!AO43="";"";'Input Nilai Ketrampilan'!AO43)</v>
      </c>
      <c r="CB24" s="42" t="str">
        <f>$B$24&amp;CB15&amp;"="&amp;$C$24&amp;CB15&amp;")"</f>
        <v>IF('Input Nilai Ketrampilan'!AO44="";"";'Input Nilai Ketrampilan'!AO44)</v>
      </c>
      <c r="CD24" s="42" t="str">
        <f>$B$24&amp;CD15&amp;"="&amp;$C$24&amp;CD15&amp;")"</f>
        <v>IF('Input Nilai Ketrampilan'!AO45="";"";'Input Nilai Ketrampilan'!AO45)</v>
      </c>
      <c r="CF24" s="42" t="str">
        <f>$B$24&amp;CF15&amp;"="&amp;$C$24&amp;CF15&amp;")"</f>
        <v>IF('Input Nilai Ketrampilan'!AO46="";"";'Input Nilai Ketrampilan'!AO46)</v>
      </c>
      <c r="CH24" s="42" t="str">
        <f>$B$24&amp;CH15&amp;"="&amp;$C$24&amp;CH15&amp;")"</f>
        <v>IF('Input Nilai Ketrampilan'!AO47="";"";'Input Nilai Ketrampilan'!AO47)</v>
      </c>
      <c r="CJ24" s="42" t="str">
        <f>$B$24&amp;CJ15&amp;"="&amp;$C$24&amp;CJ15&amp;")"</f>
        <v>IF('Input Nilai Ketrampilan'!AO48="";"";'Input Nilai Ketrampilan'!AO48)</v>
      </c>
      <c r="CL24" s="42" t="str">
        <f>$B$24&amp;CL15&amp;"="&amp;$C$24&amp;CL15&amp;")"</f>
        <v>IF('Input Nilai Ketrampilan'!AO49="";"";'Input Nilai Ketrampilan'!AO49)</v>
      </c>
      <c r="CN24" s="42" t="str">
        <f>$B$24&amp;CN15&amp;"="&amp;$C$24&amp;CN15&amp;")"</f>
        <v>IF('Input Nilai Ketrampilan'!AO50="";"";'Input Nilai Ketrampilan'!AO50)</v>
      </c>
      <c r="CP24" s="42" t="str">
        <f>$B$24&amp;CP15&amp;"="&amp;$C$24&amp;CP15&amp;")"</f>
        <v>IF('Input Nilai Ketrampilan'!AO51="";"";'Input Nilai Ketrampilan'!AO51)</v>
      </c>
      <c r="CR24" s="42" t="str">
        <f>$B$24&amp;CR15&amp;"="&amp;$C$24&amp;CR15&amp;")"</f>
        <v>IF('Input Nilai Ketrampilan'!AO52="";"";'Input Nilai Ketrampilan'!AO52)</v>
      </c>
    </row>
    <row r="25" spans="1:96">
      <c r="A25" s="72">
        <v>10</v>
      </c>
      <c r="B25" s="42" t="s">
        <v>418</v>
      </c>
      <c r="C25" s="42" t="s">
        <v>428</v>
      </c>
      <c r="D25" s="42" t="str">
        <f>$B$25&amp;D15&amp;"="&amp;$C$25&amp;D15&amp;")"</f>
        <v>IF('Input Nilai Ketrampilan'!AS6="";"";'Input Nilai Ketrampilan'!AS6)</v>
      </c>
      <c r="F25" s="42" t="str">
        <f>$B$25&amp;F15&amp;"="&amp;$C$25&amp;F15&amp;")"</f>
        <v>IF('Input Nilai Ketrampilan'!AS7="";"";'Input Nilai Ketrampilan'!AS7)</v>
      </c>
      <c r="H25" s="42" t="str">
        <f>$B$25&amp;H15&amp;"="&amp;$C$25&amp;H15&amp;")"</f>
        <v>IF('Input Nilai Ketrampilan'!AS8="";"";'Input Nilai Ketrampilan'!AS8)</v>
      </c>
      <c r="J25" s="42" t="str">
        <f>$B$25&amp;J15&amp;"="&amp;$C$25&amp;J15&amp;")"</f>
        <v>IF('Input Nilai Ketrampilan'!AS9="";"";'Input Nilai Ketrampilan'!AS9)</v>
      </c>
      <c r="L25" s="42" t="str">
        <f>$B$25&amp;L15&amp;"="&amp;$C$25&amp;L15&amp;")"</f>
        <v>IF('Input Nilai Ketrampilan'!AS10="";"";'Input Nilai Ketrampilan'!AS10)</v>
      </c>
      <c r="N25" s="42" t="str">
        <f>$B$25&amp;N15&amp;"="&amp;$C$25&amp;N15&amp;")"</f>
        <v>IF('Input Nilai Ketrampilan'!AS11="";"";'Input Nilai Ketrampilan'!AS11)</v>
      </c>
      <c r="P25" s="42" t="str">
        <f>$B$25&amp;P15&amp;"="&amp;$C$25&amp;P15&amp;")"</f>
        <v>IF('Input Nilai Ketrampilan'!AS12="";"";'Input Nilai Ketrampilan'!AS12)</v>
      </c>
      <c r="R25" s="42" t="str">
        <f>$B$25&amp;R15&amp;"="&amp;$C$25&amp;R15&amp;")"</f>
        <v>IF('Input Nilai Ketrampilan'!AS13="";"";'Input Nilai Ketrampilan'!AS13)</v>
      </c>
      <c r="T25" s="42" t="str">
        <f>$B$25&amp;T15&amp;"="&amp;$C$25&amp;T15&amp;")"</f>
        <v>IF('Input Nilai Ketrampilan'!AS14="";"";'Input Nilai Ketrampilan'!AS14)</v>
      </c>
      <c r="V25" s="42" t="str">
        <f>$B$25&amp;V15&amp;"="&amp;$C$25&amp;V15&amp;")"</f>
        <v>IF('Input Nilai Ketrampilan'!AS15="";"";'Input Nilai Ketrampilan'!AS15)</v>
      </c>
      <c r="X25" s="42" t="str">
        <f>$B$25&amp;X15&amp;"="&amp;$C$25&amp;X15&amp;")"</f>
        <v>IF('Input Nilai Ketrampilan'!AS16="";"";'Input Nilai Ketrampilan'!AS16)</v>
      </c>
      <c r="Z25" s="42" t="str">
        <f>$B$25&amp;Z15&amp;"="&amp;$C$25&amp;Z15&amp;")"</f>
        <v>IF('Input Nilai Ketrampilan'!AS17="";"";'Input Nilai Ketrampilan'!AS17)</v>
      </c>
      <c r="AB25" s="42" t="str">
        <f>$B$25&amp;AB15&amp;"="&amp;$C$25&amp;AB15&amp;")"</f>
        <v>IF('Input Nilai Ketrampilan'!AS18="";"";'Input Nilai Ketrampilan'!AS18)</v>
      </c>
      <c r="AD25" s="42" t="str">
        <f>$B$25&amp;AD15&amp;"="&amp;$C$25&amp;AD15&amp;")"</f>
        <v>IF('Input Nilai Ketrampilan'!AS19="";"";'Input Nilai Ketrampilan'!AS19)</v>
      </c>
      <c r="AF25" s="42" t="str">
        <f>$B$25&amp;AF15&amp;"="&amp;$C$25&amp;AF15&amp;")"</f>
        <v>IF('Input Nilai Ketrampilan'!AS20="";"";'Input Nilai Ketrampilan'!AS20)</v>
      </c>
      <c r="AH25" s="42" t="str">
        <f>$B$25&amp;AH15&amp;"="&amp;$C$25&amp;AH15&amp;")"</f>
        <v>IF('Input Nilai Ketrampilan'!AS21="";"";'Input Nilai Ketrampilan'!AS21)</v>
      </c>
      <c r="AJ25" s="42" t="str">
        <f>$B$25&amp;AJ15&amp;"="&amp;$C$25&amp;AJ15&amp;")"</f>
        <v>IF('Input Nilai Ketrampilan'!AS22="";"";'Input Nilai Ketrampilan'!AS22)</v>
      </c>
      <c r="AL25" s="42" t="str">
        <f>$B$25&amp;AL15&amp;"="&amp;$C$25&amp;AL15&amp;")"</f>
        <v>IF('Input Nilai Ketrampilan'!AS23="";"";'Input Nilai Ketrampilan'!AS23)</v>
      </c>
      <c r="AN25" s="42" t="str">
        <f>$B$25&amp;AN15&amp;"="&amp;$C$25&amp;AN15&amp;")"</f>
        <v>IF('Input Nilai Ketrampilan'!AS24="";"";'Input Nilai Ketrampilan'!AS24)</v>
      </c>
      <c r="AP25" s="42" t="str">
        <f>$B$25&amp;AP15&amp;"="&amp;$C$25&amp;AP15&amp;")"</f>
        <v>IF('Input Nilai Ketrampilan'!AS25="";"";'Input Nilai Ketrampilan'!AS25)</v>
      </c>
      <c r="AR25" s="42" t="str">
        <f>$B$25&amp;AR15&amp;"="&amp;$C$25&amp;AR15&amp;")"</f>
        <v>IF('Input Nilai Ketrampilan'!AS26="";"";'Input Nilai Ketrampilan'!AS26)</v>
      </c>
      <c r="AT25" s="42" t="str">
        <f>$B$25&amp;AT15&amp;"="&amp;$C$25&amp;AT15&amp;")"</f>
        <v>IF('Input Nilai Ketrampilan'!AS27="";"";'Input Nilai Ketrampilan'!AS27)</v>
      </c>
      <c r="AV25" s="42" t="str">
        <f>$B$25&amp;AV15&amp;"="&amp;$C$25&amp;AV15&amp;")"</f>
        <v>IF('Input Nilai Ketrampilan'!AS28="";"";'Input Nilai Ketrampilan'!AS28)</v>
      </c>
      <c r="AX25" s="42" t="str">
        <f>$B$25&amp;AX15&amp;"="&amp;$C$25&amp;AX15&amp;")"</f>
        <v>IF('Input Nilai Ketrampilan'!AS29="";"";'Input Nilai Ketrampilan'!AS29)</v>
      </c>
      <c r="AZ25" s="42" t="str">
        <f>$B$25&amp;AZ15&amp;"="&amp;$C$25&amp;AZ15&amp;")"</f>
        <v>IF('Input Nilai Ketrampilan'!AS30="";"";'Input Nilai Ketrampilan'!AS30)</v>
      </c>
      <c r="BB25" s="42" t="str">
        <f>$B$25&amp;BB15&amp;"="&amp;$C$25&amp;BB15&amp;")"</f>
        <v>IF('Input Nilai Ketrampilan'!AS31="";"";'Input Nilai Ketrampilan'!AS31)</v>
      </c>
      <c r="BD25" s="42" t="str">
        <f>$B$25&amp;BD15&amp;"="&amp;$C$25&amp;BD15&amp;")"</f>
        <v>IF('Input Nilai Ketrampilan'!AS32="";"";'Input Nilai Ketrampilan'!AS32)</v>
      </c>
      <c r="BF25" s="42" t="str">
        <f>$B$25&amp;BF15&amp;"="&amp;$C$25&amp;BF15&amp;")"</f>
        <v>IF('Input Nilai Ketrampilan'!AS33="";"";'Input Nilai Ketrampilan'!AS33)</v>
      </c>
      <c r="BH25" s="42" t="str">
        <f>$B$25&amp;BH15&amp;"="&amp;$C$25&amp;BH15&amp;")"</f>
        <v>IF('Input Nilai Ketrampilan'!AS34="";"";'Input Nilai Ketrampilan'!AS34)</v>
      </c>
      <c r="BJ25" s="42" t="str">
        <f>$B$25&amp;BJ15&amp;"="&amp;$C$25&amp;BJ15&amp;")"</f>
        <v>IF('Input Nilai Ketrampilan'!AS35="";"";'Input Nilai Ketrampilan'!AS35)</v>
      </c>
      <c r="BL25" s="42" t="str">
        <f>$B$25&amp;BL15&amp;"="&amp;$C$25&amp;BL15&amp;")"</f>
        <v>IF('Input Nilai Ketrampilan'!AS36="";"";'Input Nilai Ketrampilan'!AS36)</v>
      </c>
      <c r="BN25" s="42" t="str">
        <f>$B$25&amp;BN15&amp;"="&amp;$C$25&amp;BN15&amp;")"</f>
        <v>IF('Input Nilai Ketrampilan'!AS37="";"";'Input Nilai Ketrampilan'!AS37)</v>
      </c>
      <c r="BP25" s="42" t="str">
        <f>$B$25&amp;BP15&amp;"="&amp;$C$25&amp;BP15&amp;")"</f>
        <v>IF('Input Nilai Ketrampilan'!AS38="";"";'Input Nilai Ketrampilan'!AS38)</v>
      </c>
      <c r="BR25" s="42" t="str">
        <f>$B$25&amp;BR15&amp;"="&amp;$C$25&amp;BR15&amp;")"</f>
        <v>IF('Input Nilai Ketrampilan'!AS39="";"";'Input Nilai Ketrampilan'!AS39)</v>
      </c>
      <c r="BT25" s="42" t="str">
        <f>$B$25&amp;BT15&amp;"="&amp;$C$25&amp;BT15&amp;")"</f>
        <v>IF('Input Nilai Ketrampilan'!AS40="";"";'Input Nilai Ketrampilan'!AS40)</v>
      </c>
      <c r="BV25" s="42" t="str">
        <f>$B$25&amp;BV15&amp;"="&amp;$C$25&amp;BV15&amp;")"</f>
        <v>IF('Input Nilai Ketrampilan'!AS41="";"";'Input Nilai Ketrampilan'!AS41)</v>
      </c>
      <c r="BX25" s="42" t="str">
        <f>$B$25&amp;BX15&amp;"="&amp;$C$25&amp;BX15&amp;")"</f>
        <v>IF('Input Nilai Ketrampilan'!AS42="";"";'Input Nilai Ketrampilan'!AS42)</v>
      </c>
      <c r="BZ25" s="42" t="str">
        <f>$B$25&amp;BZ15&amp;"="&amp;$C$25&amp;BZ15&amp;")"</f>
        <v>IF('Input Nilai Ketrampilan'!AS43="";"";'Input Nilai Ketrampilan'!AS43)</v>
      </c>
      <c r="CB25" s="42" t="str">
        <f>$B$25&amp;CB15&amp;"="&amp;$C$25&amp;CB15&amp;")"</f>
        <v>IF('Input Nilai Ketrampilan'!AS44="";"";'Input Nilai Ketrampilan'!AS44)</v>
      </c>
      <c r="CD25" s="42" t="str">
        <f>$B$25&amp;CD15&amp;"="&amp;$C$25&amp;CD15&amp;")"</f>
        <v>IF('Input Nilai Ketrampilan'!AS45="";"";'Input Nilai Ketrampilan'!AS45)</v>
      </c>
      <c r="CF25" s="42" t="str">
        <f>$B$25&amp;CF15&amp;"="&amp;$C$25&amp;CF15&amp;")"</f>
        <v>IF('Input Nilai Ketrampilan'!AS46="";"";'Input Nilai Ketrampilan'!AS46)</v>
      </c>
      <c r="CH25" s="42" t="str">
        <f>$B$25&amp;CH15&amp;"="&amp;$C$25&amp;CH15&amp;")"</f>
        <v>IF('Input Nilai Ketrampilan'!AS47="";"";'Input Nilai Ketrampilan'!AS47)</v>
      </c>
      <c r="CJ25" s="42" t="str">
        <f>$B$25&amp;CJ15&amp;"="&amp;$C$25&amp;CJ15&amp;")"</f>
        <v>IF('Input Nilai Ketrampilan'!AS48="";"";'Input Nilai Ketrampilan'!AS48)</v>
      </c>
      <c r="CL25" s="42" t="str">
        <f>$B$25&amp;CL15&amp;"="&amp;$C$25&amp;CL15&amp;")"</f>
        <v>IF('Input Nilai Ketrampilan'!AS49="";"";'Input Nilai Ketrampilan'!AS49)</v>
      </c>
      <c r="CN25" s="42" t="str">
        <f>$B$25&amp;CN15&amp;"="&amp;$C$25&amp;CN15&amp;")"</f>
        <v>IF('Input Nilai Ketrampilan'!AS50="";"";'Input Nilai Ketrampilan'!AS50)</v>
      </c>
      <c r="CP25" s="42" t="str">
        <f>$B$25&amp;CP15&amp;"="&amp;$C$25&amp;CP15&amp;")"</f>
        <v>IF('Input Nilai Ketrampilan'!AS51="";"";'Input Nilai Ketrampilan'!AS51)</v>
      </c>
      <c r="CR25" s="42" t="str">
        <f>$B$25&amp;CR15&amp;"="&amp;$C$25&amp;CR15&amp;")"</f>
        <v>IF('Input Nilai Ketrampilan'!AS52="";"";'Input Nilai Ketrampilan'!AS52)</v>
      </c>
    </row>
    <row r="27" spans="1:96">
      <c r="D27" s="42" t="s">
        <v>429</v>
      </c>
    </row>
  </sheetData>
  <sheetProtection password="F9D4" sheet="1" objects="1" scenarios="1"/>
  <mergeCells count="48">
    <mergeCell ref="CR1:CS1"/>
    <mergeCell ref="BV1:BW1"/>
    <mergeCell ref="BX1:BY1"/>
    <mergeCell ref="BZ1:CA1"/>
    <mergeCell ref="CB1:CC1"/>
    <mergeCell ref="CD1:CE1"/>
    <mergeCell ref="CF1:CG1"/>
    <mergeCell ref="CH1:CI1"/>
    <mergeCell ref="CJ1:CK1"/>
    <mergeCell ref="CL1:CM1"/>
    <mergeCell ref="CN1:CO1"/>
    <mergeCell ref="CP1:CQ1"/>
    <mergeCell ref="BT1:BU1"/>
    <mergeCell ref="AX1:AY1"/>
    <mergeCell ref="AZ1:BA1"/>
    <mergeCell ref="BB1:BC1"/>
    <mergeCell ref="BD1:BE1"/>
    <mergeCell ref="BF1:BG1"/>
    <mergeCell ref="BH1:BI1"/>
    <mergeCell ref="BJ1:BK1"/>
    <mergeCell ref="BL1:BM1"/>
    <mergeCell ref="BN1:BO1"/>
    <mergeCell ref="BP1:BQ1"/>
    <mergeCell ref="BR1:BS1"/>
    <mergeCell ref="AV1:AW1"/>
    <mergeCell ref="Z1:AA1"/>
    <mergeCell ref="AB1:AC1"/>
    <mergeCell ref="AD1:AE1"/>
    <mergeCell ref="AF1:AG1"/>
    <mergeCell ref="AH1:AI1"/>
    <mergeCell ref="AJ1:AK1"/>
    <mergeCell ref="AL1:AM1"/>
    <mergeCell ref="AN1:AO1"/>
    <mergeCell ref="AP1:AQ1"/>
    <mergeCell ref="AR1:AS1"/>
    <mergeCell ref="AT1:AU1"/>
    <mergeCell ref="X1:Y1"/>
    <mergeCell ref="B1:C1"/>
    <mergeCell ref="D1:E1"/>
    <mergeCell ref="F1:G1"/>
    <mergeCell ref="H1:I1"/>
    <mergeCell ref="J1:K1"/>
    <mergeCell ref="L1:M1"/>
    <mergeCell ref="N1:O1"/>
    <mergeCell ref="P1:Q1"/>
    <mergeCell ref="R1:S1"/>
    <mergeCell ref="T1:U1"/>
    <mergeCell ref="V1:W1"/>
  </mergeCell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9"/>
  <dimension ref="A1:BC52"/>
  <sheetViews>
    <sheetView workbookViewId="0">
      <pane xSplit="4" ySplit="4" topLeftCell="E5" activePane="bottomRight" state="frozen"/>
      <selection pane="topRight" activeCell="E1" sqref="E1"/>
      <selection pane="bottomLeft" activeCell="A5" sqref="A5"/>
      <selection pane="bottomRight" activeCell="G3" sqref="G3"/>
    </sheetView>
  </sheetViews>
  <sheetFormatPr defaultRowHeight="15"/>
  <cols>
    <col min="1" max="1" width="4.85546875" style="85" customWidth="1"/>
    <col min="2" max="2" width="7.140625" style="85" customWidth="1"/>
    <col min="3" max="3" width="32.5703125" style="85" customWidth="1"/>
    <col min="4" max="5" width="5.28515625" style="85" customWidth="1"/>
    <col min="6" max="55" width="5.7109375" style="85" customWidth="1"/>
    <col min="56" max="16384" width="9.140625" style="85"/>
  </cols>
  <sheetData>
    <row r="1" spans="1:55" ht="15" customHeight="1">
      <c r="A1" s="494" t="s">
        <v>15</v>
      </c>
      <c r="B1" s="494" t="s">
        <v>16</v>
      </c>
      <c r="C1" s="497" t="s">
        <v>0</v>
      </c>
      <c r="D1" s="498" t="s">
        <v>1</v>
      </c>
      <c r="E1" s="499" t="s">
        <v>17</v>
      </c>
      <c r="F1" s="498" t="s">
        <v>49</v>
      </c>
      <c r="G1" s="498"/>
      <c r="H1" s="498"/>
      <c r="I1" s="498"/>
      <c r="J1" s="613" t="s">
        <v>43</v>
      </c>
      <c r="K1" s="498" t="s">
        <v>37</v>
      </c>
      <c r="L1" s="498"/>
      <c r="M1" s="498"/>
      <c r="N1" s="498"/>
      <c r="O1" s="613" t="s">
        <v>43</v>
      </c>
      <c r="P1" s="498" t="s">
        <v>37</v>
      </c>
      <c r="Q1" s="498"/>
      <c r="R1" s="498"/>
      <c r="S1" s="498"/>
      <c r="T1" s="613" t="s">
        <v>43</v>
      </c>
      <c r="U1" s="498" t="s">
        <v>37</v>
      </c>
      <c r="V1" s="498"/>
      <c r="W1" s="498"/>
      <c r="X1" s="498"/>
      <c r="Y1" s="613" t="s">
        <v>43</v>
      </c>
      <c r="Z1" s="498" t="s">
        <v>37</v>
      </c>
      <c r="AA1" s="498"/>
      <c r="AB1" s="498"/>
      <c r="AC1" s="498"/>
      <c r="AD1" s="613" t="s">
        <v>43</v>
      </c>
      <c r="AE1" s="498" t="s">
        <v>37</v>
      </c>
      <c r="AF1" s="498"/>
      <c r="AG1" s="498"/>
      <c r="AH1" s="498"/>
      <c r="AI1" s="613" t="s">
        <v>43</v>
      </c>
      <c r="AJ1" s="498" t="s">
        <v>37</v>
      </c>
      <c r="AK1" s="498"/>
      <c r="AL1" s="498"/>
      <c r="AM1" s="498"/>
      <c r="AN1" s="613" t="s">
        <v>43</v>
      </c>
      <c r="AO1" s="498" t="s">
        <v>37</v>
      </c>
      <c r="AP1" s="498"/>
      <c r="AQ1" s="498"/>
      <c r="AR1" s="498"/>
      <c r="AS1" s="613" t="s">
        <v>43</v>
      </c>
      <c r="AT1" s="498" t="s">
        <v>37</v>
      </c>
      <c r="AU1" s="498"/>
      <c r="AV1" s="498"/>
      <c r="AW1" s="498"/>
      <c r="AX1" s="613" t="s">
        <v>43</v>
      </c>
      <c r="AY1" s="498" t="s">
        <v>37</v>
      </c>
      <c r="AZ1" s="498"/>
      <c r="BA1" s="498"/>
      <c r="BB1" s="498"/>
      <c r="BC1" s="613" t="s">
        <v>43</v>
      </c>
    </row>
    <row r="2" spans="1:55" ht="15" customHeight="1">
      <c r="A2" s="495"/>
      <c r="B2" s="495"/>
      <c r="C2" s="497"/>
      <c r="D2" s="498"/>
      <c r="E2" s="500"/>
      <c r="F2" s="498">
        <f>'Input Nilai Ketrampilan'!F2:I2</f>
        <v>41</v>
      </c>
      <c r="G2" s="498"/>
      <c r="H2" s="498"/>
      <c r="I2" s="498"/>
      <c r="J2" s="614"/>
      <c r="K2" s="498">
        <f>'Input Nilai Ketrampilan'!K2</f>
        <v>42</v>
      </c>
      <c r="L2" s="498"/>
      <c r="M2" s="498"/>
      <c r="N2" s="498"/>
      <c r="O2" s="614"/>
      <c r="P2" s="498">
        <f>'Input Nilai Ketrampilan'!P2</f>
        <v>43</v>
      </c>
      <c r="Q2" s="498"/>
      <c r="R2" s="498"/>
      <c r="S2" s="498"/>
      <c r="T2" s="614"/>
      <c r="U2" s="498">
        <f>'Input Nilai Ketrampilan'!U2</f>
        <v>44</v>
      </c>
      <c r="V2" s="498"/>
      <c r="W2" s="498"/>
      <c r="X2" s="498"/>
      <c r="Y2" s="614"/>
      <c r="Z2" s="498">
        <f>'Input Nilai Ketrampilan'!Z2</f>
        <v>45</v>
      </c>
      <c r="AA2" s="498"/>
      <c r="AB2" s="498"/>
      <c r="AC2" s="498"/>
      <c r="AD2" s="614"/>
      <c r="AE2" s="498">
        <f>'Input Nilai Ketrampilan'!AE2</f>
        <v>46</v>
      </c>
      <c r="AF2" s="498"/>
      <c r="AG2" s="498"/>
      <c r="AH2" s="498"/>
      <c r="AI2" s="614"/>
      <c r="AJ2" s="498">
        <f>'Input Nilai Ketrampilan'!AJ2</f>
        <v>47</v>
      </c>
      <c r="AK2" s="498"/>
      <c r="AL2" s="498"/>
      <c r="AM2" s="498"/>
      <c r="AN2" s="614"/>
      <c r="AO2" s="498">
        <f>'Input Nilai Ketrampilan'!AO2</f>
        <v>48</v>
      </c>
      <c r="AP2" s="498"/>
      <c r="AQ2" s="498"/>
      <c r="AR2" s="498"/>
      <c r="AS2" s="614"/>
      <c r="AT2" s="498">
        <f>'Input Nilai Ketrampilan'!AT2</f>
        <v>49</v>
      </c>
      <c r="AU2" s="498"/>
      <c r="AV2" s="498"/>
      <c r="AW2" s="498"/>
      <c r="AX2" s="614"/>
      <c r="AY2" s="498">
        <f>'Input Nilai Ketrampilan'!AY2</f>
        <v>50</v>
      </c>
      <c r="AZ2" s="498"/>
      <c r="BA2" s="498"/>
      <c r="BB2" s="498"/>
      <c r="BC2" s="614"/>
    </row>
    <row r="3" spans="1:55" ht="109.5">
      <c r="A3" s="496"/>
      <c r="B3" s="496"/>
      <c r="C3" s="497"/>
      <c r="D3" s="498"/>
      <c r="E3" s="501"/>
      <c r="F3" s="112" t="s">
        <v>46</v>
      </c>
      <c r="G3" s="113" t="s">
        <v>47</v>
      </c>
      <c r="H3" s="113" t="s">
        <v>48</v>
      </c>
      <c r="I3" s="112" t="s">
        <v>42</v>
      </c>
      <c r="J3" s="615"/>
      <c r="K3" s="112" t="s">
        <v>46</v>
      </c>
      <c r="L3" s="113" t="s">
        <v>47</v>
      </c>
      <c r="M3" s="113" t="s">
        <v>48</v>
      </c>
      <c r="N3" s="112" t="s">
        <v>42</v>
      </c>
      <c r="O3" s="615"/>
      <c r="P3" s="112" t="s">
        <v>46</v>
      </c>
      <c r="Q3" s="113" t="s">
        <v>47</v>
      </c>
      <c r="R3" s="113" t="s">
        <v>48</v>
      </c>
      <c r="S3" s="112" t="s">
        <v>42</v>
      </c>
      <c r="T3" s="615"/>
      <c r="U3" s="112" t="s">
        <v>46</v>
      </c>
      <c r="V3" s="113" t="s">
        <v>47</v>
      </c>
      <c r="W3" s="113" t="s">
        <v>48</v>
      </c>
      <c r="X3" s="112" t="s">
        <v>42</v>
      </c>
      <c r="Y3" s="615"/>
      <c r="Z3" s="112" t="s">
        <v>46</v>
      </c>
      <c r="AA3" s="113" t="s">
        <v>47</v>
      </c>
      <c r="AB3" s="113" t="s">
        <v>48</v>
      </c>
      <c r="AC3" s="112" t="s">
        <v>42</v>
      </c>
      <c r="AD3" s="615"/>
      <c r="AE3" s="112" t="s">
        <v>46</v>
      </c>
      <c r="AF3" s="113" t="s">
        <v>47</v>
      </c>
      <c r="AG3" s="113" t="s">
        <v>48</v>
      </c>
      <c r="AH3" s="112" t="s">
        <v>42</v>
      </c>
      <c r="AI3" s="615"/>
      <c r="AJ3" s="112" t="s">
        <v>46</v>
      </c>
      <c r="AK3" s="113" t="s">
        <v>47</v>
      </c>
      <c r="AL3" s="113" t="s">
        <v>48</v>
      </c>
      <c r="AM3" s="112" t="s">
        <v>42</v>
      </c>
      <c r="AN3" s="615"/>
      <c r="AO3" s="112" t="s">
        <v>46</v>
      </c>
      <c r="AP3" s="113" t="s">
        <v>47</v>
      </c>
      <c r="AQ3" s="113" t="s">
        <v>48</v>
      </c>
      <c r="AR3" s="112" t="s">
        <v>42</v>
      </c>
      <c r="AS3" s="615"/>
      <c r="AT3" s="112" t="s">
        <v>46</v>
      </c>
      <c r="AU3" s="113" t="s">
        <v>47</v>
      </c>
      <c r="AV3" s="113" t="s">
        <v>48</v>
      </c>
      <c r="AW3" s="112" t="s">
        <v>42</v>
      </c>
      <c r="AX3" s="615"/>
      <c r="AY3" s="112" t="s">
        <v>46</v>
      </c>
      <c r="AZ3" s="113" t="s">
        <v>47</v>
      </c>
      <c r="BA3" s="113" t="s">
        <v>48</v>
      </c>
      <c r="BB3" s="112" t="s">
        <v>42</v>
      </c>
      <c r="BC3" s="615"/>
    </row>
    <row r="4" spans="1:55">
      <c r="A4" s="99">
        <v>1</v>
      </c>
      <c r="B4" s="99">
        <v>2</v>
      </c>
      <c r="C4" s="99">
        <v>3</v>
      </c>
      <c r="D4" s="99">
        <v>4</v>
      </c>
      <c r="E4" s="99">
        <v>5</v>
      </c>
      <c r="F4" s="99">
        <v>6</v>
      </c>
      <c r="G4" s="99">
        <v>7</v>
      </c>
      <c r="H4" s="99">
        <v>8</v>
      </c>
      <c r="I4" s="99">
        <v>9</v>
      </c>
      <c r="J4" s="99">
        <v>10</v>
      </c>
      <c r="K4" s="99">
        <v>11</v>
      </c>
      <c r="L4" s="99">
        <v>12</v>
      </c>
      <c r="M4" s="99">
        <v>13</v>
      </c>
      <c r="N4" s="99">
        <v>14</v>
      </c>
      <c r="O4" s="99">
        <v>15</v>
      </c>
      <c r="P4" s="99">
        <v>16</v>
      </c>
      <c r="Q4" s="99">
        <v>17</v>
      </c>
      <c r="R4" s="99">
        <v>18</v>
      </c>
      <c r="S4" s="99">
        <v>19</v>
      </c>
      <c r="T4" s="99">
        <v>20</v>
      </c>
      <c r="U4" s="99">
        <v>21</v>
      </c>
      <c r="V4" s="99">
        <v>22</v>
      </c>
      <c r="W4" s="99">
        <v>23</v>
      </c>
      <c r="X4" s="99">
        <v>24</v>
      </c>
      <c r="Y4" s="99">
        <v>25</v>
      </c>
      <c r="Z4" s="99">
        <v>26</v>
      </c>
      <c r="AA4" s="99">
        <v>27</v>
      </c>
      <c r="AB4" s="99">
        <v>28</v>
      </c>
      <c r="AC4" s="99">
        <v>29</v>
      </c>
      <c r="AD4" s="99">
        <v>30</v>
      </c>
      <c r="AE4" s="99">
        <v>31</v>
      </c>
      <c r="AF4" s="99">
        <v>32</v>
      </c>
      <c r="AG4" s="99">
        <v>33</v>
      </c>
      <c r="AH4" s="99">
        <v>34</v>
      </c>
      <c r="AI4" s="99">
        <v>35</v>
      </c>
      <c r="AJ4" s="99">
        <v>36</v>
      </c>
      <c r="AK4" s="99">
        <v>37</v>
      </c>
      <c r="AL4" s="99">
        <v>38</v>
      </c>
      <c r="AM4" s="99">
        <v>39</v>
      </c>
      <c r="AN4" s="99">
        <v>40</v>
      </c>
      <c r="AO4" s="99">
        <v>41</v>
      </c>
      <c r="AP4" s="99">
        <v>42</v>
      </c>
      <c r="AQ4" s="99">
        <v>43</v>
      </c>
      <c r="AR4" s="99">
        <v>44</v>
      </c>
      <c r="AS4" s="99">
        <v>45</v>
      </c>
      <c r="AT4" s="99">
        <v>46</v>
      </c>
      <c r="AU4" s="99">
        <v>47</v>
      </c>
      <c r="AV4" s="99">
        <v>48</v>
      </c>
      <c r="AW4" s="99">
        <v>49</v>
      </c>
      <c r="AX4" s="99">
        <v>50</v>
      </c>
      <c r="AY4" s="99">
        <v>51</v>
      </c>
      <c r="AZ4" s="99">
        <v>52</v>
      </c>
      <c r="BA4" s="99">
        <v>53</v>
      </c>
      <c r="BB4" s="99">
        <v>54</v>
      </c>
      <c r="BC4" s="99">
        <v>55</v>
      </c>
    </row>
    <row r="5" spans="1:55">
      <c r="A5" s="90">
        <f>'DATA SISWA'!A5</f>
        <v>1</v>
      </c>
      <c r="B5" s="90" t="str">
        <f>'DATA SISWA'!B5</f>
        <v>7643</v>
      </c>
      <c r="C5" s="90" t="str">
        <f>'DATA SISWA'!C5</f>
        <v>ABD MANNAN</v>
      </c>
      <c r="D5" s="90" t="str">
        <f>'DATA SISWA'!D5</f>
        <v>L</v>
      </c>
      <c r="E5" s="90" t="str">
        <f>'DATA SISWA'!E5</f>
        <v>VII-J</v>
      </c>
      <c r="F5" s="40"/>
      <c r="G5" s="40"/>
      <c r="H5" s="40"/>
      <c r="I5" s="90" t="str">
        <f>IF(F5="","",SUM(F5:H5))</f>
        <v/>
      </c>
      <c r="J5" s="90" t="str">
        <f>IF(I5="","",((I5/12)*100))</f>
        <v/>
      </c>
      <c r="K5" s="40"/>
      <c r="L5" s="40"/>
      <c r="M5" s="40"/>
      <c r="N5" s="90" t="str">
        <f>IF(K5="","",SUM(K5:M5))</f>
        <v/>
      </c>
      <c r="O5" s="90" t="str">
        <f>IF(N5="","",((N5/12)*100))</f>
        <v/>
      </c>
      <c r="P5" s="40"/>
      <c r="Q5" s="40"/>
      <c r="R5" s="40"/>
      <c r="S5" s="90" t="str">
        <f>IF(P5="","",SUM(P5:R5))</f>
        <v/>
      </c>
      <c r="T5" s="90" t="str">
        <f>IF(S5="","",((S5/12)*100))</f>
        <v/>
      </c>
      <c r="U5" s="40"/>
      <c r="V5" s="40"/>
      <c r="W5" s="40"/>
      <c r="X5" s="90" t="str">
        <f>IF(U5="","",SUM(U5:W5))</f>
        <v/>
      </c>
      <c r="Y5" s="90" t="str">
        <f>IF(X5="","",((X5/12)*100))</f>
        <v/>
      </c>
      <c r="Z5" s="40"/>
      <c r="AA5" s="40"/>
      <c r="AB5" s="40"/>
      <c r="AC5" s="90" t="str">
        <f>IF(Z5="","",SUM(Z5:AB5))</f>
        <v/>
      </c>
      <c r="AD5" s="90" t="str">
        <f>IF(AC5="","",((AC5/12)*100))</f>
        <v/>
      </c>
      <c r="AE5" s="40"/>
      <c r="AF5" s="40"/>
      <c r="AG5" s="40"/>
      <c r="AH5" s="90" t="str">
        <f>IF(AE5="","",SUM(AE5:AG5))</f>
        <v/>
      </c>
      <c r="AI5" s="90" t="str">
        <f>IF(AH5="","",((AH5/12)*100))</f>
        <v/>
      </c>
      <c r="AJ5" s="40"/>
      <c r="AK5" s="40"/>
      <c r="AL5" s="40"/>
      <c r="AM5" s="90" t="str">
        <f>IF(AJ5="","",SUM(AJ5:AL5))</f>
        <v/>
      </c>
      <c r="AN5" s="90" t="str">
        <f>IF(AM5="","",((AM5/12)*100))</f>
        <v/>
      </c>
      <c r="AO5" s="40"/>
      <c r="AP5" s="40"/>
      <c r="AQ5" s="40"/>
      <c r="AR5" s="90" t="str">
        <f>IF(AO5="","",SUM(AO5:AQ5))</f>
        <v/>
      </c>
      <c r="AS5" s="90" t="str">
        <f>IF(AR5="","",((AR5/12)*100))</f>
        <v/>
      </c>
      <c r="AT5" s="40"/>
      <c r="AU5" s="40"/>
      <c r="AV5" s="40"/>
      <c r="AW5" s="90" t="str">
        <f>IF(AT5="","",SUM(AT5:AV5))</f>
        <v/>
      </c>
      <c r="AX5" s="90" t="str">
        <f>IF(AW5="","",((AW5/12)*100))</f>
        <v/>
      </c>
      <c r="AY5" s="40"/>
      <c r="AZ5" s="40"/>
      <c r="BA5" s="40"/>
      <c r="BB5" s="90" t="str">
        <f>IF(AY5="","",SUM(AY5:BA5))</f>
        <v/>
      </c>
      <c r="BC5" s="90" t="str">
        <f>IF(BB5="","",((BB5/12)*100))</f>
        <v/>
      </c>
    </row>
    <row r="6" spans="1:55">
      <c r="A6" s="90">
        <f>'DATA SISWA'!A6</f>
        <v>2</v>
      </c>
      <c r="B6" s="90">
        <f>'DATA SISWA'!B6</f>
        <v>0</v>
      </c>
      <c r="C6" s="90">
        <f>'DATA SISWA'!C6</f>
        <v>0</v>
      </c>
      <c r="D6" s="90">
        <f>'DATA SISWA'!D6</f>
        <v>0</v>
      </c>
      <c r="E6" s="90" t="str">
        <f>'DATA SISWA'!E6</f>
        <v>VII-J</v>
      </c>
      <c r="F6" s="40"/>
      <c r="G6" s="40"/>
      <c r="H6" s="40"/>
      <c r="I6" s="90" t="str">
        <f t="shared" ref="I6:I44" si="0">IF(F6="","",SUM(F6:H6))</f>
        <v/>
      </c>
      <c r="J6" s="90" t="str">
        <f t="shared" ref="J6:J44" si="1">IF(I6="","",((I6/12)*100))</f>
        <v/>
      </c>
      <c r="K6" s="40"/>
      <c r="L6" s="40"/>
      <c r="M6" s="40"/>
      <c r="N6" s="90" t="str">
        <f t="shared" ref="N6:N44" si="2">IF(K6="","",SUM(K6:M6))</f>
        <v/>
      </c>
      <c r="O6" s="90" t="str">
        <f t="shared" ref="O6:O44" si="3">IF(N6="","",((N6/12)*100))</f>
        <v/>
      </c>
      <c r="P6" s="40"/>
      <c r="Q6" s="40"/>
      <c r="R6" s="40"/>
      <c r="S6" s="90" t="str">
        <f t="shared" ref="S6:S44" si="4">IF(P6="","",SUM(P6:R6))</f>
        <v/>
      </c>
      <c r="T6" s="90" t="str">
        <f t="shared" ref="T6:T44" si="5">IF(S6="","",((S6/12)*100))</f>
        <v/>
      </c>
      <c r="U6" s="40"/>
      <c r="V6" s="40"/>
      <c r="W6" s="40"/>
      <c r="X6" s="90" t="str">
        <f t="shared" ref="X6:X44" si="6">IF(U6="","",SUM(U6:W6))</f>
        <v/>
      </c>
      <c r="Y6" s="90" t="str">
        <f t="shared" ref="Y6:Y44" si="7">IF(X6="","",((X6/12)*100))</f>
        <v/>
      </c>
      <c r="Z6" s="40"/>
      <c r="AA6" s="40"/>
      <c r="AB6" s="40"/>
      <c r="AC6" s="90" t="str">
        <f t="shared" ref="AC6:AC44" si="8">IF(Z6="","",SUM(Z6:AB6))</f>
        <v/>
      </c>
      <c r="AD6" s="90" t="str">
        <f t="shared" ref="AD6:AD44" si="9">IF(AC6="","",((AC6/12)*100))</f>
        <v/>
      </c>
      <c r="AE6" s="40"/>
      <c r="AF6" s="40"/>
      <c r="AG6" s="40"/>
      <c r="AH6" s="90" t="str">
        <f t="shared" ref="AH6:AH44" si="10">IF(AE6="","",SUM(AE6:AG6))</f>
        <v/>
      </c>
      <c r="AI6" s="90" t="str">
        <f t="shared" ref="AI6:AI44" si="11">IF(AH6="","",((AH6/12)*100))</f>
        <v/>
      </c>
      <c r="AJ6" s="40"/>
      <c r="AK6" s="40"/>
      <c r="AL6" s="40"/>
      <c r="AM6" s="90" t="str">
        <f t="shared" ref="AM6:AM44" si="12">IF(AJ6="","",SUM(AJ6:AL6))</f>
        <v/>
      </c>
      <c r="AN6" s="90" t="str">
        <f t="shared" ref="AN6:AN44" si="13">IF(AM6="","",((AM6/12)*4))</f>
        <v/>
      </c>
      <c r="AO6" s="40"/>
      <c r="AP6" s="40"/>
      <c r="AQ6" s="40"/>
      <c r="AR6" s="90" t="str">
        <f t="shared" ref="AR6:AR44" si="14">IF(AO6="","",SUM(AO6:AQ6))</f>
        <v/>
      </c>
      <c r="AS6" s="90" t="str">
        <f t="shared" ref="AS6:AS44" si="15">IF(AR6="","",((AR6/12)*100))</f>
        <v/>
      </c>
      <c r="AT6" s="40"/>
      <c r="AU6" s="40"/>
      <c r="AV6" s="40"/>
      <c r="AW6" s="90" t="str">
        <f t="shared" ref="AW6:AW44" si="16">IF(AT6="","",SUM(AT6:AV6))</f>
        <v/>
      </c>
      <c r="AX6" s="90" t="str">
        <f t="shared" ref="AX6:AX44" si="17">IF(AW6="","",((AW6/12)*100))</f>
        <v/>
      </c>
      <c r="AY6" s="40"/>
      <c r="AZ6" s="40"/>
      <c r="BA6" s="40"/>
      <c r="BB6" s="90" t="str">
        <f t="shared" ref="BB6:BB44" si="18">IF(AY6="","",SUM(AY6:BA6))</f>
        <v/>
      </c>
      <c r="BC6" s="90" t="str">
        <f t="shared" ref="BC6:BC52" si="19">IF(BB6="","",((BB6/12)*100))</f>
        <v/>
      </c>
    </row>
    <row r="7" spans="1:55">
      <c r="A7" s="90">
        <f>'DATA SISWA'!A7</f>
        <v>3</v>
      </c>
      <c r="B7" s="90" t="str">
        <f>'DATA SISWA'!B7</f>
        <v>7645</v>
      </c>
      <c r="C7" s="90" t="str">
        <f>'DATA SISWA'!C7</f>
        <v>ACHMAD ALFARESI</v>
      </c>
      <c r="D7" s="90" t="str">
        <f>'DATA SISWA'!D7</f>
        <v>L</v>
      </c>
      <c r="E7" s="90" t="str">
        <f>'DATA SISWA'!E7</f>
        <v>VII-J</v>
      </c>
      <c r="F7" s="40"/>
      <c r="G7" s="40"/>
      <c r="H7" s="40"/>
      <c r="I7" s="90" t="str">
        <f t="shared" si="0"/>
        <v/>
      </c>
      <c r="J7" s="90" t="str">
        <f t="shared" si="1"/>
        <v/>
      </c>
      <c r="K7" s="40"/>
      <c r="L7" s="40"/>
      <c r="M7" s="40"/>
      <c r="N7" s="90" t="str">
        <f t="shared" si="2"/>
        <v/>
      </c>
      <c r="O7" s="90" t="str">
        <f t="shared" si="3"/>
        <v/>
      </c>
      <c r="P7" s="40"/>
      <c r="Q7" s="40"/>
      <c r="R7" s="40"/>
      <c r="S7" s="90" t="str">
        <f t="shared" si="4"/>
        <v/>
      </c>
      <c r="T7" s="90" t="str">
        <f t="shared" si="5"/>
        <v/>
      </c>
      <c r="U7" s="40"/>
      <c r="V7" s="40"/>
      <c r="W7" s="40"/>
      <c r="X7" s="90" t="str">
        <f t="shared" si="6"/>
        <v/>
      </c>
      <c r="Y7" s="90" t="str">
        <f t="shared" si="7"/>
        <v/>
      </c>
      <c r="Z7" s="40"/>
      <c r="AA7" s="40"/>
      <c r="AB7" s="40"/>
      <c r="AC7" s="90" t="str">
        <f t="shared" si="8"/>
        <v/>
      </c>
      <c r="AD7" s="90" t="str">
        <f t="shared" si="9"/>
        <v/>
      </c>
      <c r="AE7" s="40"/>
      <c r="AF7" s="40"/>
      <c r="AG7" s="40"/>
      <c r="AH7" s="90" t="str">
        <f t="shared" si="10"/>
        <v/>
      </c>
      <c r="AI7" s="90" t="str">
        <f t="shared" si="11"/>
        <v/>
      </c>
      <c r="AJ7" s="40"/>
      <c r="AK7" s="40"/>
      <c r="AL7" s="40"/>
      <c r="AM7" s="90" t="str">
        <f t="shared" si="12"/>
        <v/>
      </c>
      <c r="AN7" s="90" t="str">
        <f t="shared" si="13"/>
        <v/>
      </c>
      <c r="AO7" s="40"/>
      <c r="AP7" s="40"/>
      <c r="AQ7" s="40"/>
      <c r="AR7" s="90" t="str">
        <f t="shared" si="14"/>
        <v/>
      </c>
      <c r="AS7" s="90" t="str">
        <f t="shared" si="15"/>
        <v/>
      </c>
      <c r="AT7" s="40"/>
      <c r="AU7" s="40"/>
      <c r="AV7" s="40"/>
      <c r="AW7" s="90" t="str">
        <f t="shared" si="16"/>
        <v/>
      </c>
      <c r="AX7" s="90" t="str">
        <f t="shared" si="17"/>
        <v/>
      </c>
      <c r="AY7" s="40"/>
      <c r="AZ7" s="40"/>
      <c r="BA7" s="40"/>
      <c r="BB7" s="90" t="str">
        <f t="shared" si="18"/>
        <v/>
      </c>
      <c r="BC7" s="90" t="str">
        <f t="shared" si="19"/>
        <v/>
      </c>
    </row>
    <row r="8" spans="1:55">
      <c r="A8" s="90">
        <f>'DATA SISWA'!A8</f>
        <v>4</v>
      </c>
      <c r="B8" s="90" t="str">
        <f>'DATA SISWA'!B8</f>
        <v>7674</v>
      </c>
      <c r="C8" s="90" t="str">
        <f>'DATA SISWA'!C8</f>
        <v>AGITA ZAHRAH MUFIDAH</v>
      </c>
      <c r="D8" s="90" t="str">
        <f>'DATA SISWA'!D8</f>
        <v>P</v>
      </c>
      <c r="E8" s="90" t="str">
        <f>'DATA SISWA'!E8</f>
        <v>VII-J</v>
      </c>
      <c r="F8" s="40"/>
      <c r="G8" s="40"/>
      <c r="H8" s="40"/>
      <c r="I8" s="90" t="str">
        <f t="shared" si="0"/>
        <v/>
      </c>
      <c r="J8" s="90" t="str">
        <f t="shared" si="1"/>
        <v/>
      </c>
      <c r="K8" s="40"/>
      <c r="L8" s="40"/>
      <c r="M8" s="40"/>
      <c r="N8" s="90" t="str">
        <f t="shared" si="2"/>
        <v/>
      </c>
      <c r="O8" s="90" t="str">
        <f t="shared" si="3"/>
        <v/>
      </c>
      <c r="P8" s="40"/>
      <c r="Q8" s="40"/>
      <c r="R8" s="40"/>
      <c r="S8" s="90" t="str">
        <f t="shared" si="4"/>
        <v/>
      </c>
      <c r="T8" s="90" t="str">
        <f t="shared" si="5"/>
        <v/>
      </c>
      <c r="U8" s="40"/>
      <c r="V8" s="40"/>
      <c r="W8" s="40"/>
      <c r="X8" s="90" t="str">
        <f t="shared" si="6"/>
        <v/>
      </c>
      <c r="Y8" s="90" t="str">
        <f t="shared" si="7"/>
        <v/>
      </c>
      <c r="Z8" s="40"/>
      <c r="AA8" s="40"/>
      <c r="AB8" s="40"/>
      <c r="AC8" s="90" t="str">
        <f t="shared" si="8"/>
        <v/>
      </c>
      <c r="AD8" s="90" t="str">
        <f t="shared" si="9"/>
        <v/>
      </c>
      <c r="AE8" s="40"/>
      <c r="AF8" s="40"/>
      <c r="AG8" s="40"/>
      <c r="AH8" s="90" t="str">
        <f t="shared" si="10"/>
        <v/>
      </c>
      <c r="AI8" s="90" t="str">
        <f t="shared" si="11"/>
        <v/>
      </c>
      <c r="AJ8" s="40"/>
      <c r="AK8" s="40"/>
      <c r="AL8" s="40"/>
      <c r="AM8" s="90" t="str">
        <f t="shared" si="12"/>
        <v/>
      </c>
      <c r="AN8" s="90" t="str">
        <f t="shared" si="13"/>
        <v/>
      </c>
      <c r="AO8" s="40"/>
      <c r="AP8" s="40"/>
      <c r="AQ8" s="40"/>
      <c r="AR8" s="90" t="str">
        <f t="shared" si="14"/>
        <v/>
      </c>
      <c r="AS8" s="90" t="str">
        <f t="shared" si="15"/>
        <v/>
      </c>
      <c r="AT8" s="40"/>
      <c r="AU8" s="40"/>
      <c r="AV8" s="40"/>
      <c r="AW8" s="90" t="str">
        <f t="shared" si="16"/>
        <v/>
      </c>
      <c r="AX8" s="90" t="str">
        <f t="shared" si="17"/>
        <v/>
      </c>
      <c r="AY8" s="40"/>
      <c r="AZ8" s="40"/>
      <c r="BA8" s="40"/>
      <c r="BB8" s="90" t="str">
        <f t="shared" si="18"/>
        <v/>
      </c>
      <c r="BC8" s="90" t="str">
        <f t="shared" si="19"/>
        <v/>
      </c>
    </row>
    <row r="9" spans="1:55">
      <c r="A9" s="90">
        <f>'DATA SISWA'!A9</f>
        <v>5</v>
      </c>
      <c r="B9" s="90" t="str">
        <f>'DATA SISWA'!B9</f>
        <v>7646</v>
      </c>
      <c r="C9" s="90" t="str">
        <f>'DATA SISWA'!C9</f>
        <v>AHMAD HAMBALI</v>
      </c>
      <c r="D9" s="90" t="str">
        <f>'DATA SISWA'!D9</f>
        <v>L</v>
      </c>
      <c r="E9" s="90" t="str">
        <f>'DATA SISWA'!E9</f>
        <v>VII-J</v>
      </c>
      <c r="F9" s="40"/>
      <c r="G9" s="40"/>
      <c r="H9" s="40"/>
      <c r="I9" s="90" t="str">
        <f t="shared" si="0"/>
        <v/>
      </c>
      <c r="J9" s="90" t="str">
        <f t="shared" si="1"/>
        <v/>
      </c>
      <c r="K9" s="40"/>
      <c r="L9" s="40"/>
      <c r="M9" s="40"/>
      <c r="N9" s="90" t="str">
        <f t="shared" si="2"/>
        <v/>
      </c>
      <c r="O9" s="90" t="str">
        <f t="shared" si="3"/>
        <v/>
      </c>
      <c r="P9" s="40"/>
      <c r="Q9" s="40"/>
      <c r="R9" s="40"/>
      <c r="S9" s="90" t="str">
        <f t="shared" si="4"/>
        <v/>
      </c>
      <c r="T9" s="90" t="str">
        <f t="shared" si="5"/>
        <v/>
      </c>
      <c r="U9" s="40"/>
      <c r="V9" s="40"/>
      <c r="W9" s="40"/>
      <c r="X9" s="90" t="str">
        <f t="shared" si="6"/>
        <v/>
      </c>
      <c r="Y9" s="90" t="str">
        <f t="shared" si="7"/>
        <v/>
      </c>
      <c r="Z9" s="40"/>
      <c r="AA9" s="40"/>
      <c r="AB9" s="40"/>
      <c r="AC9" s="90" t="str">
        <f t="shared" si="8"/>
        <v/>
      </c>
      <c r="AD9" s="90" t="str">
        <f t="shared" si="9"/>
        <v/>
      </c>
      <c r="AE9" s="40"/>
      <c r="AF9" s="40"/>
      <c r="AG9" s="40"/>
      <c r="AH9" s="90" t="str">
        <f t="shared" si="10"/>
        <v/>
      </c>
      <c r="AI9" s="90" t="str">
        <f t="shared" si="11"/>
        <v/>
      </c>
      <c r="AJ9" s="40"/>
      <c r="AK9" s="40"/>
      <c r="AL9" s="40"/>
      <c r="AM9" s="90" t="str">
        <f t="shared" si="12"/>
        <v/>
      </c>
      <c r="AN9" s="90" t="str">
        <f t="shared" si="13"/>
        <v/>
      </c>
      <c r="AO9" s="40"/>
      <c r="AP9" s="40"/>
      <c r="AQ9" s="40"/>
      <c r="AR9" s="90" t="str">
        <f t="shared" si="14"/>
        <v/>
      </c>
      <c r="AS9" s="90" t="str">
        <f t="shared" si="15"/>
        <v/>
      </c>
      <c r="AT9" s="40"/>
      <c r="AU9" s="40"/>
      <c r="AV9" s="40"/>
      <c r="AW9" s="90" t="str">
        <f t="shared" si="16"/>
        <v/>
      </c>
      <c r="AX9" s="90" t="str">
        <f t="shared" si="17"/>
        <v/>
      </c>
      <c r="AY9" s="40"/>
      <c r="AZ9" s="40"/>
      <c r="BA9" s="40"/>
      <c r="BB9" s="90" t="str">
        <f t="shared" si="18"/>
        <v/>
      </c>
      <c r="BC9" s="90" t="str">
        <f t="shared" si="19"/>
        <v/>
      </c>
    </row>
    <row r="10" spans="1:55">
      <c r="A10" s="90">
        <f>'DATA SISWA'!A10</f>
        <v>6</v>
      </c>
      <c r="B10" s="90" t="str">
        <f>'DATA SISWA'!B10</f>
        <v>7647</v>
      </c>
      <c r="C10" s="90" t="str">
        <f>'DATA SISWA'!C10</f>
        <v>AHMADI</v>
      </c>
      <c r="D10" s="90" t="str">
        <f>'DATA SISWA'!D10</f>
        <v>L</v>
      </c>
      <c r="E10" s="90" t="str">
        <f>'DATA SISWA'!E10</f>
        <v>VII-J</v>
      </c>
      <c r="F10" s="40"/>
      <c r="G10" s="40"/>
      <c r="H10" s="40"/>
      <c r="I10" s="90" t="str">
        <f t="shared" si="0"/>
        <v/>
      </c>
      <c r="J10" s="90" t="str">
        <f t="shared" si="1"/>
        <v/>
      </c>
      <c r="K10" s="40"/>
      <c r="L10" s="40"/>
      <c r="M10" s="40"/>
      <c r="N10" s="90" t="str">
        <f t="shared" si="2"/>
        <v/>
      </c>
      <c r="O10" s="90" t="str">
        <f t="shared" si="3"/>
        <v/>
      </c>
      <c r="P10" s="40"/>
      <c r="Q10" s="40"/>
      <c r="R10" s="40"/>
      <c r="S10" s="90" t="str">
        <f t="shared" si="4"/>
        <v/>
      </c>
      <c r="T10" s="90" t="str">
        <f t="shared" si="5"/>
        <v/>
      </c>
      <c r="U10" s="40"/>
      <c r="V10" s="40"/>
      <c r="W10" s="40"/>
      <c r="X10" s="90" t="str">
        <f t="shared" si="6"/>
        <v/>
      </c>
      <c r="Y10" s="90" t="str">
        <f t="shared" si="7"/>
        <v/>
      </c>
      <c r="Z10" s="40"/>
      <c r="AA10" s="40"/>
      <c r="AB10" s="40"/>
      <c r="AC10" s="90" t="str">
        <f t="shared" si="8"/>
        <v/>
      </c>
      <c r="AD10" s="90" t="str">
        <f t="shared" si="9"/>
        <v/>
      </c>
      <c r="AE10" s="40"/>
      <c r="AF10" s="40"/>
      <c r="AG10" s="40"/>
      <c r="AH10" s="90" t="str">
        <f t="shared" si="10"/>
        <v/>
      </c>
      <c r="AI10" s="90" t="str">
        <f t="shared" si="11"/>
        <v/>
      </c>
      <c r="AJ10" s="40"/>
      <c r="AK10" s="40"/>
      <c r="AL10" s="40"/>
      <c r="AM10" s="90" t="str">
        <f t="shared" si="12"/>
        <v/>
      </c>
      <c r="AN10" s="90" t="str">
        <f t="shared" si="13"/>
        <v/>
      </c>
      <c r="AO10" s="40"/>
      <c r="AP10" s="40"/>
      <c r="AQ10" s="40"/>
      <c r="AR10" s="90" t="str">
        <f t="shared" si="14"/>
        <v/>
      </c>
      <c r="AS10" s="90" t="str">
        <f t="shared" si="15"/>
        <v/>
      </c>
      <c r="AT10" s="40"/>
      <c r="AU10" s="40"/>
      <c r="AV10" s="40"/>
      <c r="AW10" s="90" t="str">
        <f t="shared" si="16"/>
        <v/>
      </c>
      <c r="AX10" s="90" t="str">
        <f t="shared" si="17"/>
        <v/>
      </c>
      <c r="AY10" s="40"/>
      <c r="AZ10" s="40"/>
      <c r="BA10" s="40"/>
      <c r="BB10" s="90" t="str">
        <f t="shared" si="18"/>
        <v/>
      </c>
      <c r="BC10" s="90" t="str">
        <f t="shared" si="19"/>
        <v/>
      </c>
    </row>
    <row r="11" spans="1:55">
      <c r="A11" s="90">
        <f>'DATA SISWA'!A11</f>
        <v>7</v>
      </c>
      <c r="B11" s="90" t="str">
        <f>'DATA SISWA'!B11</f>
        <v>7648</v>
      </c>
      <c r="C11" s="90" t="str">
        <f>'DATA SISWA'!C11</f>
        <v xml:space="preserve">AINUR ROFIK </v>
      </c>
      <c r="D11" s="90" t="str">
        <f>'DATA SISWA'!D11</f>
        <v>L</v>
      </c>
      <c r="E11" s="90" t="str">
        <f>'DATA SISWA'!E11</f>
        <v>VII-J</v>
      </c>
      <c r="F11" s="40"/>
      <c r="G11" s="40"/>
      <c r="H11" s="40"/>
      <c r="I11" s="90" t="str">
        <f t="shared" si="0"/>
        <v/>
      </c>
      <c r="J11" s="90" t="str">
        <f t="shared" si="1"/>
        <v/>
      </c>
      <c r="K11" s="40"/>
      <c r="L11" s="40"/>
      <c r="M11" s="40"/>
      <c r="N11" s="90" t="str">
        <f t="shared" si="2"/>
        <v/>
      </c>
      <c r="O11" s="90" t="str">
        <f t="shared" si="3"/>
        <v/>
      </c>
      <c r="P11" s="40"/>
      <c r="Q11" s="40"/>
      <c r="R11" s="40"/>
      <c r="S11" s="90" t="str">
        <f t="shared" si="4"/>
        <v/>
      </c>
      <c r="T11" s="90" t="str">
        <f t="shared" si="5"/>
        <v/>
      </c>
      <c r="U11" s="40"/>
      <c r="V11" s="40"/>
      <c r="W11" s="40"/>
      <c r="X11" s="90" t="str">
        <f t="shared" si="6"/>
        <v/>
      </c>
      <c r="Y11" s="90" t="str">
        <f t="shared" si="7"/>
        <v/>
      </c>
      <c r="Z11" s="40"/>
      <c r="AA11" s="40"/>
      <c r="AB11" s="40"/>
      <c r="AC11" s="90" t="str">
        <f t="shared" si="8"/>
        <v/>
      </c>
      <c r="AD11" s="90" t="str">
        <f t="shared" si="9"/>
        <v/>
      </c>
      <c r="AE11" s="40"/>
      <c r="AF11" s="40"/>
      <c r="AG11" s="40"/>
      <c r="AH11" s="90" t="str">
        <f t="shared" si="10"/>
        <v/>
      </c>
      <c r="AI11" s="90" t="str">
        <f t="shared" si="11"/>
        <v/>
      </c>
      <c r="AJ11" s="40"/>
      <c r="AK11" s="40"/>
      <c r="AL11" s="40"/>
      <c r="AM11" s="90" t="str">
        <f t="shared" si="12"/>
        <v/>
      </c>
      <c r="AN11" s="90" t="str">
        <f t="shared" si="13"/>
        <v/>
      </c>
      <c r="AO11" s="40"/>
      <c r="AP11" s="40"/>
      <c r="AQ11" s="40"/>
      <c r="AR11" s="90" t="str">
        <f t="shared" si="14"/>
        <v/>
      </c>
      <c r="AS11" s="90" t="str">
        <f t="shared" si="15"/>
        <v/>
      </c>
      <c r="AT11" s="40"/>
      <c r="AU11" s="40"/>
      <c r="AV11" s="40"/>
      <c r="AW11" s="90" t="str">
        <f t="shared" si="16"/>
        <v/>
      </c>
      <c r="AX11" s="90" t="str">
        <f t="shared" si="17"/>
        <v/>
      </c>
      <c r="AY11" s="40"/>
      <c r="AZ11" s="40"/>
      <c r="BA11" s="40"/>
      <c r="BB11" s="90" t="str">
        <f t="shared" si="18"/>
        <v/>
      </c>
      <c r="BC11" s="90" t="str">
        <f t="shared" si="19"/>
        <v/>
      </c>
    </row>
    <row r="12" spans="1:55">
      <c r="A12" s="90">
        <f>'DATA SISWA'!A12</f>
        <v>8</v>
      </c>
      <c r="B12" s="90" t="str">
        <f>'DATA SISWA'!B12</f>
        <v>7377</v>
      </c>
      <c r="C12" s="90" t="str">
        <f>'DATA SISWA'!C12</f>
        <v>AT-THORIQ BINTANG PRAJA</v>
      </c>
      <c r="D12" s="90" t="str">
        <f>'DATA SISWA'!D12</f>
        <v>L</v>
      </c>
      <c r="E12" s="90" t="str">
        <f>'DATA SISWA'!E12</f>
        <v>VII-J</v>
      </c>
      <c r="F12" s="40"/>
      <c r="G12" s="40"/>
      <c r="H12" s="40"/>
      <c r="I12" s="90" t="str">
        <f t="shared" si="0"/>
        <v/>
      </c>
      <c r="J12" s="90" t="str">
        <f t="shared" si="1"/>
        <v/>
      </c>
      <c r="K12" s="40"/>
      <c r="L12" s="40"/>
      <c r="M12" s="40"/>
      <c r="N12" s="90" t="str">
        <f t="shared" si="2"/>
        <v/>
      </c>
      <c r="O12" s="90" t="str">
        <f t="shared" si="3"/>
        <v/>
      </c>
      <c r="P12" s="40"/>
      <c r="Q12" s="40"/>
      <c r="R12" s="40"/>
      <c r="S12" s="90" t="str">
        <f t="shared" si="4"/>
        <v/>
      </c>
      <c r="T12" s="90" t="str">
        <f t="shared" si="5"/>
        <v/>
      </c>
      <c r="U12" s="40"/>
      <c r="V12" s="40"/>
      <c r="W12" s="40"/>
      <c r="X12" s="90" t="str">
        <f t="shared" si="6"/>
        <v/>
      </c>
      <c r="Y12" s="90" t="str">
        <f t="shared" si="7"/>
        <v/>
      </c>
      <c r="Z12" s="40"/>
      <c r="AA12" s="40"/>
      <c r="AB12" s="40"/>
      <c r="AC12" s="90" t="str">
        <f t="shared" si="8"/>
        <v/>
      </c>
      <c r="AD12" s="90" t="str">
        <f t="shared" si="9"/>
        <v/>
      </c>
      <c r="AE12" s="40"/>
      <c r="AF12" s="40"/>
      <c r="AG12" s="40"/>
      <c r="AH12" s="90" t="str">
        <f t="shared" si="10"/>
        <v/>
      </c>
      <c r="AI12" s="90" t="str">
        <f t="shared" si="11"/>
        <v/>
      </c>
      <c r="AJ12" s="40"/>
      <c r="AK12" s="40"/>
      <c r="AL12" s="40"/>
      <c r="AM12" s="90" t="str">
        <f t="shared" si="12"/>
        <v/>
      </c>
      <c r="AN12" s="90" t="str">
        <f t="shared" si="13"/>
        <v/>
      </c>
      <c r="AO12" s="40"/>
      <c r="AP12" s="40"/>
      <c r="AQ12" s="40"/>
      <c r="AR12" s="90" t="str">
        <f t="shared" si="14"/>
        <v/>
      </c>
      <c r="AS12" s="90" t="str">
        <f t="shared" si="15"/>
        <v/>
      </c>
      <c r="AT12" s="40"/>
      <c r="AU12" s="40"/>
      <c r="AV12" s="40"/>
      <c r="AW12" s="90" t="str">
        <f t="shared" si="16"/>
        <v/>
      </c>
      <c r="AX12" s="90" t="str">
        <f t="shared" si="17"/>
        <v/>
      </c>
      <c r="AY12" s="40"/>
      <c r="AZ12" s="40"/>
      <c r="BA12" s="40"/>
      <c r="BB12" s="90" t="str">
        <f t="shared" si="18"/>
        <v/>
      </c>
      <c r="BC12" s="90" t="str">
        <f t="shared" si="19"/>
        <v/>
      </c>
    </row>
    <row r="13" spans="1:55">
      <c r="A13" s="90">
        <f>'DATA SISWA'!A13</f>
        <v>9</v>
      </c>
      <c r="B13" s="90" t="str">
        <f>'DATA SISWA'!B13</f>
        <v>7649</v>
      </c>
      <c r="C13" s="90" t="str">
        <f>'DATA SISWA'!C13</f>
        <v>DEWI WULANDARI</v>
      </c>
      <c r="D13" s="90" t="str">
        <f>'DATA SISWA'!D13</f>
        <v>P</v>
      </c>
      <c r="E13" s="90" t="str">
        <f>'DATA SISWA'!E13</f>
        <v>VII-J</v>
      </c>
      <c r="F13" s="40"/>
      <c r="G13" s="40"/>
      <c r="H13" s="40"/>
      <c r="I13" s="90" t="str">
        <f t="shared" si="0"/>
        <v/>
      </c>
      <c r="J13" s="90" t="str">
        <f t="shared" si="1"/>
        <v/>
      </c>
      <c r="K13" s="40"/>
      <c r="L13" s="40"/>
      <c r="M13" s="40"/>
      <c r="N13" s="90" t="str">
        <f t="shared" si="2"/>
        <v/>
      </c>
      <c r="O13" s="90" t="str">
        <f t="shared" si="3"/>
        <v/>
      </c>
      <c r="P13" s="40"/>
      <c r="Q13" s="40"/>
      <c r="R13" s="40"/>
      <c r="S13" s="90" t="str">
        <f t="shared" si="4"/>
        <v/>
      </c>
      <c r="T13" s="90" t="str">
        <f t="shared" si="5"/>
        <v/>
      </c>
      <c r="U13" s="40"/>
      <c r="V13" s="40"/>
      <c r="W13" s="40"/>
      <c r="X13" s="90" t="str">
        <f t="shared" si="6"/>
        <v/>
      </c>
      <c r="Y13" s="90" t="str">
        <f t="shared" si="7"/>
        <v/>
      </c>
      <c r="Z13" s="40"/>
      <c r="AA13" s="40"/>
      <c r="AB13" s="40"/>
      <c r="AC13" s="90" t="str">
        <f t="shared" si="8"/>
        <v/>
      </c>
      <c r="AD13" s="90" t="str">
        <f t="shared" si="9"/>
        <v/>
      </c>
      <c r="AE13" s="40"/>
      <c r="AF13" s="40"/>
      <c r="AG13" s="40"/>
      <c r="AH13" s="90" t="str">
        <f t="shared" si="10"/>
        <v/>
      </c>
      <c r="AI13" s="90" t="str">
        <f t="shared" si="11"/>
        <v/>
      </c>
      <c r="AJ13" s="40"/>
      <c r="AK13" s="40"/>
      <c r="AL13" s="40"/>
      <c r="AM13" s="90" t="str">
        <f t="shared" si="12"/>
        <v/>
      </c>
      <c r="AN13" s="90" t="str">
        <f t="shared" si="13"/>
        <v/>
      </c>
      <c r="AO13" s="40"/>
      <c r="AP13" s="40"/>
      <c r="AQ13" s="40"/>
      <c r="AR13" s="90" t="str">
        <f t="shared" si="14"/>
        <v/>
      </c>
      <c r="AS13" s="90" t="str">
        <f t="shared" si="15"/>
        <v/>
      </c>
      <c r="AT13" s="40"/>
      <c r="AU13" s="40"/>
      <c r="AV13" s="40"/>
      <c r="AW13" s="90" t="str">
        <f t="shared" si="16"/>
        <v/>
      </c>
      <c r="AX13" s="90" t="str">
        <f t="shared" si="17"/>
        <v/>
      </c>
      <c r="AY13" s="40"/>
      <c r="AZ13" s="40"/>
      <c r="BA13" s="40"/>
      <c r="BB13" s="90" t="str">
        <f t="shared" si="18"/>
        <v/>
      </c>
      <c r="BC13" s="90" t="str">
        <f t="shared" si="19"/>
        <v/>
      </c>
    </row>
    <row r="14" spans="1:55">
      <c r="A14" s="90">
        <f>'DATA SISWA'!A14</f>
        <v>10</v>
      </c>
      <c r="B14" s="90" t="str">
        <f>'DATA SISWA'!B14</f>
        <v>7650</v>
      </c>
      <c r="C14" s="90" t="str">
        <f>'DATA SISWA'!C14</f>
        <v>ENI UMAMAH</v>
      </c>
      <c r="D14" s="90" t="str">
        <f>'DATA SISWA'!D14</f>
        <v>P</v>
      </c>
      <c r="E14" s="90" t="str">
        <f>'DATA SISWA'!E14</f>
        <v>VII-J</v>
      </c>
      <c r="F14" s="40"/>
      <c r="G14" s="40"/>
      <c r="H14" s="40"/>
      <c r="I14" s="90" t="str">
        <f t="shared" si="0"/>
        <v/>
      </c>
      <c r="J14" s="90" t="str">
        <f t="shared" si="1"/>
        <v/>
      </c>
      <c r="K14" s="40"/>
      <c r="L14" s="40"/>
      <c r="M14" s="40"/>
      <c r="N14" s="90" t="str">
        <f t="shared" si="2"/>
        <v/>
      </c>
      <c r="O14" s="90" t="str">
        <f t="shared" si="3"/>
        <v/>
      </c>
      <c r="P14" s="40"/>
      <c r="Q14" s="40"/>
      <c r="R14" s="40"/>
      <c r="S14" s="90" t="str">
        <f t="shared" si="4"/>
        <v/>
      </c>
      <c r="T14" s="90" t="str">
        <f t="shared" si="5"/>
        <v/>
      </c>
      <c r="U14" s="40"/>
      <c r="V14" s="40"/>
      <c r="W14" s="40"/>
      <c r="X14" s="90" t="str">
        <f t="shared" si="6"/>
        <v/>
      </c>
      <c r="Y14" s="90" t="str">
        <f t="shared" si="7"/>
        <v/>
      </c>
      <c r="Z14" s="40"/>
      <c r="AA14" s="40"/>
      <c r="AB14" s="40"/>
      <c r="AC14" s="90" t="str">
        <f t="shared" si="8"/>
        <v/>
      </c>
      <c r="AD14" s="90" t="str">
        <f t="shared" si="9"/>
        <v/>
      </c>
      <c r="AE14" s="40"/>
      <c r="AF14" s="40"/>
      <c r="AG14" s="40"/>
      <c r="AH14" s="90" t="str">
        <f t="shared" si="10"/>
        <v/>
      </c>
      <c r="AI14" s="90" t="str">
        <f t="shared" si="11"/>
        <v/>
      </c>
      <c r="AJ14" s="40"/>
      <c r="AK14" s="40"/>
      <c r="AL14" s="40"/>
      <c r="AM14" s="90" t="str">
        <f t="shared" si="12"/>
        <v/>
      </c>
      <c r="AN14" s="90" t="str">
        <f t="shared" si="13"/>
        <v/>
      </c>
      <c r="AO14" s="40"/>
      <c r="AP14" s="40"/>
      <c r="AQ14" s="40"/>
      <c r="AR14" s="90" t="str">
        <f t="shared" si="14"/>
        <v/>
      </c>
      <c r="AS14" s="90" t="str">
        <f t="shared" si="15"/>
        <v/>
      </c>
      <c r="AT14" s="40"/>
      <c r="AU14" s="40"/>
      <c r="AV14" s="40"/>
      <c r="AW14" s="90" t="str">
        <f t="shared" si="16"/>
        <v/>
      </c>
      <c r="AX14" s="90" t="str">
        <f t="shared" si="17"/>
        <v/>
      </c>
      <c r="AY14" s="40"/>
      <c r="AZ14" s="40"/>
      <c r="BA14" s="40"/>
      <c r="BB14" s="90" t="str">
        <f t="shared" si="18"/>
        <v/>
      </c>
      <c r="BC14" s="90" t="str">
        <f t="shared" si="19"/>
        <v/>
      </c>
    </row>
    <row r="15" spans="1:55">
      <c r="A15" s="90">
        <f>'DATA SISWA'!A15</f>
        <v>11</v>
      </c>
      <c r="B15" s="90" t="str">
        <f>'DATA SISWA'!B15</f>
        <v>7651</v>
      </c>
      <c r="C15" s="90" t="str">
        <f>'DATA SISWA'!C15</f>
        <v>FADIA FASSA</v>
      </c>
      <c r="D15" s="90" t="str">
        <f>'DATA SISWA'!D15</f>
        <v>P</v>
      </c>
      <c r="E15" s="90" t="str">
        <f>'DATA SISWA'!E15</f>
        <v>VII-J</v>
      </c>
      <c r="F15" s="40"/>
      <c r="G15" s="40"/>
      <c r="H15" s="40"/>
      <c r="I15" s="90" t="str">
        <f t="shared" si="0"/>
        <v/>
      </c>
      <c r="J15" s="90" t="str">
        <f t="shared" si="1"/>
        <v/>
      </c>
      <c r="K15" s="40"/>
      <c r="L15" s="40"/>
      <c r="M15" s="40"/>
      <c r="N15" s="90" t="str">
        <f t="shared" si="2"/>
        <v/>
      </c>
      <c r="O15" s="90" t="str">
        <f t="shared" si="3"/>
        <v/>
      </c>
      <c r="P15" s="40"/>
      <c r="Q15" s="40"/>
      <c r="R15" s="40"/>
      <c r="S15" s="90" t="str">
        <f t="shared" si="4"/>
        <v/>
      </c>
      <c r="T15" s="90" t="str">
        <f t="shared" si="5"/>
        <v/>
      </c>
      <c r="U15" s="40"/>
      <c r="V15" s="40"/>
      <c r="W15" s="40"/>
      <c r="X15" s="90" t="str">
        <f t="shared" si="6"/>
        <v/>
      </c>
      <c r="Y15" s="90" t="str">
        <f t="shared" si="7"/>
        <v/>
      </c>
      <c r="Z15" s="40"/>
      <c r="AA15" s="40"/>
      <c r="AB15" s="40"/>
      <c r="AC15" s="90" t="str">
        <f t="shared" si="8"/>
        <v/>
      </c>
      <c r="AD15" s="90" t="str">
        <f t="shared" si="9"/>
        <v/>
      </c>
      <c r="AE15" s="40"/>
      <c r="AF15" s="40"/>
      <c r="AG15" s="40"/>
      <c r="AH15" s="90" t="str">
        <f t="shared" si="10"/>
        <v/>
      </c>
      <c r="AI15" s="90" t="str">
        <f t="shared" si="11"/>
        <v/>
      </c>
      <c r="AJ15" s="40"/>
      <c r="AK15" s="40"/>
      <c r="AL15" s="40"/>
      <c r="AM15" s="90" t="str">
        <f t="shared" si="12"/>
        <v/>
      </c>
      <c r="AN15" s="90" t="str">
        <f t="shared" si="13"/>
        <v/>
      </c>
      <c r="AO15" s="40"/>
      <c r="AP15" s="40"/>
      <c r="AQ15" s="40"/>
      <c r="AR15" s="90" t="str">
        <f t="shared" si="14"/>
        <v/>
      </c>
      <c r="AS15" s="90" t="str">
        <f t="shared" si="15"/>
        <v/>
      </c>
      <c r="AT15" s="40"/>
      <c r="AU15" s="40"/>
      <c r="AV15" s="40"/>
      <c r="AW15" s="90" t="str">
        <f t="shared" si="16"/>
        <v/>
      </c>
      <c r="AX15" s="90" t="str">
        <f t="shared" si="17"/>
        <v/>
      </c>
      <c r="AY15" s="40"/>
      <c r="AZ15" s="40"/>
      <c r="BA15" s="40"/>
      <c r="BB15" s="90" t="str">
        <f t="shared" si="18"/>
        <v/>
      </c>
      <c r="BC15" s="90" t="str">
        <f t="shared" si="19"/>
        <v/>
      </c>
    </row>
    <row r="16" spans="1:55">
      <c r="A16" s="90">
        <f>'DATA SISWA'!A16</f>
        <v>12</v>
      </c>
      <c r="B16" s="90" t="str">
        <f>'DATA SISWA'!B16</f>
        <v>7652</v>
      </c>
      <c r="C16" s="90" t="str">
        <f>'DATA SISWA'!C16</f>
        <v>FATIMATUZ  ZAHROH</v>
      </c>
      <c r="D16" s="90" t="str">
        <f>'DATA SISWA'!D16</f>
        <v>P</v>
      </c>
      <c r="E16" s="90" t="str">
        <f>'DATA SISWA'!E16</f>
        <v>VII-J</v>
      </c>
      <c r="F16" s="40"/>
      <c r="G16" s="40"/>
      <c r="H16" s="40"/>
      <c r="I16" s="90" t="str">
        <f t="shared" si="0"/>
        <v/>
      </c>
      <c r="J16" s="90" t="str">
        <f t="shared" si="1"/>
        <v/>
      </c>
      <c r="K16" s="40"/>
      <c r="L16" s="40"/>
      <c r="M16" s="40"/>
      <c r="N16" s="90" t="str">
        <f t="shared" si="2"/>
        <v/>
      </c>
      <c r="O16" s="90" t="str">
        <f t="shared" si="3"/>
        <v/>
      </c>
      <c r="P16" s="40"/>
      <c r="Q16" s="40"/>
      <c r="R16" s="40"/>
      <c r="S16" s="90" t="str">
        <f t="shared" si="4"/>
        <v/>
      </c>
      <c r="T16" s="90" t="str">
        <f t="shared" si="5"/>
        <v/>
      </c>
      <c r="U16" s="40"/>
      <c r="V16" s="40"/>
      <c r="W16" s="40"/>
      <c r="X16" s="90" t="str">
        <f t="shared" si="6"/>
        <v/>
      </c>
      <c r="Y16" s="90" t="str">
        <f t="shared" si="7"/>
        <v/>
      </c>
      <c r="Z16" s="40"/>
      <c r="AA16" s="40"/>
      <c r="AB16" s="40"/>
      <c r="AC16" s="90" t="str">
        <f t="shared" si="8"/>
        <v/>
      </c>
      <c r="AD16" s="90" t="str">
        <f t="shared" si="9"/>
        <v/>
      </c>
      <c r="AE16" s="40"/>
      <c r="AF16" s="40"/>
      <c r="AG16" s="40"/>
      <c r="AH16" s="90" t="str">
        <f t="shared" si="10"/>
        <v/>
      </c>
      <c r="AI16" s="90" t="str">
        <f t="shared" si="11"/>
        <v/>
      </c>
      <c r="AJ16" s="40"/>
      <c r="AK16" s="40"/>
      <c r="AL16" s="40"/>
      <c r="AM16" s="90" t="str">
        <f t="shared" si="12"/>
        <v/>
      </c>
      <c r="AN16" s="90" t="str">
        <f t="shared" si="13"/>
        <v/>
      </c>
      <c r="AO16" s="40"/>
      <c r="AP16" s="40"/>
      <c r="AQ16" s="40"/>
      <c r="AR16" s="90" t="str">
        <f t="shared" si="14"/>
        <v/>
      </c>
      <c r="AS16" s="90" t="str">
        <f t="shared" si="15"/>
        <v/>
      </c>
      <c r="AT16" s="40"/>
      <c r="AU16" s="40"/>
      <c r="AV16" s="40"/>
      <c r="AW16" s="90" t="str">
        <f t="shared" si="16"/>
        <v/>
      </c>
      <c r="AX16" s="90" t="str">
        <f t="shared" si="17"/>
        <v/>
      </c>
      <c r="AY16" s="40"/>
      <c r="AZ16" s="40"/>
      <c r="BA16" s="40"/>
      <c r="BB16" s="90" t="str">
        <f t="shared" si="18"/>
        <v/>
      </c>
      <c r="BC16" s="90" t="str">
        <f t="shared" si="19"/>
        <v/>
      </c>
    </row>
    <row r="17" spans="1:55">
      <c r="A17" s="90">
        <f>'DATA SISWA'!A17</f>
        <v>13</v>
      </c>
      <c r="B17" s="90" t="str">
        <f>'DATA SISWA'!B17</f>
        <v>7653</v>
      </c>
      <c r="C17" s="90" t="str">
        <f>'DATA SISWA'!C17</f>
        <v>IMAM FATONI</v>
      </c>
      <c r="D17" s="90" t="str">
        <f>'DATA SISWA'!D17</f>
        <v>L</v>
      </c>
      <c r="E17" s="90" t="str">
        <f>'DATA SISWA'!E17</f>
        <v>VII-J</v>
      </c>
      <c r="F17" s="40"/>
      <c r="G17" s="40"/>
      <c r="H17" s="40"/>
      <c r="I17" s="90" t="str">
        <f t="shared" si="0"/>
        <v/>
      </c>
      <c r="J17" s="90" t="str">
        <f t="shared" si="1"/>
        <v/>
      </c>
      <c r="K17" s="40"/>
      <c r="L17" s="40"/>
      <c r="M17" s="40"/>
      <c r="N17" s="90" t="str">
        <f t="shared" si="2"/>
        <v/>
      </c>
      <c r="O17" s="90" t="str">
        <f t="shared" si="3"/>
        <v/>
      </c>
      <c r="P17" s="40"/>
      <c r="Q17" s="40"/>
      <c r="R17" s="40"/>
      <c r="S17" s="90" t="str">
        <f t="shared" si="4"/>
        <v/>
      </c>
      <c r="T17" s="90" t="str">
        <f t="shared" si="5"/>
        <v/>
      </c>
      <c r="U17" s="40"/>
      <c r="V17" s="40"/>
      <c r="W17" s="40"/>
      <c r="X17" s="90" t="str">
        <f t="shared" si="6"/>
        <v/>
      </c>
      <c r="Y17" s="90" t="str">
        <f t="shared" si="7"/>
        <v/>
      </c>
      <c r="Z17" s="40"/>
      <c r="AA17" s="40"/>
      <c r="AB17" s="40"/>
      <c r="AC17" s="90" t="str">
        <f t="shared" si="8"/>
        <v/>
      </c>
      <c r="AD17" s="90" t="str">
        <f t="shared" si="9"/>
        <v/>
      </c>
      <c r="AE17" s="40"/>
      <c r="AF17" s="40"/>
      <c r="AG17" s="40"/>
      <c r="AH17" s="90" t="str">
        <f t="shared" si="10"/>
        <v/>
      </c>
      <c r="AI17" s="90" t="str">
        <f t="shared" si="11"/>
        <v/>
      </c>
      <c r="AJ17" s="40"/>
      <c r="AK17" s="40"/>
      <c r="AL17" s="40"/>
      <c r="AM17" s="90" t="str">
        <f t="shared" si="12"/>
        <v/>
      </c>
      <c r="AN17" s="90" t="str">
        <f t="shared" si="13"/>
        <v/>
      </c>
      <c r="AO17" s="40"/>
      <c r="AP17" s="40"/>
      <c r="AQ17" s="40"/>
      <c r="AR17" s="90" t="str">
        <f t="shared" si="14"/>
        <v/>
      </c>
      <c r="AS17" s="90" t="str">
        <f t="shared" si="15"/>
        <v/>
      </c>
      <c r="AT17" s="40"/>
      <c r="AU17" s="40"/>
      <c r="AV17" s="40"/>
      <c r="AW17" s="90" t="str">
        <f t="shared" si="16"/>
        <v/>
      </c>
      <c r="AX17" s="90" t="str">
        <f t="shared" si="17"/>
        <v/>
      </c>
      <c r="AY17" s="40"/>
      <c r="AZ17" s="40"/>
      <c r="BA17" s="40"/>
      <c r="BB17" s="90" t="str">
        <f t="shared" si="18"/>
        <v/>
      </c>
      <c r="BC17" s="90" t="str">
        <f t="shared" si="19"/>
        <v/>
      </c>
    </row>
    <row r="18" spans="1:55">
      <c r="A18" s="90">
        <f>'DATA SISWA'!A18</f>
        <v>14</v>
      </c>
      <c r="B18" s="90" t="str">
        <f>'DATA SISWA'!B18</f>
        <v>7654</v>
      </c>
      <c r="C18" s="90" t="str">
        <f>'DATA SISWA'!C18</f>
        <v>ISMA SRI WAHYUNI</v>
      </c>
      <c r="D18" s="90" t="str">
        <f>'DATA SISWA'!D18</f>
        <v>P</v>
      </c>
      <c r="E18" s="90" t="str">
        <f>'DATA SISWA'!E18</f>
        <v>VII-J</v>
      </c>
      <c r="F18" s="40"/>
      <c r="G18" s="40"/>
      <c r="H18" s="40"/>
      <c r="I18" s="90" t="str">
        <f t="shared" si="0"/>
        <v/>
      </c>
      <c r="J18" s="90" t="str">
        <f t="shared" si="1"/>
        <v/>
      </c>
      <c r="K18" s="40"/>
      <c r="L18" s="40"/>
      <c r="M18" s="40"/>
      <c r="N18" s="90" t="str">
        <f t="shared" si="2"/>
        <v/>
      </c>
      <c r="O18" s="90" t="str">
        <f t="shared" si="3"/>
        <v/>
      </c>
      <c r="P18" s="40"/>
      <c r="Q18" s="40"/>
      <c r="R18" s="40"/>
      <c r="S18" s="90" t="str">
        <f t="shared" si="4"/>
        <v/>
      </c>
      <c r="T18" s="90" t="str">
        <f t="shared" si="5"/>
        <v/>
      </c>
      <c r="U18" s="40"/>
      <c r="V18" s="40"/>
      <c r="W18" s="40"/>
      <c r="X18" s="90" t="str">
        <f t="shared" si="6"/>
        <v/>
      </c>
      <c r="Y18" s="90" t="str">
        <f t="shared" si="7"/>
        <v/>
      </c>
      <c r="Z18" s="40"/>
      <c r="AA18" s="40"/>
      <c r="AB18" s="40"/>
      <c r="AC18" s="90" t="str">
        <f t="shared" si="8"/>
        <v/>
      </c>
      <c r="AD18" s="90" t="str">
        <f t="shared" si="9"/>
        <v/>
      </c>
      <c r="AE18" s="40"/>
      <c r="AF18" s="40"/>
      <c r="AG18" s="40"/>
      <c r="AH18" s="90" t="str">
        <f t="shared" si="10"/>
        <v/>
      </c>
      <c r="AI18" s="90" t="str">
        <f t="shared" si="11"/>
        <v/>
      </c>
      <c r="AJ18" s="40"/>
      <c r="AK18" s="40"/>
      <c r="AL18" s="40"/>
      <c r="AM18" s="90" t="str">
        <f t="shared" si="12"/>
        <v/>
      </c>
      <c r="AN18" s="90" t="str">
        <f t="shared" si="13"/>
        <v/>
      </c>
      <c r="AO18" s="40"/>
      <c r="AP18" s="40"/>
      <c r="AQ18" s="40"/>
      <c r="AR18" s="90" t="str">
        <f t="shared" si="14"/>
        <v/>
      </c>
      <c r="AS18" s="90" t="str">
        <f t="shared" si="15"/>
        <v/>
      </c>
      <c r="AT18" s="40"/>
      <c r="AU18" s="40"/>
      <c r="AV18" s="40"/>
      <c r="AW18" s="90" t="str">
        <f t="shared" si="16"/>
        <v/>
      </c>
      <c r="AX18" s="90" t="str">
        <f t="shared" si="17"/>
        <v/>
      </c>
      <c r="AY18" s="40"/>
      <c r="AZ18" s="40"/>
      <c r="BA18" s="40"/>
      <c r="BB18" s="90" t="str">
        <f t="shared" si="18"/>
        <v/>
      </c>
      <c r="BC18" s="90" t="str">
        <f t="shared" si="19"/>
        <v/>
      </c>
    </row>
    <row r="19" spans="1:55">
      <c r="A19" s="90">
        <f>'DATA SISWA'!A19</f>
        <v>15</v>
      </c>
      <c r="B19" s="90" t="str">
        <f>'DATA SISWA'!B19</f>
        <v>7655</v>
      </c>
      <c r="C19" s="90" t="str">
        <f>'DATA SISWA'!C19</f>
        <v>JAKFAR SODIK ROMADHONI</v>
      </c>
      <c r="D19" s="90" t="str">
        <f>'DATA SISWA'!D19</f>
        <v>L</v>
      </c>
      <c r="E19" s="90" t="str">
        <f>'DATA SISWA'!E19</f>
        <v>VII-J</v>
      </c>
      <c r="F19" s="40"/>
      <c r="G19" s="40"/>
      <c r="H19" s="40"/>
      <c r="I19" s="90" t="str">
        <f t="shared" si="0"/>
        <v/>
      </c>
      <c r="J19" s="90" t="str">
        <f t="shared" si="1"/>
        <v/>
      </c>
      <c r="K19" s="40"/>
      <c r="L19" s="40"/>
      <c r="M19" s="40"/>
      <c r="N19" s="90" t="str">
        <f t="shared" si="2"/>
        <v/>
      </c>
      <c r="O19" s="90" t="str">
        <f t="shared" si="3"/>
        <v/>
      </c>
      <c r="P19" s="40"/>
      <c r="Q19" s="40"/>
      <c r="R19" s="40"/>
      <c r="S19" s="90" t="str">
        <f t="shared" si="4"/>
        <v/>
      </c>
      <c r="T19" s="90" t="str">
        <f t="shared" si="5"/>
        <v/>
      </c>
      <c r="U19" s="40"/>
      <c r="V19" s="40"/>
      <c r="W19" s="40"/>
      <c r="X19" s="90" t="str">
        <f t="shared" si="6"/>
        <v/>
      </c>
      <c r="Y19" s="90" t="str">
        <f t="shared" si="7"/>
        <v/>
      </c>
      <c r="Z19" s="40"/>
      <c r="AA19" s="40"/>
      <c r="AB19" s="40"/>
      <c r="AC19" s="90" t="str">
        <f t="shared" si="8"/>
        <v/>
      </c>
      <c r="AD19" s="90" t="str">
        <f t="shared" si="9"/>
        <v/>
      </c>
      <c r="AE19" s="40"/>
      <c r="AF19" s="40"/>
      <c r="AG19" s="40"/>
      <c r="AH19" s="90" t="str">
        <f t="shared" si="10"/>
        <v/>
      </c>
      <c r="AI19" s="90" t="str">
        <f t="shared" si="11"/>
        <v/>
      </c>
      <c r="AJ19" s="40"/>
      <c r="AK19" s="40"/>
      <c r="AL19" s="40"/>
      <c r="AM19" s="90" t="str">
        <f t="shared" si="12"/>
        <v/>
      </c>
      <c r="AN19" s="90" t="str">
        <f t="shared" si="13"/>
        <v/>
      </c>
      <c r="AO19" s="40"/>
      <c r="AP19" s="40"/>
      <c r="AQ19" s="40"/>
      <c r="AR19" s="90" t="str">
        <f t="shared" si="14"/>
        <v/>
      </c>
      <c r="AS19" s="90" t="str">
        <f t="shared" si="15"/>
        <v/>
      </c>
      <c r="AT19" s="40"/>
      <c r="AU19" s="40"/>
      <c r="AV19" s="40"/>
      <c r="AW19" s="90" t="str">
        <f t="shared" si="16"/>
        <v/>
      </c>
      <c r="AX19" s="90" t="str">
        <f t="shared" si="17"/>
        <v/>
      </c>
      <c r="AY19" s="40"/>
      <c r="AZ19" s="40"/>
      <c r="BA19" s="40"/>
      <c r="BB19" s="90" t="str">
        <f t="shared" si="18"/>
        <v/>
      </c>
      <c r="BC19" s="90" t="str">
        <f t="shared" si="19"/>
        <v/>
      </c>
    </row>
    <row r="20" spans="1:55">
      <c r="A20" s="90">
        <f>'DATA SISWA'!A20</f>
        <v>16</v>
      </c>
      <c r="B20" s="90" t="str">
        <f>'DATA SISWA'!B20</f>
        <v>7656</v>
      </c>
      <c r="C20" s="90" t="str">
        <f>'DATA SISWA'!C20</f>
        <v>KHOIRIL NISA'</v>
      </c>
      <c r="D20" s="90" t="str">
        <f>'DATA SISWA'!D20</f>
        <v>P</v>
      </c>
      <c r="E20" s="90" t="str">
        <f>'DATA SISWA'!E20</f>
        <v>VII-J</v>
      </c>
      <c r="F20" s="40"/>
      <c r="G20" s="40"/>
      <c r="H20" s="40"/>
      <c r="I20" s="90" t="str">
        <f t="shared" si="0"/>
        <v/>
      </c>
      <c r="J20" s="90" t="str">
        <f t="shared" si="1"/>
        <v/>
      </c>
      <c r="K20" s="40"/>
      <c r="L20" s="40"/>
      <c r="M20" s="40"/>
      <c r="N20" s="90" t="str">
        <f t="shared" si="2"/>
        <v/>
      </c>
      <c r="O20" s="90" t="str">
        <f t="shared" si="3"/>
        <v/>
      </c>
      <c r="P20" s="40"/>
      <c r="Q20" s="40"/>
      <c r="R20" s="40"/>
      <c r="S20" s="90" t="str">
        <f t="shared" si="4"/>
        <v/>
      </c>
      <c r="T20" s="90" t="str">
        <f t="shared" si="5"/>
        <v/>
      </c>
      <c r="U20" s="40"/>
      <c r="V20" s="40"/>
      <c r="W20" s="40"/>
      <c r="X20" s="90" t="str">
        <f t="shared" si="6"/>
        <v/>
      </c>
      <c r="Y20" s="90" t="str">
        <f t="shared" si="7"/>
        <v/>
      </c>
      <c r="Z20" s="40"/>
      <c r="AA20" s="40"/>
      <c r="AB20" s="40"/>
      <c r="AC20" s="90" t="str">
        <f t="shared" si="8"/>
        <v/>
      </c>
      <c r="AD20" s="90" t="str">
        <f t="shared" si="9"/>
        <v/>
      </c>
      <c r="AE20" s="40"/>
      <c r="AF20" s="40"/>
      <c r="AG20" s="40"/>
      <c r="AH20" s="90" t="str">
        <f t="shared" si="10"/>
        <v/>
      </c>
      <c r="AI20" s="90" t="str">
        <f t="shared" si="11"/>
        <v/>
      </c>
      <c r="AJ20" s="40"/>
      <c r="AK20" s="40"/>
      <c r="AL20" s="40"/>
      <c r="AM20" s="90" t="str">
        <f t="shared" si="12"/>
        <v/>
      </c>
      <c r="AN20" s="90" t="str">
        <f t="shared" si="13"/>
        <v/>
      </c>
      <c r="AO20" s="40"/>
      <c r="AP20" s="40"/>
      <c r="AQ20" s="40"/>
      <c r="AR20" s="90" t="str">
        <f t="shared" si="14"/>
        <v/>
      </c>
      <c r="AS20" s="90" t="str">
        <f t="shared" si="15"/>
        <v/>
      </c>
      <c r="AT20" s="40"/>
      <c r="AU20" s="40"/>
      <c r="AV20" s="40"/>
      <c r="AW20" s="90" t="str">
        <f t="shared" si="16"/>
        <v/>
      </c>
      <c r="AX20" s="90" t="str">
        <f t="shared" si="17"/>
        <v/>
      </c>
      <c r="AY20" s="40"/>
      <c r="AZ20" s="40"/>
      <c r="BA20" s="40"/>
      <c r="BB20" s="90" t="str">
        <f t="shared" si="18"/>
        <v/>
      </c>
      <c r="BC20" s="90" t="str">
        <f t="shared" si="19"/>
        <v/>
      </c>
    </row>
    <row r="21" spans="1:55">
      <c r="A21" s="90">
        <f>'DATA SISWA'!A21</f>
        <v>17</v>
      </c>
      <c r="B21" s="90" t="str">
        <f>'DATA SISWA'!B21</f>
        <v>7657</v>
      </c>
      <c r="C21" s="90" t="str">
        <f>'DATA SISWA'!C21</f>
        <v>LATIFA MAHARANI</v>
      </c>
      <c r="D21" s="90" t="str">
        <f>'DATA SISWA'!D21</f>
        <v>P</v>
      </c>
      <c r="E21" s="90" t="str">
        <f>'DATA SISWA'!E21</f>
        <v>VII-J</v>
      </c>
      <c r="F21" s="40"/>
      <c r="G21" s="40"/>
      <c r="H21" s="40"/>
      <c r="I21" s="90" t="str">
        <f t="shared" si="0"/>
        <v/>
      </c>
      <c r="J21" s="90" t="str">
        <f t="shared" si="1"/>
        <v/>
      </c>
      <c r="K21" s="40"/>
      <c r="L21" s="40"/>
      <c r="M21" s="40"/>
      <c r="N21" s="90" t="str">
        <f t="shared" si="2"/>
        <v/>
      </c>
      <c r="O21" s="90" t="str">
        <f t="shared" si="3"/>
        <v/>
      </c>
      <c r="P21" s="40"/>
      <c r="Q21" s="40"/>
      <c r="R21" s="40"/>
      <c r="S21" s="90" t="str">
        <f t="shared" si="4"/>
        <v/>
      </c>
      <c r="T21" s="90" t="str">
        <f t="shared" si="5"/>
        <v/>
      </c>
      <c r="U21" s="40"/>
      <c r="V21" s="40"/>
      <c r="W21" s="40"/>
      <c r="X21" s="90" t="str">
        <f t="shared" si="6"/>
        <v/>
      </c>
      <c r="Y21" s="90" t="str">
        <f t="shared" si="7"/>
        <v/>
      </c>
      <c r="Z21" s="40"/>
      <c r="AA21" s="40"/>
      <c r="AB21" s="40"/>
      <c r="AC21" s="90" t="str">
        <f t="shared" si="8"/>
        <v/>
      </c>
      <c r="AD21" s="90" t="str">
        <f t="shared" si="9"/>
        <v/>
      </c>
      <c r="AE21" s="40"/>
      <c r="AF21" s="40"/>
      <c r="AG21" s="40"/>
      <c r="AH21" s="90" t="str">
        <f t="shared" si="10"/>
        <v/>
      </c>
      <c r="AI21" s="90" t="str">
        <f t="shared" si="11"/>
        <v/>
      </c>
      <c r="AJ21" s="40"/>
      <c r="AK21" s="40"/>
      <c r="AL21" s="40"/>
      <c r="AM21" s="90" t="str">
        <f t="shared" si="12"/>
        <v/>
      </c>
      <c r="AN21" s="90" t="str">
        <f t="shared" si="13"/>
        <v/>
      </c>
      <c r="AO21" s="40"/>
      <c r="AP21" s="40"/>
      <c r="AQ21" s="40"/>
      <c r="AR21" s="90" t="str">
        <f t="shared" si="14"/>
        <v/>
      </c>
      <c r="AS21" s="90" t="str">
        <f t="shared" si="15"/>
        <v/>
      </c>
      <c r="AT21" s="40"/>
      <c r="AU21" s="40"/>
      <c r="AV21" s="40"/>
      <c r="AW21" s="90" t="str">
        <f t="shared" si="16"/>
        <v/>
      </c>
      <c r="AX21" s="90" t="str">
        <f t="shared" si="17"/>
        <v/>
      </c>
      <c r="AY21" s="40"/>
      <c r="AZ21" s="40"/>
      <c r="BA21" s="40"/>
      <c r="BB21" s="90" t="str">
        <f t="shared" si="18"/>
        <v/>
      </c>
      <c r="BC21" s="90" t="str">
        <f t="shared" si="19"/>
        <v/>
      </c>
    </row>
    <row r="22" spans="1:55">
      <c r="A22" s="90">
        <f>'DATA SISWA'!A22</f>
        <v>18</v>
      </c>
      <c r="B22" s="90" t="str">
        <f>'DATA SISWA'!B22</f>
        <v>7658</v>
      </c>
      <c r="C22" s="90" t="str">
        <f>'DATA SISWA'!C22</f>
        <v>LUQMANUL FIKRI SYAIFULLAH</v>
      </c>
      <c r="D22" s="90" t="str">
        <f>'DATA SISWA'!D22</f>
        <v>L</v>
      </c>
      <c r="E22" s="90" t="str">
        <f>'DATA SISWA'!E22</f>
        <v>VII-J</v>
      </c>
      <c r="F22" s="40"/>
      <c r="G22" s="40"/>
      <c r="H22" s="40"/>
      <c r="I22" s="90" t="str">
        <f t="shared" si="0"/>
        <v/>
      </c>
      <c r="J22" s="90" t="str">
        <f t="shared" si="1"/>
        <v/>
      </c>
      <c r="K22" s="40"/>
      <c r="L22" s="40"/>
      <c r="M22" s="40"/>
      <c r="N22" s="90" t="str">
        <f t="shared" si="2"/>
        <v/>
      </c>
      <c r="O22" s="90" t="str">
        <f t="shared" si="3"/>
        <v/>
      </c>
      <c r="P22" s="40"/>
      <c r="Q22" s="40"/>
      <c r="R22" s="40"/>
      <c r="S22" s="90" t="str">
        <f t="shared" si="4"/>
        <v/>
      </c>
      <c r="T22" s="90" t="str">
        <f t="shared" si="5"/>
        <v/>
      </c>
      <c r="U22" s="40"/>
      <c r="V22" s="40"/>
      <c r="W22" s="40"/>
      <c r="X22" s="90" t="str">
        <f t="shared" si="6"/>
        <v/>
      </c>
      <c r="Y22" s="90" t="str">
        <f t="shared" si="7"/>
        <v/>
      </c>
      <c r="Z22" s="40"/>
      <c r="AA22" s="40"/>
      <c r="AB22" s="40"/>
      <c r="AC22" s="90" t="str">
        <f t="shared" si="8"/>
        <v/>
      </c>
      <c r="AD22" s="90" t="str">
        <f t="shared" si="9"/>
        <v/>
      </c>
      <c r="AE22" s="40"/>
      <c r="AF22" s="40"/>
      <c r="AG22" s="40"/>
      <c r="AH22" s="90" t="str">
        <f t="shared" si="10"/>
        <v/>
      </c>
      <c r="AI22" s="90" t="str">
        <f t="shared" si="11"/>
        <v/>
      </c>
      <c r="AJ22" s="40"/>
      <c r="AK22" s="40"/>
      <c r="AL22" s="40"/>
      <c r="AM22" s="90" t="str">
        <f t="shared" si="12"/>
        <v/>
      </c>
      <c r="AN22" s="90" t="str">
        <f t="shared" si="13"/>
        <v/>
      </c>
      <c r="AO22" s="40"/>
      <c r="AP22" s="40"/>
      <c r="AQ22" s="40"/>
      <c r="AR22" s="90" t="str">
        <f t="shared" si="14"/>
        <v/>
      </c>
      <c r="AS22" s="90" t="str">
        <f t="shared" si="15"/>
        <v/>
      </c>
      <c r="AT22" s="40"/>
      <c r="AU22" s="40"/>
      <c r="AV22" s="40"/>
      <c r="AW22" s="90" t="str">
        <f t="shared" si="16"/>
        <v/>
      </c>
      <c r="AX22" s="90" t="str">
        <f t="shared" si="17"/>
        <v/>
      </c>
      <c r="AY22" s="40"/>
      <c r="AZ22" s="40"/>
      <c r="BA22" s="40"/>
      <c r="BB22" s="90" t="str">
        <f t="shared" si="18"/>
        <v/>
      </c>
      <c r="BC22" s="90" t="str">
        <f t="shared" si="19"/>
        <v/>
      </c>
    </row>
    <row r="23" spans="1:55">
      <c r="A23" s="90">
        <f>'DATA SISWA'!A23</f>
        <v>19</v>
      </c>
      <c r="B23" s="90" t="str">
        <f>'DATA SISWA'!B23</f>
        <v>7659</v>
      </c>
      <c r="C23" s="90" t="str">
        <f>'DATA SISWA'!C23</f>
        <v>MAR'ATUS SOLEHAH</v>
      </c>
      <c r="D23" s="90" t="str">
        <f>'DATA SISWA'!D23</f>
        <v>P</v>
      </c>
      <c r="E23" s="90" t="str">
        <f>'DATA SISWA'!E23</f>
        <v>VII-J</v>
      </c>
      <c r="F23" s="40"/>
      <c r="G23" s="40"/>
      <c r="H23" s="40"/>
      <c r="I23" s="90" t="str">
        <f t="shared" si="0"/>
        <v/>
      </c>
      <c r="J23" s="90" t="str">
        <f t="shared" si="1"/>
        <v/>
      </c>
      <c r="K23" s="40"/>
      <c r="L23" s="40"/>
      <c r="M23" s="40"/>
      <c r="N23" s="90" t="str">
        <f t="shared" si="2"/>
        <v/>
      </c>
      <c r="O23" s="90" t="str">
        <f t="shared" si="3"/>
        <v/>
      </c>
      <c r="P23" s="40"/>
      <c r="Q23" s="40"/>
      <c r="R23" s="40"/>
      <c r="S23" s="90" t="str">
        <f t="shared" si="4"/>
        <v/>
      </c>
      <c r="T23" s="90" t="str">
        <f t="shared" si="5"/>
        <v/>
      </c>
      <c r="U23" s="40"/>
      <c r="V23" s="40"/>
      <c r="W23" s="40"/>
      <c r="X23" s="90" t="str">
        <f t="shared" si="6"/>
        <v/>
      </c>
      <c r="Y23" s="90" t="str">
        <f t="shared" si="7"/>
        <v/>
      </c>
      <c r="Z23" s="40"/>
      <c r="AA23" s="40"/>
      <c r="AB23" s="40"/>
      <c r="AC23" s="90" t="str">
        <f t="shared" si="8"/>
        <v/>
      </c>
      <c r="AD23" s="90" t="str">
        <f t="shared" si="9"/>
        <v/>
      </c>
      <c r="AE23" s="40"/>
      <c r="AF23" s="40"/>
      <c r="AG23" s="40"/>
      <c r="AH23" s="90" t="str">
        <f t="shared" si="10"/>
        <v/>
      </c>
      <c r="AI23" s="90" t="str">
        <f t="shared" si="11"/>
        <v/>
      </c>
      <c r="AJ23" s="40"/>
      <c r="AK23" s="40"/>
      <c r="AL23" s="40"/>
      <c r="AM23" s="90" t="str">
        <f t="shared" si="12"/>
        <v/>
      </c>
      <c r="AN23" s="90" t="str">
        <f t="shared" si="13"/>
        <v/>
      </c>
      <c r="AO23" s="40"/>
      <c r="AP23" s="40"/>
      <c r="AQ23" s="40"/>
      <c r="AR23" s="90" t="str">
        <f t="shared" si="14"/>
        <v/>
      </c>
      <c r="AS23" s="90" t="str">
        <f t="shared" si="15"/>
        <v/>
      </c>
      <c r="AT23" s="40"/>
      <c r="AU23" s="40"/>
      <c r="AV23" s="40"/>
      <c r="AW23" s="90" t="str">
        <f t="shared" si="16"/>
        <v/>
      </c>
      <c r="AX23" s="90" t="str">
        <f t="shared" si="17"/>
        <v/>
      </c>
      <c r="AY23" s="40"/>
      <c r="AZ23" s="40"/>
      <c r="BA23" s="40"/>
      <c r="BB23" s="90" t="str">
        <f t="shared" si="18"/>
        <v/>
      </c>
      <c r="BC23" s="90" t="str">
        <f t="shared" si="19"/>
        <v/>
      </c>
    </row>
    <row r="24" spans="1:55">
      <c r="A24" s="90">
        <f>'DATA SISWA'!A24</f>
        <v>20</v>
      </c>
      <c r="B24" s="90" t="str">
        <f>'DATA SISWA'!B24</f>
        <v>7660</v>
      </c>
      <c r="C24" s="90" t="str">
        <f>'DATA SISWA'!C24</f>
        <v>MOCH.  SHOLEH W. H</v>
      </c>
      <c r="D24" s="90" t="str">
        <f>'DATA SISWA'!D24</f>
        <v>L</v>
      </c>
      <c r="E24" s="90" t="str">
        <f>'DATA SISWA'!E24</f>
        <v>VII-J</v>
      </c>
      <c r="F24" s="40"/>
      <c r="G24" s="40"/>
      <c r="H24" s="40"/>
      <c r="I24" s="90" t="str">
        <f t="shared" si="0"/>
        <v/>
      </c>
      <c r="J24" s="90" t="str">
        <f t="shared" si="1"/>
        <v/>
      </c>
      <c r="K24" s="40"/>
      <c r="L24" s="40"/>
      <c r="M24" s="40"/>
      <c r="N24" s="90" t="str">
        <f t="shared" si="2"/>
        <v/>
      </c>
      <c r="O24" s="90" t="str">
        <f t="shared" si="3"/>
        <v/>
      </c>
      <c r="P24" s="40"/>
      <c r="Q24" s="40"/>
      <c r="R24" s="40"/>
      <c r="S24" s="90" t="str">
        <f t="shared" si="4"/>
        <v/>
      </c>
      <c r="T24" s="90" t="str">
        <f t="shared" si="5"/>
        <v/>
      </c>
      <c r="U24" s="40"/>
      <c r="V24" s="40"/>
      <c r="W24" s="40"/>
      <c r="X24" s="90" t="str">
        <f t="shared" si="6"/>
        <v/>
      </c>
      <c r="Y24" s="90" t="str">
        <f t="shared" si="7"/>
        <v/>
      </c>
      <c r="Z24" s="40"/>
      <c r="AA24" s="40"/>
      <c r="AB24" s="40"/>
      <c r="AC24" s="90" t="str">
        <f t="shared" si="8"/>
        <v/>
      </c>
      <c r="AD24" s="90" t="str">
        <f t="shared" si="9"/>
        <v/>
      </c>
      <c r="AE24" s="40"/>
      <c r="AF24" s="40"/>
      <c r="AG24" s="40"/>
      <c r="AH24" s="90" t="str">
        <f t="shared" si="10"/>
        <v/>
      </c>
      <c r="AI24" s="90" t="str">
        <f t="shared" si="11"/>
        <v/>
      </c>
      <c r="AJ24" s="40"/>
      <c r="AK24" s="40"/>
      <c r="AL24" s="40"/>
      <c r="AM24" s="90" t="str">
        <f t="shared" si="12"/>
        <v/>
      </c>
      <c r="AN24" s="90" t="str">
        <f t="shared" si="13"/>
        <v/>
      </c>
      <c r="AO24" s="40"/>
      <c r="AP24" s="40"/>
      <c r="AQ24" s="40"/>
      <c r="AR24" s="90" t="str">
        <f t="shared" si="14"/>
        <v/>
      </c>
      <c r="AS24" s="90" t="str">
        <f t="shared" si="15"/>
        <v/>
      </c>
      <c r="AT24" s="40"/>
      <c r="AU24" s="40"/>
      <c r="AV24" s="40"/>
      <c r="AW24" s="90" t="str">
        <f t="shared" si="16"/>
        <v/>
      </c>
      <c r="AX24" s="90" t="str">
        <f t="shared" si="17"/>
        <v/>
      </c>
      <c r="AY24" s="40"/>
      <c r="AZ24" s="40"/>
      <c r="BA24" s="40"/>
      <c r="BB24" s="90" t="str">
        <f t="shared" si="18"/>
        <v/>
      </c>
      <c r="BC24" s="90" t="str">
        <f t="shared" si="19"/>
        <v/>
      </c>
    </row>
    <row r="25" spans="1:55">
      <c r="A25" s="90">
        <f>'DATA SISWA'!A25</f>
        <v>21</v>
      </c>
      <c r="B25" s="90" t="str">
        <f>'DATA SISWA'!B25</f>
        <v>7661</v>
      </c>
      <c r="C25" s="90" t="str">
        <f>'DATA SISWA'!C25</f>
        <v>MOCH. FAWES</v>
      </c>
      <c r="D25" s="90" t="str">
        <f>'DATA SISWA'!D25</f>
        <v>L</v>
      </c>
      <c r="E25" s="90" t="str">
        <f>'DATA SISWA'!E25</f>
        <v>VII-J</v>
      </c>
      <c r="F25" s="40"/>
      <c r="G25" s="40"/>
      <c r="H25" s="40"/>
      <c r="I25" s="90" t="str">
        <f t="shared" si="0"/>
        <v/>
      </c>
      <c r="J25" s="90" t="str">
        <f t="shared" si="1"/>
        <v/>
      </c>
      <c r="K25" s="40"/>
      <c r="L25" s="40"/>
      <c r="M25" s="40"/>
      <c r="N25" s="90" t="str">
        <f t="shared" si="2"/>
        <v/>
      </c>
      <c r="O25" s="90" t="str">
        <f t="shared" si="3"/>
        <v/>
      </c>
      <c r="P25" s="40"/>
      <c r="Q25" s="40"/>
      <c r="R25" s="40"/>
      <c r="S25" s="90" t="str">
        <f t="shared" si="4"/>
        <v/>
      </c>
      <c r="T25" s="90" t="str">
        <f t="shared" si="5"/>
        <v/>
      </c>
      <c r="U25" s="40"/>
      <c r="V25" s="40"/>
      <c r="W25" s="40"/>
      <c r="X25" s="90" t="str">
        <f t="shared" si="6"/>
        <v/>
      </c>
      <c r="Y25" s="90" t="str">
        <f t="shared" si="7"/>
        <v/>
      </c>
      <c r="Z25" s="40"/>
      <c r="AA25" s="40"/>
      <c r="AB25" s="40"/>
      <c r="AC25" s="90" t="str">
        <f t="shared" si="8"/>
        <v/>
      </c>
      <c r="AD25" s="90" t="str">
        <f t="shared" si="9"/>
        <v/>
      </c>
      <c r="AE25" s="40"/>
      <c r="AF25" s="40"/>
      <c r="AG25" s="40"/>
      <c r="AH25" s="90" t="str">
        <f t="shared" si="10"/>
        <v/>
      </c>
      <c r="AI25" s="90" t="str">
        <f t="shared" si="11"/>
        <v/>
      </c>
      <c r="AJ25" s="40"/>
      <c r="AK25" s="40"/>
      <c r="AL25" s="40"/>
      <c r="AM25" s="90" t="str">
        <f t="shared" si="12"/>
        <v/>
      </c>
      <c r="AN25" s="90" t="str">
        <f t="shared" si="13"/>
        <v/>
      </c>
      <c r="AO25" s="40"/>
      <c r="AP25" s="40"/>
      <c r="AQ25" s="40"/>
      <c r="AR25" s="90" t="str">
        <f t="shared" si="14"/>
        <v/>
      </c>
      <c r="AS25" s="90" t="str">
        <f t="shared" si="15"/>
        <v/>
      </c>
      <c r="AT25" s="40"/>
      <c r="AU25" s="40"/>
      <c r="AV25" s="40"/>
      <c r="AW25" s="90" t="str">
        <f t="shared" si="16"/>
        <v/>
      </c>
      <c r="AX25" s="90" t="str">
        <f t="shared" si="17"/>
        <v/>
      </c>
      <c r="AY25" s="40"/>
      <c r="AZ25" s="40"/>
      <c r="BA25" s="40"/>
      <c r="BB25" s="90" t="str">
        <f t="shared" si="18"/>
        <v/>
      </c>
      <c r="BC25" s="90" t="str">
        <f t="shared" si="19"/>
        <v/>
      </c>
    </row>
    <row r="26" spans="1:55">
      <c r="A26" s="90">
        <f>'DATA SISWA'!A26</f>
        <v>22</v>
      </c>
      <c r="B26" s="90" t="str">
        <f>'DATA SISWA'!B26</f>
        <v>7662</v>
      </c>
      <c r="C26" s="90" t="str">
        <f>'DATA SISWA'!C26</f>
        <v>MOH SAHRUL RAMADON</v>
      </c>
      <c r="D26" s="90" t="str">
        <f>'DATA SISWA'!D26</f>
        <v>L</v>
      </c>
      <c r="E26" s="90" t="str">
        <f>'DATA SISWA'!E26</f>
        <v>VII-J</v>
      </c>
      <c r="F26" s="40"/>
      <c r="G26" s="40"/>
      <c r="H26" s="40"/>
      <c r="I26" s="90" t="str">
        <f t="shared" si="0"/>
        <v/>
      </c>
      <c r="J26" s="90" t="str">
        <f t="shared" si="1"/>
        <v/>
      </c>
      <c r="K26" s="40"/>
      <c r="L26" s="40"/>
      <c r="M26" s="40"/>
      <c r="N26" s="90" t="str">
        <f t="shared" si="2"/>
        <v/>
      </c>
      <c r="O26" s="90" t="str">
        <f t="shared" si="3"/>
        <v/>
      </c>
      <c r="P26" s="40"/>
      <c r="Q26" s="40"/>
      <c r="R26" s="40"/>
      <c r="S26" s="90" t="str">
        <f t="shared" si="4"/>
        <v/>
      </c>
      <c r="T26" s="90" t="str">
        <f t="shared" si="5"/>
        <v/>
      </c>
      <c r="U26" s="40"/>
      <c r="V26" s="40"/>
      <c r="W26" s="40"/>
      <c r="X26" s="90" t="str">
        <f t="shared" si="6"/>
        <v/>
      </c>
      <c r="Y26" s="90" t="str">
        <f t="shared" si="7"/>
        <v/>
      </c>
      <c r="Z26" s="40"/>
      <c r="AA26" s="40"/>
      <c r="AB26" s="40"/>
      <c r="AC26" s="90" t="str">
        <f t="shared" si="8"/>
        <v/>
      </c>
      <c r="AD26" s="90" t="str">
        <f t="shared" si="9"/>
        <v/>
      </c>
      <c r="AE26" s="40"/>
      <c r="AF26" s="40"/>
      <c r="AG26" s="40"/>
      <c r="AH26" s="90" t="str">
        <f t="shared" si="10"/>
        <v/>
      </c>
      <c r="AI26" s="90" t="str">
        <f t="shared" si="11"/>
        <v/>
      </c>
      <c r="AJ26" s="40"/>
      <c r="AK26" s="40"/>
      <c r="AL26" s="40"/>
      <c r="AM26" s="90" t="str">
        <f t="shared" si="12"/>
        <v/>
      </c>
      <c r="AN26" s="90" t="str">
        <f t="shared" si="13"/>
        <v/>
      </c>
      <c r="AO26" s="40"/>
      <c r="AP26" s="40"/>
      <c r="AQ26" s="40"/>
      <c r="AR26" s="90" t="str">
        <f t="shared" si="14"/>
        <v/>
      </c>
      <c r="AS26" s="90" t="str">
        <f t="shared" si="15"/>
        <v/>
      </c>
      <c r="AT26" s="40"/>
      <c r="AU26" s="40"/>
      <c r="AV26" s="40"/>
      <c r="AW26" s="90" t="str">
        <f t="shared" si="16"/>
        <v/>
      </c>
      <c r="AX26" s="90" t="str">
        <f t="shared" si="17"/>
        <v/>
      </c>
      <c r="AY26" s="40"/>
      <c r="AZ26" s="40"/>
      <c r="BA26" s="40"/>
      <c r="BB26" s="90" t="str">
        <f t="shared" si="18"/>
        <v/>
      </c>
      <c r="BC26" s="90" t="str">
        <f t="shared" si="19"/>
        <v/>
      </c>
    </row>
    <row r="27" spans="1:55">
      <c r="A27" s="90">
        <f>'DATA SISWA'!A27</f>
        <v>23</v>
      </c>
      <c r="B27" s="90" t="str">
        <f>'DATA SISWA'!B27</f>
        <v>7664</v>
      </c>
      <c r="C27" s="90" t="str">
        <f>'DATA SISWA'!C27</f>
        <v>MOHAMMAD RAMADAN PURNOMO</v>
      </c>
      <c r="D27" s="90" t="str">
        <f>'DATA SISWA'!D27</f>
        <v>L</v>
      </c>
      <c r="E27" s="90" t="str">
        <f>'DATA SISWA'!E27</f>
        <v>VII-J</v>
      </c>
      <c r="F27" s="40"/>
      <c r="G27" s="40"/>
      <c r="H27" s="40"/>
      <c r="I27" s="90" t="str">
        <f t="shared" si="0"/>
        <v/>
      </c>
      <c r="J27" s="90" t="str">
        <f t="shared" si="1"/>
        <v/>
      </c>
      <c r="K27" s="40"/>
      <c r="L27" s="40"/>
      <c r="M27" s="40"/>
      <c r="N27" s="90" t="str">
        <f t="shared" si="2"/>
        <v/>
      </c>
      <c r="O27" s="90" t="str">
        <f t="shared" si="3"/>
        <v/>
      </c>
      <c r="P27" s="40"/>
      <c r="Q27" s="40"/>
      <c r="R27" s="40"/>
      <c r="S27" s="90" t="str">
        <f t="shared" si="4"/>
        <v/>
      </c>
      <c r="T27" s="90" t="str">
        <f t="shared" si="5"/>
        <v/>
      </c>
      <c r="U27" s="40"/>
      <c r="V27" s="40"/>
      <c r="W27" s="40"/>
      <c r="X27" s="90" t="str">
        <f t="shared" si="6"/>
        <v/>
      </c>
      <c r="Y27" s="90" t="str">
        <f t="shared" si="7"/>
        <v/>
      </c>
      <c r="Z27" s="40"/>
      <c r="AA27" s="40"/>
      <c r="AB27" s="40"/>
      <c r="AC27" s="90" t="str">
        <f t="shared" si="8"/>
        <v/>
      </c>
      <c r="AD27" s="90" t="str">
        <f t="shared" si="9"/>
        <v/>
      </c>
      <c r="AE27" s="40"/>
      <c r="AF27" s="40"/>
      <c r="AG27" s="40"/>
      <c r="AH27" s="90" t="str">
        <f t="shared" si="10"/>
        <v/>
      </c>
      <c r="AI27" s="90" t="str">
        <f t="shared" si="11"/>
        <v/>
      </c>
      <c r="AJ27" s="40"/>
      <c r="AK27" s="40"/>
      <c r="AL27" s="40"/>
      <c r="AM27" s="90" t="str">
        <f t="shared" si="12"/>
        <v/>
      </c>
      <c r="AN27" s="90" t="str">
        <f t="shared" si="13"/>
        <v/>
      </c>
      <c r="AO27" s="40"/>
      <c r="AP27" s="40"/>
      <c r="AQ27" s="40"/>
      <c r="AR27" s="90" t="str">
        <f t="shared" si="14"/>
        <v/>
      </c>
      <c r="AS27" s="90" t="str">
        <f t="shared" si="15"/>
        <v/>
      </c>
      <c r="AT27" s="40"/>
      <c r="AU27" s="40"/>
      <c r="AV27" s="40"/>
      <c r="AW27" s="90" t="str">
        <f t="shared" si="16"/>
        <v/>
      </c>
      <c r="AX27" s="90" t="str">
        <f t="shared" si="17"/>
        <v/>
      </c>
      <c r="AY27" s="40"/>
      <c r="AZ27" s="40"/>
      <c r="BA27" s="40"/>
      <c r="BB27" s="90" t="str">
        <f t="shared" si="18"/>
        <v/>
      </c>
      <c r="BC27" s="90" t="str">
        <f t="shared" si="19"/>
        <v/>
      </c>
    </row>
    <row r="28" spans="1:55">
      <c r="A28" s="90">
        <f>'DATA SISWA'!A28</f>
        <v>24</v>
      </c>
      <c r="B28" s="90" t="str">
        <f>'DATA SISWA'!B28</f>
        <v>7665</v>
      </c>
      <c r="C28" s="90" t="str">
        <f>'DATA SISWA'!C28</f>
        <v>MOHAMMAD ROFI'I</v>
      </c>
      <c r="D28" s="90" t="str">
        <f>'DATA SISWA'!D28</f>
        <v>L</v>
      </c>
      <c r="E28" s="90" t="str">
        <f>'DATA SISWA'!E28</f>
        <v>VII-J</v>
      </c>
      <c r="F28" s="40"/>
      <c r="G28" s="40"/>
      <c r="H28" s="40"/>
      <c r="I28" s="90" t="str">
        <f t="shared" si="0"/>
        <v/>
      </c>
      <c r="J28" s="90" t="str">
        <f t="shared" si="1"/>
        <v/>
      </c>
      <c r="K28" s="40"/>
      <c r="L28" s="40"/>
      <c r="M28" s="40"/>
      <c r="N28" s="90" t="str">
        <f t="shared" si="2"/>
        <v/>
      </c>
      <c r="O28" s="90" t="str">
        <f t="shared" si="3"/>
        <v/>
      </c>
      <c r="P28" s="40"/>
      <c r="Q28" s="40"/>
      <c r="R28" s="40"/>
      <c r="S28" s="90" t="str">
        <f t="shared" si="4"/>
        <v/>
      </c>
      <c r="T28" s="90" t="str">
        <f t="shared" si="5"/>
        <v/>
      </c>
      <c r="U28" s="40"/>
      <c r="V28" s="40"/>
      <c r="W28" s="40"/>
      <c r="X28" s="90" t="str">
        <f t="shared" si="6"/>
        <v/>
      </c>
      <c r="Y28" s="90" t="str">
        <f t="shared" si="7"/>
        <v/>
      </c>
      <c r="Z28" s="40"/>
      <c r="AA28" s="40"/>
      <c r="AB28" s="40"/>
      <c r="AC28" s="90" t="str">
        <f t="shared" si="8"/>
        <v/>
      </c>
      <c r="AD28" s="90" t="str">
        <f t="shared" si="9"/>
        <v/>
      </c>
      <c r="AE28" s="40"/>
      <c r="AF28" s="40"/>
      <c r="AG28" s="40"/>
      <c r="AH28" s="90" t="str">
        <f t="shared" si="10"/>
        <v/>
      </c>
      <c r="AI28" s="90" t="str">
        <f t="shared" si="11"/>
        <v/>
      </c>
      <c r="AJ28" s="40"/>
      <c r="AK28" s="40"/>
      <c r="AL28" s="40"/>
      <c r="AM28" s="90" t="str">
        <f t="shared" si="12"/>
        <v/>
      </c>
      <c r="AN28" s="90" t="str">
        <f t="shared" si="13"/>
        <v/>
      </c>
      <c r="AO28" s="40"/>
      <c r="AP28" s="40"/>
      <c r="AQ28" s="40"/>
      <c r="AR28" s="90" t="str">
        <f t="shared" si="14"/>
        <v/>
      </c>
      <c r="AS28" s="90" t="str">
        <f t="shared" si="15"/>
        <v/>
      </c>
      <c r="AT28" s="40"/>
      <c r="AU28" s="40"/>
      <c r="AV28" s="40"/>
      <c r="AW28" s="90" t="str">
        <f t="shared" si="16"/>
        <v/>
      </c>
      <c r="AX28" s="90" t="str">
        <f t="shared" si="17"/>
        <v/>
      </c>
      <c r="AY28" s="40"/>
      <c r="AZ28" s="40"/>
      <c r="BA28" s="40"/>
      <c r="BB28" s="90" t="str">
        <f t="shared" si="18"/>
        <v/>
      </c>
      <c r="BC28" s="90" t="str">
        <f t="shared" si="19"/>
        <v/>
      </c>
    </row>
    <row r="29" spans="1:55">
      <c r="A29" s="90">
        <f>'DATA SISWA'!A29</f>
        <v>25</v>
      </c>
      <c r="B29" s="90" t="str">
        <f>'DATA SISWA'!B29</f>
        <v>7666</v>
      </c>
      <c r="C29" s="90" t="str">
        <f>'DATA SISWA'!C29</f>
        <v>NI'MATUS SHOLIHA</v>
      </c>
      <c r="D29" s="90" t="str">
        <f>'DATA SISWA'!D29</f>
        <v>P</v>
      </c>
      <c r="E29" s="90" t="str">
        <f>'DATA SISWA'!E29</f>
        <v>VII-J</v>
      </c>
      <c r="F29" s="40"/>
      <c r="G29" s="40"/>
      <c r="H29" s="40"/>
      <c r="I29" s="90" t="str">
        <f t="shared" si="0"/>
        <v/>
      </c>
      <c r="J29" s="90" t="str">
        <f t="shared" si="1"/>
        <v/>
      </c>
      <c r="K29" s="40"/>
      <c r="L29" s="40"/>
      <c r="M29" s="40"/>
      <c r="N29" s="90" t="str">
        <f t="shared" si="2"/>
        <v/>
      </c>
      <c r="O29" s="90" t="str">
        <f t="shared" si="3"/>
        <v/>
      </c>
      <c r="P29" s="40"/>
      <c r="Q29" s="40"/>
      <c r="R29" s="40"/>
      <c r="S29" s="90" t="str">
        <f t="shared" si="4"/>
        <v/>
      </c>
      <c r="T29" s="90" t="str">
        <f t="shared" si="5"/>
        <v/>
      </c>
      <c r="U29" s="40"/>
      <c r="V29" s="40"/>
      <c r="W29" s="40"/>
      <c r="X29" s="90" t="str">
        <f t="shared" si="6"/>
        <v/>
      </c>
      <c r="Y29" s="90" t="str">
        <f t="shared" si="7"/>
        <v/>
      </c>
      <c r="Z29" s="40"/>
      <c r="AA29" s="40"/>
      <c r="AB29" s="40"/>
      <c r="AC29" s="90" t="str">
        <f t="shared" si="8"/>
        <v/>
      </c>
      <c r="AD29" s="90" t="str">
        <f t="shared" si="9"/>
        <v/>
      </c>
      <c r="AE29" s="40"/>
      <c r="AF29" s="40"/>
      <c r="AG29" s="40"/>
      <c r="AH29" s="90" t="str">
        <f t="shared" si="10"/>
        <v/>
      </c>
      <c r="AI29" s="90" t="str">
        <f t="shared" si="11"/>
        <v/>
      </c>
      <c r="AJ29" s="40"/>
      <c r="AK29" s="40"/>
      <c r="AL29" s="40"/>
      <c r="AM29" s="90" t="str">
        <f t="shared" si="12"/>
        <v/>
      </c>
      <c r="AN29" s="90" t="str">
        <f t="shared" si="13"/>
        <v/>
      </c>
      <c r="AO29" s="40"/>
      <c r="AP29" s="40"/>
      <c r="AQ29" s="40"/>
      <c r="AR29" s="90" t="str">
        <f t="shared" si="14"/>
        <v/>
      </c>
      <c r="AS29" s="90" t="str">
        <f t="shared" si="15"/>
        <v/>
      </c>
      <c r="AT29" s="40"/>
      <c r="AU29" s="40"/>
      <c r="AV29" s="40"/>
      <c r="AW29" s="90" t="str">
        <f t="shared" si="16"/>
        <v/>
      </c>
      <c r="AX29" s="90" t="str">
        <f t="shared" si="17"/>
        <v/>
      </c>
      <c r="AY29" s="40"/>
      <c r="AZ29" s="40"/>
      <c r="BA29" s="40"/>
      <c r="BB29" s="90" t="str">
        <f t="shared" si="18"/>
        <v/>
      </c>
      <c r="BC29" s="90" t="str">
        <f t="shared" si="19"/>
        <v/>
      </c>
    </row>
    <row r="30" spans="1:55">
      <c r="A30" s="90">
        <f>'DATA SISWA'!A30</f>
        <v>26</v>
      </c>
      <c r="B30" s="90" t="str">
        <f>'DATA SISWA'!B30</f>
        <v>7676</v>
      </c>
      <c r="C30" s="90" t="str">
        <f>'DATA SISWA'!C30</f>
        <v>PANJI FIKRI ISLAMI</v>
      </c>
      <c r="D30" s="90" t="str">
        <f>'DATA SISWA'!D30</f>
        <v>L</v>
      </c>
      <c r="E30" s="90" t="str">
        <f>'DATA SISWA'!E30</f>
        <v>VII-J</v>
      </c>
      <c r="F30" s="40"/>
      <c r="G30" s="40"/>
      <c r="H30" s="40"/>
      <c r="I30" s="90" t="str">
        <f t="shared" si="0"/>
        <v/>
      </c>
      <c r="J30" s="90" t="str">
        <f t="shared" si="1"/>
        <v/>
      </c>
      <c r="K30" s="40"/>
      <c r="L30" s="40"/>
      <c r="M30" s="40"/>
      <c r="N30" s="90" t="str">
        <f t="shared" si="2"/>
        <v/>
      </c>
      <c r="O30" s="90" t="str">
        <f t="shared" si="3"/>
        <v/>
      </c>
      <c r="P30" s="40"/>
      <c r="Q30" s="40"/>
      <c r="R30" s="40"/>
      <c r="S30" s="90" t="str">
        <f t="shared" si="4"/>
        <v/>
      </c>
      <c r="T30" s="90" t="str">
        <f t="shared" si="5"/>
        <v/>
      </c>
      <c r="U30" s="40"/>
      <c r="V30" s="40"/>
      <c r="W30" s="40"/>
      <c r="X30" s="90" t="str">
        <f t="shared" si="6"/>
        <v/>
      </c>
      <c r="Y30" s="90" t="str">
        <f t="shared" si="7"/>
        <v/>
      </c>
      <c r="Z30" s="40"/>
      <c r="AA30" s="40"/>
      <c r="AB30" s="40"/>
      <c r="AC30" s="90" t="str">
        <f t="shared" si="8"/>
        <v/>
      </c>
      <c r="AD30" s="90" t="str">
        <f t="shared" si="9"/>
        <v/>
      </c>
      <c r="AE30" s="40"/>
      <c r="AF30" s="40"/>
      <c r="AG30" s="40"/>
      <c r="AH30" s="90" t="str">
        <f t="shared" si="10"/>
        <v/>
      </c>
      <c r="AI30" s="90" t="str">
        <f t="shared" si="11"/>
        <v/>
      </c>
      <c r="AJ30" s="40"/>
      <c r="AK30" s="40"/>
      <c r="AL30" s="40"/>
      <c r="AM30" s="90" t="str">
        <f t="shared" si="12"/>
        <v/>
      </c>
      <c r="AN30" s="90" t="str">
        <f t="shared" si="13"/>
        <v/>
      </c>
      <c r="AO30" s="40"/>
      <c r="AP30" s="40"/>
      <c r="AQ30" s="40"/>
      <c r="AR30" s="90" t="str">
        <f t="shared" si="14"/>
        <v/>
      </c>
      <c r="AS30" s="90" t="str">
        <f t="shared" si="15"/>
        <v/>
      </c>
      <c r="AT30" s="40"/>
      <c r="AU30" s="40"/>
      <c r="AV30" s="40"/>
      <c r="AW30" s="90" t="str">
        <f t="shared" si="16"/>
        <v/>
      </c>
      <c r="AX30" s="90" t="str">
        <f t="shared" si="17"/>
        <v/>
      </c>
      <c r="AY30" s="40"/>
      <c r="AZ30" s="40"/>
      <c r="BA30" s="40"/>
      <c r="BB30" s="90" t="str">
        <f t="shared" si="18"/>
        <v/>
      </c>
      <c r="BC30" s="90" t="str">
        <f t="shared" si="19"/>
        <v/>
      </c>
    </row>
    <row r="31" spans="1:55">
      <c r="A31" s="90">
        <f>'DATA SISWA'!A31</f>
        <v>27</v>
      </c>
      <c r="B31" s="90" t="str">
        <f>'DATA SISWA'!B31</f>
        <v>7667</v>
      </c>
      <c r="C31" s="90" t="str">
        <f>'DATA SISWA'!C31</f>
        <v>RACMAT MAULIDI ABDANY</v>
      </c>
      <c r="D31" s="90" t="str">
        <f>'DATA SISWA'!D31</f>
        <v>L</v>
      </c>
      <c r="E31" s="90" t="str">
        <f>'DATA SISWA'!E31</f>
        <v>VII-J</v>
      </c>
      <c r="F31" s="40"/>
      <c r="G31" s="40"/>
      <c r="H31" s="40"/>
      <c r="I31" s="90" t="str">
        <f t="shared" si="0"/>
        <v/>
      </c>
      <c r="J31" s="90" t="str">
        <f t="shared" si="1"/>
        <v/>
      </c>
      <c r="K31" s="40"/>
      <c r="L31" s="40"/>
      <c r="M31" s="40"/>
      <c r="N31" s="90" t="str">
        <f t="shared" si="2"/>
        <v/>
      </c>
      <c r="O31" s="90" t="str">
        <f t="shared" si="3"/>
        <v/>
      </c>
      <c r="P31" s="40"/>
      <c r="Q31" s="40"/>
      <c r="R31" s="40"/>
      <c r="S31" s="90" t="str">
        <f t="shared" si="4"/>
        <v/>
      </c>
      <c r="T31" s="90" t="str">
        <f t="shared" si="5"/>
        <v/>
      </c>
      <c r="U31" s="40"/>
      <c r="V31" s="40"/>
      <c r="W31" s="40"/>
      <c r="X31" s="90" t="str">
        <f t="shared" si="6"/>
        <v/>
      </c>
      <c r="Y31" s="90" t="str">
        <f t="shared" si="7"/>
        <v/>
      </c>
      <c r="Z31" s="40"/>
      <c r="AA31" s="40"/>
      <c r="AB31" s="40"/>
      <c r="AC31" s="90" t="str">
        <f t="shared" si="8"/>
        <v/>
      </c>
      <c r="AD31" s="90" t="str">
        <f t="shared" si="9"/>
        <v/>
      </c>
      <c r="AE31" s="40"/>
      <c r="AF31" s="40"/>
      <c r="AG31" s="40"/>
      <c r="AH31" s="90" t="str">
        <f t="shared" si="10"/>
        <v/>
      </c>
      <c r="AI31" s="90" t="str">
        <f t="shared" si="11"/>
        <v/>
      </c>
      <c r="AJ31" s="40"/>
      <c r="AK31" s="40"/>
      <c r="AL31" s="40"/>
      <c r="AM31" s="90" t="str">
        <f t="shared" si="12"/>
        <v/>
      </c>
      <c r="AN31" s="90" t="str">
        <f t="shared" si="13"/>
        <v/>
      </c>
      <c r="AO31" s="40"/>
      <c r="AP31" s="40"/>
      <c r="AQ31" s="40"/>
      <c r="AR31" s="90" t="str">
        <f t="shared" si="14"/>
        <v/>
      </c>
      <c r="AS31" s="90" t="str">
        <f t="shared" si="15"/>
        <v/>
      </c>
      <c r="AT31" s="40"/>
      <c r="AU31" s="40"/>
      <c r="AV31" s="40"/>
      <c r="AW31" s="90" t="str">
        <f t="shared" si="16"/>
        <v/>
      </c>
      <c r="AX31" s="90" t="str">
        <f t="shared" si="17"/>
        <v/>
      </c>
      <c r="AY31" s="40"/>
      <c r="AZ31" s="40"/>
      <c r="BA31" s="40"/>
      <c r="BB31" s="90" t="str">
        <f t="shared" si="18"/>
        <v/>
      </c>
      <c r="BC31" s="90" t="str">
        <f t="shared" si="19"/>
        <v/>
      </c>
    </row>
    <row r="32" spans="1:55">
      <c r="A32" s="90">
        <f>'DATA SISWA'!A32</f>
        <v>28</v>
      </c>
      <c r="B32" s="90" t="str">
        <f>'DATA SISWA'!B32</f>
        <v>7668</v>
      </c>
      <c r="C32" s="90" t="str">
        <f>'DATA SISWA'!C32</f>
        <v>RAIHAN</v>
      </c>
      <c r="D32" s="90" t="str">
        <f>'DATA SISWA'!D32</f>
        <v>L</v>
      </c>
      <c r="E32" s="90" t="str">
        <f>'DATA SISWA'!E32</f>
        <v>VII-J</v>
      </c>
      <c r="F32" s="40"/>
      <c r="G32" s="40"/>
      <c r="H32" s="40"/>
      <c r="I32" s="90" t="str">
        <f t="shared" si="0"/>
        <v/>
      </c>
      <c r="J32" s="90" t="str">
        <f t="shared" si="1"/>
        <v/>
      </c>
      <c r="K32" s="40"/>
      <c r="L32" s="40"/>
      <c r="M32" s="40"/>
      <c r="N32" s="90" t="str">
        <f t="shared" si="2"/>
        <v/>
      </c>
      <c r="O32" s="90" t="str">
        <f t="shared" si="3"/>
        <v/>
      </c>
      <c r="P32" s="40"/>
      <c r="Q32" s="40"/>
      <c r="R32" s="40"/>
      <c r="S32" s="90" t="str">
        <f t="shared" si="4"/>
        <v/>
      </c>
      <c r="T32" s="90" t="str">
        <f t="shared" si="5"/>
        <v/>
      </c>
      <c r="U32" s="40"/>
      <c r="V32" s="40"/>
      <c r="W32" s="40"/>
      <c r="X32" s="90" t="str">
        <f t="shared" si="6"/>
        <v/>
      </c>
      <c r="Y32" s="90" t="str">
        <f t="shared" si="7"/>
        <v/>
      </c>
      <c r="Z32" s="40"/>
      <c r="AA32" s="40"/>
      <c r="AB32" s="40"/>
      <c r="AC32" s="90" t="str">
        <f t="shared" si="8"/>
        <v/>
      </c>
      <c r="AD32" s="90" t="str">
        <f t="shared" si="9"/>
        <v/>
      </c>
      <c r="AE32" s="40"/>
      <c r="AF32" s="40"/>
      <c r="AG32" s="40"/>
      <c r="AH32" s="90" t="str">
        <f t="shared" si="10"/>
        <v/>
      </c>
      <c r="AI32" s="90" t="str">
        <f t="shared" si="11"/>
        <v/>
      </c>
      <c r="AJ32" s="40"/>
      <c r="AK32" s="40"/>
      <c r="AL32" s="40"/>
      <c r="AM32" s="90" t="str">
        <f t="shared" si="12"/>
        <v/>
      </c>
      <c r="AN32" s="90" t="str">
        <f t="shared" si="13"/>
        <v/>
      </c>
      <c r="AO32" s="40"/>
      <c r="AP32" s="40"/>
      <c r="AQ32" s="40"/>
      <c r="AR32" s="90" t="str">
        <f t="shared" si="14"/>
        <v/>
      </c>
      <c r="AS32" s="90" t="str">
        <f t="shared" si="15"/>
        <v/>
      </c>
      <c r="AT32" s="40"/>
      <c r="AU32" s="40"/>
      <c r="AV32" s="40"/>
      <c r="AW32" s="90" t="str">
        <f t="shared" si="16"/>
        <v/>
      </c>
      <c r="AX32" s="90" t="str">
        <f t="shared" si="17"/>
        <v/>
      </c>
      <c r="AY32" s="40"/>
      <c r="AZ32" s="40"/>
      <c r="BA32" s="40"/>
      <c r="BB32" s="90" t="str">
        <f t="shared" si="18"/>
        <v/>
      </c>
      <c r="BC32" s="90" t="str">
        <f t="shared" si="19"/>
        <v/>
      </c>
    </row>
    <row r="33" spans="1:55">
      <c r="A33" s="90">
        <f>'DATA SISWA'!A33</f>
        <v>29</v>
      </c>
      <c r="B33" s="90" t="str">
        <f>'DATA SISWA'!B33</f>
        <v>7669</v>
      </c>
      <c r="C33" s="90" t="str">
        <f>'DATA SISWA'!C33</f>
        <v>REFITA ANNASTASYA</v>
      </c>
      <c r="D33" s="90" t="str">
        <f>'DATA SISWA'!D33</f>
        <v>P</v>
      </c>
      <c r="E33" s="90" t="str">
        <f>'DATA SISWA'!E33</f>
        <v>VII-J</v>
      </c>
      <c r="F33" s="40"/>
      <c r="G33" s="40"/>
      <c r="H33" s="40"/>
      <c r="I33" s="90" t="str">
        <f t="shared" si="0"/>
        <v/>
      </c>
      <c r="J33" s="90" t="str">
        <f t="shared" si="1"/>
        <v/>
      </c>
      <c r="K33" s="40"/>
      <c r="L33" s="40"/>
      <c r="M33" s="40"/>
      <c r="N33" s="90" t="str">
        <f t="shared" si="2"/>
        <v/>
      </c>
      <c r="O33" s="90" t="str">
        <f t="shared" si="3"/>
        <v/>
      </c>
      <c r="P33" s="40"/>
      <c r="Q33" s="40"/>
      <c r="R33" s="40"/>
      <c r="S33" s="90" t="str">
        <f t="shared" si="4"/>
        <v/>
      </c>
      <c r="T33" s="90" t="str">
        <f t="shared" si="5"/>
        <v/>
      </c>
      <c r="U33" s="40"/>
      <c r="V33" s="40"/>
      <c r="W33" s="40"/>
      <c r="X33" s="90" t="str">
        <f t="shared" si="6"/>
        <v/>
      </c>
      <c r="Y33" s="90" t="str">
        <f t="shared" si="7"/>
        <v/>
      </c>
      <c r="Z33" s="40"/>
      <c r="AA33" s="40"/>
      <c r="AB33" s="40"/>
      <c r="AC33" s="90" t="str">
        <f t="shared" si="8"/>
        <v/>
      </c>
      <c r="AD33" s="90" t="str">
        <f t="shared" si="9"/>
        <v/>
      </c>
      <c r="AE33" s="40"/>
      <c r="AF33" s="40"/>
      <c r="AG33" s="40"/>
      <c r="AH33" s="90" t="str">
        <f t="shared" si="10"/>
        <v/>
      </c>
      <c r="AI33" s="90" t="str">
        <f t="shared" si="11"/>
        <v/>
      </c>
      <c r="AJ33" s="40"/>
      <c r="AK33" s="40"/>
      <c r="AL33" s="40"/>
      <c r="AM33" s="90" t="str">
        <f t="shared" si="12"/>
        <v/>
      </c>
      <c r="AN33" s="90" t="str">
        <f t="shared" si="13"/>
        <v/>
      </c>
      <c r="AO33" s="40"/>
      <c r="AP33" s="40"/>
      <c r="AQ33" s="40"/>
      <c r="AR33" s="90" t="str">
        <f t="shared" si="14"/>
        <v/>
      </c>
      <c r="AS33" s="90" t="str">
        <f t="shared" si="15"/>
        <v/>
      </c>
      <c r="AT33" s="40"/>
      <c r="AU33" s="40"/>
      <c r="AV33" s="40"/>
      <c r="AW33" s="90" t="str">
        <f t="shared" si="16"/>
        <v/>
      </c>
      <c r="AX33" s="90" t="str">
        <f t="shared" si="17"/>
        <v/>
      </c>
      <c r="AY33" s="40"/>
      <c r="AZ33" s="40"/>
      <c r="BA33" s="40"/>
      <c r="BB33" s="90" t="str">
        <f t="shared" si="18"/>
        <v/>
      </c>
      <c r="BC33" s="90" t="str">
        <f t="shared" si="19"/>
        <v/>
      </c>
    </row>
    <row r="34" spans="1:55">
      <c r="A34" s="90">
        <f>'DATA SISWA'!A34</f>
        <v>30</v>
      </c>
      <c r="B34" s="90" t="str">
        <f>'DATA SISWA'!B34</f>
        <v>7670</v>
      </c>
      <c r="C34" s="90" t="str">
        <f>'DATA SISWA'!C34</f>
        <v>RISKIYAH</v>
      </c>
      <c r="D34" s="90" t="str">
        <f>'DATA SISWA'!D34</f>
        <v>P</v>
      </c>
      <c r="E34" s="90" t="str">
        <f>'DATA SISWA'!E34</f>
        <v>VII-J</v>
      </c>
      <c r="F34" s="40"/>
      <c r="G34" s="40"/>
      <c r="H34" s="40"/>
      <c r="I34" s="90" t="str">
        <f t="shared" si="0"/>
        <v/>
      </c>
      <c r="J34" s="90" t="str">
        <f t="shared" si="1"/>
        <v/>
      </c>
      <c r="K34" s="40"/>
      <c r="L34" s="40"/>
      <c r="M34" s="40"/>
      <c r="N34" s="90" t="str">
        <f t="shared" si="2"/>
        <v/>
      </c>
      <c r="O34" s="90" t="str">
        <f t="shared" si="3"/>
        <v/>
      </c>
      <c r="P34" s="40"/>
      <c r="Q34" s="40"/>
      <c r="R34" s="40"/>
      <c r="S34" s="90" t="str">
        <f t="shared" si="4"/>
        <v/>
      </c>
      <c r="T34" s="90" t="str">
        <f t="shared" si="5"/>
        <v/>
      </c>
      <c r="U34" s="40"/>
      <c r="V34" s="40"/>
      <c r="W34" s="40"/>
      <c r="X34" s="90" t="str">
        <f t="shared" si="6"/>
        <v/>
      </c>
      <c r="Y34" s="90" t="str">
        <f t="shared" si="7"/>
        <v/>
      </c>
      <c r="Z34" s="40"/>
      <c r="AA34" s="40"/>
      <c r="AB34" s="40"/>
      <c r="AC34" s="90" t="str">
        <f t="shared" si="8"/>
        <v/>
      </c>
      <c r="AD34" s="90" t="str">
        <f t="shared" si="9"/>
        <v/>
      </c>
      <c r="AE34" s="40"/>
      <c r="AF34" s="40"/>
      <c r="AG34" s="40"/>
      <c r="AH34" s="90" t="str">
        <f t="shared" si="10"/>
        <v/>
      </c>
      <c r="AI34" s="90" t="str">
        <f t="shared" si="11"/>
        <v/>
      </c>
      <c r="AJ34" s="40"/>
      <c r="AK34" s="40"/>
      <c r="AL34" s="40"/>
      <c r="AM34" s="90" t="str">
        <f t="shared" si="12"/>
        <v/>
      </c>
      <c r="AN34" s="90" t="str">
        <f t="shared" si="13"/>
        <v/>
      </c>
      <c r="AO34" s="40"/>
      <c r="AP34" s="40"/>
      <c r="AQ34" s="40"/>
      <c r="AR34" s="90" t="str">
        <f t="shared" si="14"/>
        <v/>
      </c>
      <c r="AS34" s="90" t="str">
        <f t="shared" si="15"/>
        <v/>
      </c>
      <c r="AT34" s="40"/>
      <c r="AU34" s="40"/>
      <c r="AV34" s="40"/>
      <c r="AW34" s="90" t="str">
        <f t="shared" si="16"/>
        <v/>
      </c>
      <c r="AX34" s="90" t="str">
        <f t="shared" si="17"/>
        <v/>
      </c>
      <c r="AY34" s="40"/>
      <c r="AZ34" s="40"/>
      <c r="BA34" s="40"/>
      <c r="BB34" s="90" t="str">
        <f t="shared" si="18"/>
        <v/>
      </c>
      <c r="BC34" s="90" t="str">
        <f t="shared" si="19"/>
        <v/>
      </c>
    </row>
    <row r="35" spans="1:55">
      <c r="A35" s="90">
        <f>'DATA SISWA'!A35</f>
        <v>31</v>
      </c>
      <c r="B35" s="90" t="str">
        <f>'DATA SISWA'!B35</f>
        <v>7671</v>
      </c>
      <c r="C35" s="90" t="str">
        <f>'DATA SISWA'!C35</f>
        <v>SALILATUL HUSNA</v>
      </c>
      <c r="D35" s="90" t="str">
        <f>'DATA SISWA'!D35</f>
        <v>P</v>
      </c>
      <c r="E35" s="90" t="str">
        <f>'DATA SISWA'!E35</f>
        <v>VII-J</v>
      </c>
      <c r="F35" s="40"/>
      <c r="G35" s="40"/>
      <c r="H35" s="40"/>
      <c r="I35" s="90" t="str">
        <f t="shared" si="0"/>
        <v/>
      </c>
      <c r="J35" s="90" t="str">
        <f t="shared" si="1"/>
        <v/>
      </c>
      <c r="K35" s="40"/>
      <c r="L35" s="40"/>
      <c r="M35" s="40"/>
      <c r="N35" s="90" t="str">
        <f t="shared" si="2"/>
        <v/>
      </c>
      <c r="O35" s="90" t="str">
        <f t="shared" si="3"/>
        <v/>
      </c>
      <c r="P35" s="40"/>
      <c r="Q35" s="40"/>
      <c r="R35" s="40"/>
      <c r="S35" s="90" t="str">
        <f t="shared" si="4"/>
        <v/>
      </c>
      <c r="T35" s="90" t="str">
        <f t="shared" si="5"/>
        <v/>
      </c>
      <c r="U35" s="40"/>
      <c r="V35" s="40"/>
      <c r="W35" s="40"/>
      <c r="X35" s="90" t="str">
        <f t="shared" si="6"/>
        <v/>
      </c>
      <c r="Y35" s="90" t="str">
        <f t="shared" si="7"/>
        <v/>
      </c>
      <c r="Z35" s="40"/>
      <c r="AA35" s="40"/>
      <c r="AB35" s="40"/>
      <c r="AC35" s="90" t="str">
        <f t="shared" si="8"/>
        <v/>
      </c>
      <c r="AD35" s="90" t="str">
        <f t="shared" si="9"/>
        <v/>
      </c>
      <c r="AE35" s="40"/>
      <c r="AF35" s="40"/>
      <c r="AG35" s="40"/>
      <c r="AH35" s="90" t="str">
        <f t="shared" si="10"/>
        <v/>
      </c>
      <c r="AI35" s="90" t="str">
        <f t="shared" si="11"/>
        <v/>
      </c>
      <c r="AJ35" s="40"/>
      <c r="AK35" s="40"/>
      <c r="AL35" s="40"/>
      <c r="AM35" s="90" t="str">
        <f t="shared" si="12"/>
        <v/>
      </c>
      <c r="AN35" s="90" t="str">
        <f t="shared" si="13"/>
        <v/>
      </c>
      <c r="AO35" s="40"/>
      <c r="AP35" s="40"/>
      <c r="AQ35" s="40"/>
      <c r="AR35" s="90" t="str">
        <f t="shared" si="14"/>
        <v/>
      </c>
      <c r="AS35" s="90" t="str">
        <f t="shared" si="15"/>
        <v/>
      </c>
      <c r="AT35" s="40"/>
      <c r="AU35" s="40"/>
      <c r="AV35" s="40"/>
      <c r="AW35" s="90" t="str">
        <f t="shared" si="16"/>
        <v/>
      </c>
      <c r="AX35" s="90" t="str">
        <f t="shared" si="17"/>
        <v/>
      </c>
      <c r="AY35" s="40"/>
      <c r="AZ35" s="40"/>
      <c r="BA35" s="40"/>
      <c r="BB35" s="90" t="str">
        <f t="shared" si="18"/>
        <v/>
      </c>
      <c r="BC35" s="90" t="str">
        <f t="shared" si="19"/>
        <v/>
      </c>
    </row>
    <row r="36" spans="1:55">
      <c r="A36" s="90">
        <f>'DATA SISWA'!A36</f>
        <v>32</v>
      </c>
      <c r="B36" s="90" t="str">
        <f>'DATA SISWA'!B36</f>
        <v>7672</v>
      </c>
      <c r="C36" s="90" t="str">
        <f>'DATA SISWA'!C36</f>
        <v>SALMA NABILA</v>
      </c>
      <c r="D36" s="90" t="str">
        <f>'DATA SISWA'!D36</f>
        <v>P</v>
      </c>
      <c r="E36" s="90" t="str">
        <f>'DATA SISWA'!E36</f>
        <v>VII-J</v>
      </c>
      <c r="F36" s="40"/>
      <c r="G36" s="40"/>
      <c r="H36" s="40"/>
      <c r="I36" s="90" t="str">
        <f t="shared" si="0"/>
        <v/>
      </c>
      <c r="J36" s="90" t="str">
        <f t="shared" si="1"/>
        <v/>
      </c>
      <c r="K36" s="40"/>
      <c r="L36" s="40"/>
      <c r="M36" s="40"/>
      <c r="N36" s="90" t="str">
        <f t="shared" si="2"/>
        <v/>
      </c>
      <c r="O36" s="90" t="str">
        <f t="shared" si="3"/>
        <v/>
      </c>
      <c r="P36" s="40"/>
      <c r="Q36" s="40"/>
      <c r="R36" s="40"/>
      <c r="S36" s="90" t="str">
        <f t="shared" si="4"/>
        <v/>
      </c>
      <c r="T36" s="90" t="str">
        <f t="shared" si="5"/>
        <v/>
      </c>
      <c r="U36" s="40"/>
      <c r="V36" s="40"/>
      <c r="W36" s="40"/>
      <c r="X36" s="90" t="str">
        <f t="shared" si="6"/>
        <v/>
      </c>
      <c r="Y36" s="90" t="str">
        <f t="shared" si="7"/>
        <v/>
      </c>
      <c r="Z36" s="40"/>
      <c r="AA36" s="40"/>
      <c r="AB36" s="40"/>
      <c r="AC36" s="90" t="str">
        <f t="shared" si="8"/>
        <v/>
      </c>
      <c r="AD36" s="90" t="str">
        <f t="shared" si="9"/>
        <v/>
      </c>
      <c r="AE36" s="40"/>
      <c r="AF36" s="40"/>
      <c r="AG36" s="40"/>
      <c r="AH36" s="90" t="str">
        <f t="shared" si="10"/>
        <v/>
      </c>
      <c r="AI36" s="90" t="str">
        <f t="shared" si="11"/>
        <v/>
      </c>
      <c r="AJ36" s="40"/>
      <c r="AK36" s="40"/>
      <c r="AL36" s="40"/>
      <c r="AM36" s="90" t="str">
        <f t="shared" si="12"/>
        <v/>
      </c>
      <c r="AN36" s="90" t="str">
        <f t="shared" si="13"/>
        <v/>
      </c>
      <c r="AO36" s="40"/>
      <c r="AP36" s="40"/>
      <c r="AQ36" s="40"/>
      <c r="AR36" s="90" t="str">
        <f t="shared" si="14"/>
        <v/>
      </c>
      <c r="AS36" s="90" t="str">
        <f t="shared" si="15"/>
        <v/>
      </c>
      <c r="AT36" s="40"/>
      <c r="AU36" s="40"/>
      <c r="AV36" s="40"/>
      <c r="AW36" s="90" t="str">
        <f t="shared" si="16"/>
        <v/>
      </c>
      <c r="AX36" s="90" t="str">
        <f t="shared" si="17"/>
        <v/>
      </c>
      <c r="AY36" s="40"/>
      <c r="AZ36" s="40"/>
      <c r="BA36" s="40"/>
      <c r="BB36" s="90" t="str">
        <f t="shared" si="18"/>
        <v/>
      </c>
      <c r="BC36" s="90" t="str">
        <f t="shared" si="19"/>
        <v/>
      </c>
    </row>
    <row r="37" spans="1:55">
      <c r="A37" s="90">
        <f>'DATA SISWA'!A37</f>
        <v>33</v>
      </c>
      <c r="B37" s="90" t="str">
        <f>'DATA SISWA'!B37</f>
        <v>7673</v>
      </c>
      <c r="C37" s="90" t="str">
        <f>'DATA SISWA'!C37</f>
        <v>SITI AINUR ROHIMAH</v>
      </c>
      <c r="D37" s="90" t="str">
        <f>'DATA SISWA'!D37</f>
        <v>P</v>
      </c>
      <c r="E37" s="90" t="str">
        <f>'DATA SISWA'!E37</f>
        <v>VII-J</v>
      </c>
      <c r="F37" s="40"/>
      <c r="G37" s="40"/>
      <c r="H37" s="40"/>
      <c r="I37" s="90" t="str">
        <f t="shared" si="0"/>
        <v/>
      </c>
      <c r="J37" s="90" t="str">
        <f t="shared" si="1"/>
        <v/>
      </c>
      <c r="K37" s="40"/>
      <c r="L37" s="40"/>
      <c r="M37" s="40"/>
      <c r="N37" s="90" t="str">
        <f t="shared" si="2"/>
        <v/>
      </c>
      <c r="O37" s="90" t="str">
        <f t="shared" si="3"/>
        <v/>
      </c>
      <c r="P37" s="40"/>
      <c r="Q37" s="40"/>
      <c r="R37" s="40"/>
      <c r="S37" s="90" t="str">
        <f t="shared" si="4"/>
        <v/>
      </c>
      <c r="T37" s="90" t="str">
        <f t="shared" si="5"/>
        <v/>
      </c>
      <c r="U37" s="40"/>
      <c r="V37" s="40"/>
      <c r="W37" s="40"/>
      <c r="X37" s="90" t="str">
        <f t="shared" si="6"/>
        <v/>
      </c>
      <c r="Y37" s="90" t="str">
        <f t="shared" si="7"/>
        <v/>
      </c>
      <c r="Z37" s="40"/>
      <c r="AA37" s="40"/>
      <c r="AB37" s="40"/>
      <c r="AC37" s="90" t="str">
        <f t="shared" si="8"/>
        <v/>
      </c>
      <c r="AD37" s="90" t="str">
        <f t="shared" si="9"/>
        <v/>
      </c>
      <c r="AE37" s="40"/>
      <c r="AF37" s="40"/>
      <c r="AG37" s="40"/>
      <c r="AH37" s="90" t="str">
        <f t="shared" si="10"/>
        <v/>
      </c>
      <c r="AI37" s="90" t="str">
        <f t="shared" si="11"/>
        <v/>
      </c>
      <c r="AJ37" s="40"/>
      <c r="AK37" s="40"/>
      <c r="AL37" s="40"/>
      <c r="AM37" s="90" t="str">
        <f t="shared" si="12"/>
        <v/>
      </c>
      <c r="AN37" s="90" t="str">
        <f t="shared" si="13"/>
        <v/>
      </c>
      <c r="AO37" s="40"/>
      <c r="AP37" s="40"/>
      <c r="AQ37" s="40"/>
      <c r="AR37" s="90" t="str">
        <f t="shared" si="14"/>
        <v/>
      </c>
      <c r="AS37" s="90" t="str">
        <f t="shared" si="15"/>
        <v/>
      </c>
      <c r="AT37" s="40"/>
      <c r="AU37" s="40"/>
      <c r="AV37" s="40"/>
      <c r="AW37" s="90" t="str">
        <f t="shared" si="16"/>
        <v/>
      </c>
      <c r="AX37" s="90" t="str">
        <f t="shared" si="17"/>
        <v/>
      </c>
      <c r="AY37" s="40"/>
      <c r="AZ37" s="40"/>
      <c r="BA37" s="40"/>
      <c r="BB37" s="90" t="str">
        <f t="shared" si="18"/>
        <v/>
      </c>
      <c r="BC37" s="90" t="str">
        <f t="shared" si="19"/>
        <v/>
      </c>
    </row>
    <row r="38" spans="1:55">
      <c r="A38" s="90">
        <f>'DATA SISWA'!A38</f>
        <v>34</v>
      </c>
      <c r="B38" s="90" t="str">
        <f>'DATA SISWA'!B38</f>
        <v>7675</v>
      </c>
      <c r="C38" s="90" t="str">
        <f>'DATA SISWA'!C38</f>
        <v>SYARIF HIDAYATULLOH</v>
      </c>
      <c r="D38" s="90" t="str">
        <f>'DATA SISWA'!D38</f>
        <v>L</v>
      </c>
      <c r="E38" s="90" t="str">
        <f>'DATA SISWA'!E38</f>
        <v>VII-J</v>
      </c>
      <c r="F38" s="40"/>
      <c r="G38" s="40"/>
      <c r="H38" s="40"/>
      <c r="I38" s="90" t="str">
        <f t="shared" si="0"/>
        <v/>
      </c>
      <c r="J38" s="90" t="str">
        <f t="shared" si="1"/>
        <v/>
      </c>
      <c r="K38" s="40"/>
      <c r="L38" s="40"/>
      <c r="M38" s="40"/>
      <c r="N38" s="90" t="str">
        <f t="shared" si="2"/>
        <v/>
      </c>
      <c r="O38" s="90" t="str">
        <f t="shared" si="3"/>
        <v/>
      </c>
      <c r="P38" s="40"/>
      <c r="Q38" s="40"/>
      <c r="R38" s="40"/>
      <c r="S38" s="90" t="str">
        <f t="shared" si="4"/>
        <v/>
      </c>
      <c r="T38" s="90" t="str">
        <f t="shared" si="5"/>
        <v/>
      </c>
      <c r="U38" s="40"/>
      <c r="V38" s="40"/>
      <c r="W38" s="40"/>
      <c r="X38" s="90" t="str">
        <f t="shared" si="6"/>
        <v/>
      </c>
      <c r="Y38" s="90" t="str">
        <f t="shared" si="7"/>
        <v/>
      </c>
      <c r="Z38" s="40"/>
      <c r="AA38" s="40"/>
      <c r="AB38" s="40"/>
      <c r="AC38" s="90" t="str">
        <f t="shared" si="8"/>
        <v/>
      </c>
      <c r="AD38" s="90" t="str">
        <f t="shared" si="9"/>
        <v/>
      </c>
      <c r="AE38" s="40"/>
      <c r="AF38" s="40"/>
      <c r="AG38" s="40"/>
      <c r="AH38" s="90" t="str">
        <f t="shared" si="10"/>
        <v/>
      </c>
      <c r="AI38" s="90" t="str">
        <f t="shared" si="11"/>
        <v/>
      </c>
      <c r="AJ38" s="40"/>
      <c r="AK38" s="40"/>
      <c r="AL38" s="40"/>
      <c r="AM38" s="90" t="str">
        <f t="shared" si="12"/>
        <v/>
      </c>
      <c r="AN38" s="90" t="str">
        <f t="shared" si="13"/>
        <v/>
      </c>
      <c r="AO38" s="40"/>
      <c r="AP38" s="40"/>
      <c r="AQ38" s="40"/>
      <c r="AR38" s="90" t="str">
        <f t="shared" si="14"/>
        <v/>
      </c>
      <c r="AS38" s="90" t="str">
        <f t="shared" si="15"/>
        <v/>
      </c>
      <c r="AT38" s="40"/>
      <c r="AU38" s="40"/>
      <c r="AV38" s="40"/>
      <c r="AW38" s="90" t="str">
        <f t="shared" si="16"/>
        <v/>
      </c>
      <c r="AX38" s="90" t="str">
        <f t="shared" si="17"/>
        <v/>
      </c>
      <c r="AY38" s="40"/>
      <c r="AZ38" s="40"/>
      <c r="BA38" s="40"/>
      <c r="BB38" s="90" t="str">
        <f t="shared" si="18"/>
        <v/>
      </c>
      <c r="BC38" s="90" t="str">
        <f t="shared" si="19"/>
        <v/>
      </c>
    </row>
    <row r="39" spans="1:55">
      <c r="A39" s="90">
        <f>'DATA SISWA'!A39</f>
        <v>35</v>
      </c>
      <c r="B39" s="90" t="str">
        <f>'DATA SISWA'!B39</f>
        <v>7444</v>
      </c>
      <c r="C39" s="90" t="str">
        <f>'DATA SISWA'!C39</f>
        <v>URVIA ZAHNA ROHANDY</v>
      </c>
      <c r="D39" s="90" t="str">
        <f>'DATA SISWA'!D39</f>
        <v>P</v>
      </c>
      <c r="E39" s="90" t="str">
        <f>'DATA SISWA'!E39</f>
        <v>VII-J</v>
      </c>
      <c r="F39" s="40"/>
      <c r="G39" s="40"/>
      <c r="H39" s="40"/>
      <c r="I39" s="90" t="str">
        <f t="shared" si="0"/>
        <v/>
      </c>
      <c r="J39" s="90" t="str">
        <f t="shared" si="1"/>
        <v/>
      </c>
      <c r="K39" s="40"/>
      <c r="L39" s="40"/>
      <c r="M39" s="40"/>
      <c r="N39" s="90" t="str">
        <f t="shared" si="2"/>
        <v/>
      </c>
      <c r="O39" s="90" t="str">
        <f t="shared" si="3"/>
        <v/>
      </c>
      <c r="P39" s="40"/>
      <c r="Q39" s="40"/>
      <c r="R39" s="40"/>
      <c r="S39" s="90" t="str">
        <f t="shared" si="4"/>
        <v/>
      </c>
      <c r="T39" s="90" t="str">
        <f t="shared" si="5"/>
        <v/>
      </c>
      <c r="U39" s="40"/>
      <c r="V39" s="40"/>
      <c r="W39" s="40"/>
      <c r="X39" s="90" t="str">
        <f t="shared" si="6"/>
        <v/>
      </c>
      <c r="Y39" s="90" t="str">
        <f t="shared" si="7"/>
        <v/>
      </c>
      <c r="Z39" s="40"/>
      <c r="AA39" s="40"/>
      <c r="AB39" s="40"/>
      <c r="AC39" s="90" t="str">
        <f t="shared" si="8"/>
        <v/>
      </c>
      <c r="AD39" s="90" t="str">
        <f t="shared" si="9"/>
        <v/>
      </c>
      <c r="AE39" s="40"/>
      <c r="AF39" s="40"/>
      <c r="AG39" s="40"/>
      <c r="AH39" s="90" t="str">
        <f t="shared" si="10"/>
        <v/>
      </c>
      <c r="AI39" s="90" t="str">
        <f t="shared" si="11"/>
        <v/>
      </c>
      <c r="AJ39" s="40"/>
      <c r="AK39" s="40"/>
      <c r="AL39" s="40"/>
      <c r="AM39" s="90" t="str">
        <f t="shared" si="12"/>
        <v/>
      </c>
      <c r="AN39" s="90" t="str">
        <f t="shared" si="13"/>
        <v/>
      </c>
      <c r="AO39" s="40"/>
      <c r="AP39" s="40"/>
      <c r="AQ39" s="40"/>
      <c r="AR39" s="90" t="str">
        <f t="shared" si="14"/>
        <v/>
      </c>
      <c r="AS39" s="90" t="str">
        <f t="shared" si="15"/>
        <v/>
      </c>
      <c r="AT39" s="40"/>
      <c r="AU39" s="40"/>
      <c r="AV39" s="40"/>
      <c r="AW39" s="90" t="str">
        <f t="shared" si="16"/>
        <v/>
      </c>
      <c r="AX39" s="90" t="str">
        <f t="shared" si="17"/>
        <v/>
      </c>
      <c r="AY39" s="40"/>
      <c r="AZ39" s="40"/>
      <c r="BA39" s="40"/>
      <c r="BB39" s="90" t="str">
        <f t="shared" si="18"/>
        <v/>
      </c>
      <c r="BC39" s="90" t="str">
        <f t="shared" si="19"/>
        <v/>
      </c>
    </row>
    <row r="40" spans="1:55">
      <c r="A40" s="90">
        <f>'DATA SISWA'!A40</f>
        <v>36</v>
      </c>
      <c r="B40" s="90">
        <f>'DATA SISWA'!B40</f>
        <v>0</v>
      </c>
      <c r="C40" s="90">
        <f>'DATA SISWA'!C40</f>
        <v>0</v>
      </c>
      <c r="D40" s="90">
        <f>'DATA SISWA'!D40</f>
        <v>0</v>
      </c>
      <c r="E40" s="90" t="str">
        <f>'DATA SISWA'!E40</f>
        <v>VII-J</v>
      </c>
      <c r="F40" s="40"/>
      <c r="G40" s="40"/>
      <c r="H40" s="40"/>
      <c r="I40" s="90" t="str">
        <f t="shared" si="0"/>
        <v/>
      </c>
      <c r="J40" s="90" t="str">
        <f t="shared" si="1"/>
        <v/>
      </c>
      <c r="K40" s="40"/>
      <c r="L40" s="40"/>
      <c r="M40" s="40"/>
      <c r="N40" s="90" t="str">
        <f t="shared" si="2"/>
        <v/>
      </c>
      <c r="O40" s="90" t="str">
        <f t="shared" si="3"/>
        <v/>
      </c>
      <c r="P40" s="40"/>
      <c r="Q40" s="40"/>
      <c r="R40" s="40"/>
      <c r="S40" s="90" t="str">
        <f t="shared" si="4"/>
        <v/>
      </c>
      <c r="T40" s="90" t="str">
        <f t="shared" si="5"/>
        <v/>
      </c>
      <c r="U40" s="40"/>
      <c r="V40" s="40"/>
      <c r="W40" s="40"/>
      <c r="X40" s="90" t="str">
        <f t="shared" si="6"/>
        <v/>
      </c>
      <c r="Y40" s="90" t="str">
        <f t="shared" si="7"/>
        <v/>
      </c>
      <c r="Z40" s="40"/>
      <c r="AA40" s="40"/>
      <c r="AB40" s="40"/>
      <c r="AC40" s="90" t="str">
        <f t="shared" si="8"/>
        <v/>
      </c>
      <c r="AD40" s="90" t="str">
        <f t="shared" si="9"/>
        <v/>
      </c>
      <c r="AE40" s="40"/>
      <c r="AF40" s="40"/>
      <c r="AG40" s="40"/>
      <c r="AH40" s="90" t="str">
        <f t="shared" si="10"/>
        <v/>
      </c>
      <c r="AI40" s="90" t="str">
        <f t="shared" si="11"/>
        <v/>
      </c>
      <c r="AJ40" s="40"/>
      <c r="AK40" s="40"/>
      <c r="AL40" s="40"/>
      <c r="AM40" s="90" t="str">
        <f t="shared" si="12"/>
        <v/>
      </c>
      <c r="AN40" s="90" t="str">
        <f t="shared" si="13"/>
        <v/>
      </c>
      <c r="AO40" s="40"/>
      <c r="AP40" s="40"/>
      <c r="AQ40" s="40"/>
      <c r="AR40" s="90" t="str">
        <f t="shared" si="14"/>
        <v/>
      </c>
      <c r="AS40" s="90" t="str">
        <f t="shared" si="15"/>
        <v/>
      </c>
      <c r="AT40" s="40"/>
      <c r="AU40" s="40"/>
      <c r="AV40" s="40"/>
      <c r="AW40" s="90" t="str">
        <f t="shared" si="16"/>
        <v/>
      </c>
      <c r="AX40" s="90" t="str">
        <f t="shared" si="17"/>
        <v/>
      </c>
      <c r="AY40" s="40"/>
      <c r="AZ40" s="40"/>
      <c r="BA40" s="40"/>
      <c r="BB40" s="90" t="str">
        <f t="shared" si="18"/>
        <v/>
      </c>
      <c r="BC40" s="90" t="str">
        <f t="shared" si="19"/>
        <v/>
      </c>
    </row>
    <row r="41" spans="1:55">
      <c r="A41" s="90">
        <f>'DATA SISWA'!A41</f>
        <v>37</v>
      </c>
      <c r="B41" s="90">
        <f>'DATA SISWA'!B41</f>
        <v>0</v>
      </c>
      <c r="C41" s="90">
        <f>'DATA SISWA'!C41</f>
        <v>0</v>
      </c>
      <c r="D41" s="90">
        <f>'DATA SISWA'!D41</f>
        <v>0</v>
      </c>
      <c r="E41" s="90" t="str">
        <f>'DATA SISWA'!E41</f>
        <v>VII-J</v>
      </c>
      <c r="F41" s="40"/>
      <c r="G41" s="40"/>
      <c r="H41" s="40"/>
      <c r="I41" s="90" t="str">
        <f t="shared" si="0"/>
        <v/>
      </c>
      <c r="J41" s="90" t="str">
        <f t="shared" si="1"/>
        <v/>
      </c>
      <c r="K41" s="40"/>
      <c r="L41" s="40"/>
      <c r="M41" s="40"/>
      <c r="N41" s="90" t="str">
        <f t="shared" si="2"/>
        <v/>
      </c>
      <c r="O41" s="90" t="str">
        <f t="shared" si="3"/>
        <v/>
      </c>
      <c r="P41" s="40"/>
      <c r="Q41" s="40"/>
      <c r="R41" s="40"/>
      <c r="S41" s="90" t="str">
        <f t="shared" si="4"/>
        <v/>
      </c>
      <c r="T41" s="90" t="str">
        <f t="shared" si="5"/>
        <v/>
      </c>
      <c r="U41" s="40"/>
      <c r="V41" s="40"/>
      <c r="W41" s="40"/>
      <c r="X41" s="90" t="str">
        <f t="shared" si="6"/>
        <v/>
      </c>
      <c r="Y41" s="90" t="str">
        <f t="shared" si="7"/>
        <v/>
      </c>
      <c r="Z41" s="40"/>
      <c r="AA41" s="40"/>
      <c r="AB41" s="40"/>
      <c r="AC41" s="90" t="str">
        <f t="shared" si="8"/>
        <v/>
      </c>
      <c r="AD41" s="90" t="str">
        <f t="shared" si="9"/>
        <v/>
      </c>
      <c r="AE41" s="40"/>
      <c r="AF41" s="40"/>
      <c r="AG41" s="40"/>
      <c r="AH41" s="90" t="str">
        <f t="shared" si="10"/>
        <v/>
      </c>
      <c r="AI41" s="90" t="str">
        <f t="shared" si="11"/>
        <v/>
      </c>
      <c r="AJ41" s="40"/>
      <c r="AK41" s="40"/>
      <c r="AL41" s="40"/>
      <c r="AM41" s="90" t="str">
        <f t="shared" si="12"/>
        <v/>
      </c>
      <c r="AN41" s="90" t="str">
        <f t="shared" si="13"/>
        <v/>
      </c>
      <c r="AO41" s="40"/>
      <c r="AP41" s="40"/>
      <c r="AQ41" s="40"/>
      <c r="AR41" s="90" t="str">
        <f t="shared" si="14"/>
        <v/>
      </c>
      <c r="AS41" s="90" t="str">
        <f t="shared" si="15"/>
        <v/>
      </c>
      <c r="AT41" s="40"/>
      <c r="AU41" s="40"/>
      <c r="AV41" s="40"/>
      <c r="AW41" s="90" t="str">
        <f t="shared" si="16"/>
        <v/>
      </c>
      <c r="AX41" s="90" t="str">
        <f t="shared" si="17"/>
        <v/>
      </c>
      <c r="AY41" s="40"/>
      <c r="AZ41" s="40"/>
      <c r="BA41" s="40"/>
      <c r="BB41" s="90" t="str">
        <f t="shared" si="18"/>
        <v/>
      </c>
      <c r="BC41" s="90" t="str">
        <f t="shared" si="19"/>
        <v/>
      </c>
    </row>
    <row r="42" spans="1:55">
      <c r="A42" s="90">
        <f>'DATA SISWA'!A42</f>
        <v>38</v>
      </c>
      <c r="B42" s="90">
        <f>'DATA SISWA'!B42</f>
        <v>0</v>
      </c>
      <c r="C42" s="90">
        <f>'DATA SISWA'!C42</f>
        <v>0</v>
      </c>
      <c r="D42" s="90">
        <f>'DATA SISWA'!D42</f>
        <v>0</v>
      </c>
      <c r="E42" s="90" t="str">
        <f>'DATA SISWA'!E42</f>
        <v>VII-J</v>
      </c>
      <c r="F42" s="40"/>
      <c r="G42" s="40"/>
      <c r="H42" s="40"/>
      <c r="I42" s="90" t="str">
        <f t="shared" si="0"/>
        <v/>
      </c>
      <c r="J42" s="90" t="str">
        <f t="shared" si="1"/>
        <v/>
      </c>
      <c r="K42" s="40"/>
      <c r="L42" s="40"/>
      <c r="M42" s="40"/>
      <c r="N42" s="90" t="str">
        <f t="shared" si="2"/>
        <v/>
      </c>
      <c r="O42" s="90" t="str">
        <f t="shared" si="3"/>
        <v/>
      </c>
      <c r="P42" s="40"/>
      <c r="Q42" s="40"/>
      <c r="R42" s="40"/>
      <c r="S42" s="90" t="str">
        <f t="shared" si="4"/>
        <v/>
      </c>
      <c r="T42" s="90" t="str">
        <f t="shared" si="5"/>
        <v/>
      </c>
      <c r="U42" s="40"/>
      <c r="V42" s="40"/>
      <c r="W42" s="40"/>
      <c r="X42" s="90" t="str">
        <f t="shared" si="6"/>
        <v/>
      </c>
      <c r="Y42" s="90" t="str">
        <f t="shared" si="7"/>
        <v/>
      </c>
      <c r="Z42" s="40"/>
      <c r="AA42" s="40"/>
      <c r="AB42" s="40"/>
      <c r="AC42" s="90" t="str">
        <f t="shared" si="8"/>
        <v/>
      </c>
      <c r="AD42" s="90" t="str">
        <f t="shared" si="9"/>
        <v/>
      </c>
      <c r="AE42" s="40"/>
      <c r="AF42" s="40"/>
      <c r="AG42" s="40"/>
      <c r="AH42" s="90" t="str">
        <f t="shared" si="10"/>
        <v/>
      </c>
      <c r="AI42" s="90" t="str">
        <f t="shared" si="11"/>
        <v/>
      </c>
      <c r="AJ42" s="40"/>
      <c r="AK42" s="40"/>
      <c r="AL42" s="40"/>
      <c r="AM42" s="90" t="str">
        <f t="shared" si="12"/>
        <v/>
      </c>
      <c r="AN42" s="90" t="str">
        <f t="shared" si="13"/>
        <v/>
      </c>
      <c r="AO42" s="40"/>
      <c r="AP42" s="40"/>
      <c r="AQ42" s="40"/>
      <c r="AR42" s="90" t="str">
        <f t="shared" si="14"/>
        <v/>
      </c>
      <c r="AS42" s="90" t="str">
        <f t="shared" si="15"/>
        <v/>
      </c>
      <c r="AT42" s="40"/>
      <c r="AU42" s="40"/>
      <c r="AV42" s="40"/>
      <c r="AW42" s="90" t="str">
        <f t="shared" si="16"/>
        <v/>
      </c>
      <c r="AX42" s="90" t="str">
        <f t="shared" si="17"/>
        <v/>
      </c>
      <c r="AY42" s="40"/>
      <c r="AZ42" s="40"/>
      <c r="BA42" s="40"/>
      <c r="BB42" s="90" t="str">
        <f t="shared" si="18"/>
        <v/>
      </c>
      <c r="BC42" s="90" t="str">
        <f t="shared" si="19"/>
        <v/>
      </c>
    </row>
    <row r="43" spans="1:55">
      <c r="A43" s="90">
        <f>'DATA SISWA'!A43</f>
        <v>39</v>
      </c>
      <c r="B43" s="90">
        <f>'DATA SISWA'!B43</f>
        <v>0</v>
      </c>
      <c r="C43" s="90">
        <f>'DATA SISWA'!C43</f>
        <v>0</v>
      </c>
      <c r="D43" s="90">
        <f>'DATA SISWA'!D43</f>
        <v>0</v>
      </c>
      <c r="E43" s="90" t="str">
        <f>'DATA SISWA'!E43</f>
        <v>VII-J</v>
      </c>
      <c r="F43" s="40"/>
      <c r="G43" s="40"/>
      <c r="H43" s="40"/>
      <c r="I43" s="90" t="str">
        <f t="shared" si="0"/>
        <v/>
      </c>
      <c r="J43" s="90" t="str">
        <f t="shared" si="1"/>
        <v/>
      </c>
      <c r="K43" s="40"/>
      <c r="L43" s="40"/>
      <c r="M43" s="40"/>
      <c r="N43" s="90" t="str">
        <f t="shared" si="2"/>
        <v/>
      </c>
      <c r="O43" s="90" t="str">
        <f t="shared" si="3"/>
        <v/>
      </c>
      <c r="P43" s="40"/>
      <c r="Q43" s="40"/>
      <c r="R43" s="40"/>
      <c r="S43" s="90" t="str">
        <f t="shared" si="4"/>
        <v/>
      </c>
      <c r="T43" s="90" t="str">
        <f t="shared" si="5"/>
        <v/>
      </c>
      <c r="U43" s="40"/>
      <c r="V43" s="40"/>
      <c r="W43" s="40"/>
      <c r="X43" s="90" t="str">
        <f t="shared" si="6"/>
        <v/>
      </c>
      <c r="Y43" s="90" t="str">
        <f t="shared" si="7"/>
        <v/>
      </c>
      <c r="Z43" s="40"/>
      <c r="AA43" s="40"/>
      <c r="AB43" s="40"/>
      <c r="AC43" s="90" t="str">
        <f t="shared" si="8"/>
        <v/>
      </c>
      <c r="AD43" s="90" t="str">
        <f t="shared" si="9"/>
        <v/>
      </c>
      <c r="AE43" s="40"/>
      <c r="AF43" s="40"/>
      <c r="AG43" s="40"/>
      <c r="AH43" s="90" t="str">
        <f t="shared" si="10"/>
        <v/>
      </c>
      <c r="AI43" s="90" t="str">
        <f t="shared" si="11"/>
        <v/>
      </c>
      <c r="AJ43" s="40"/>
      <c r="AK43" s="40"/>
      <c r="AL43" s="40"/>
      <c r="AM43" s="90" t="str">
        <f t="shared" si="12"/>
        <v/>
      </c>
      <c r="AN43" s="90" t="str">
        <f t="shared" si="13"/>
        <v/>
      </c>
      <c r="AO43" s="40"/>
      <c r="AP43" s="40"/>
      <c r="AQ43" s="40"/>
      <c r="AR43" s="90" t="str">
        <f t="shared" si="14"/>
        <v/>
      </c>
      <c r="AS43" s="90" t="str">
        <f t="shared" si="15"/>
        <v/>
      </c>
      <c r="AT43" s="40"/>
      <c r="AU43" s="40"/>
      <c r="AV43" s="40"/>
      <c r="AW43" s="90" t="str">
        <f t="shared" si="16"/>
        <v/>
      </c>
      <c r="AX43" s="90" t="str">
        <f t="shared" si="17"/>
        <v/>
      </c>
      <c r="AY43" s="40"/>
      <c r="AZ43" s="40"/>
      <c r="BA43" s="40"/>
      <c r="BB43" s="90" t="str">
        <f t="shared" si="18"/>
        <v/>
      </c>
      <c r="BC43" s="90" t="str">
        <f t="shared" si="19"/>
        <v/>
      </c>
    </row>
    <row r="44" spans="1:55">
      <c r="A44" s="90">
        <f>'DATA SISWA'!A44</f>
        <v>40</v>
      </c>
      <c r="B44" s="90">
        <f>'DATA SISWA'!B44</f>
        <v>0</v>
      </c>
      <c r="C44" s="90">
        <f>'DATA SISWA'!C44</f>
        <v>0</v>
      </c>
      <c r="D44" s="90">
        <f>'DATA SISWA'!D44</f>
        <v>0</v>
      </c>
      <c r="E44" s="90" t="str">
        <f>'DATA SISWA'!E44</f>
        <v>VII-J</v>
      </c>
      <c r="F44" s="40"/>
      <c r="G44" s="40"/>
      <c r="H44" s="40"/>
      <c r="I44" s="90" t="str">
        <f t="shared" si="0"/>
        <v/>
      </c>
      <c r="J44" s="90" t="str">
        <f t="shared" si="1"/>
        <v/>
      </c>
      <c r="K44" s="40"/>
      <c r="L44" s="40"/>
      <c r="M44" s="40"/>
      <c r="N44" s="90" t="str">
        <f t="shared" si="2"/>
        <v/>
      </c>
      <c r="O44" s="90" t="str">
        <f t="shared" si="3"/>
        <v/>
      </c>
      <c r="P44" s="40"/>
      <c r="Q44" s="40"/>
      <c r="R44" s="40"/>
      <c r="S44" s="90" t="str">
        <f t="shared" si="4"/>
        <v/>
      </c>
      <c r="T44" s="90" t="str">
        <f t="shared" si="5"/>
        <v/>
      </c>
      <c r="U44" s="40"/>
      <c r="V44" s="40"/>
      <c r="W44" s="40"/>
      <c r="X44" s="90" t="str">
        <f t="shared" si="6"/>
        <v/>
      </c>
      <c r="Y44" s="90" t="str">
        <f t="shared" si="7"/>
        <v/>
      </c>
      <c r="Z44" s="40"/>
      <c r="AA44" s="40"/>
      <c r="AB44" s="40"/>
      <c r="AC44" s="90" t="str">
        <f t="shared" si="8"/>
        <v/>
      </c>
      <c r="AD44" s="90" t="str">
        <f t="shared" si="9"/>
        <v/>
      </c>
      <c r="AE44" s="40"/>
      <c r="AF44" s="40"/>
      <c r="AG44" s="40"/>
      <c r="AH44" s="90" t="str">
        <f t="shared" si="10"/>
        <v/>
      </c>
      <c r="AI44" s="90" t="str">
        <f t="shared" si="11"/>
        <v/>
      </c>
      <c r="AJ44" s="40"/>
      <c r="AK44" s="40"/>
      <c r="AL44" s="40"/>
      <c r="AM44" s="90" t="str">
        <f t="shared" si="12"/>
        <v/>
      </c>
      <c r="AN44" s="90" t="str">
        <f t="shared" si="13"/>
        <v/>
      </c>
      <c r="AO44" s="40"/>
      <c r="AP44" s="40"/>
      <c r="AQ44" s="40"/>
      <c r="AR44" s="90" t="str">
        <f t="shared" si="14"/>
        <v/>
      </c>
      <c r="AS44" s="90" t="str">
        <f t="shared" si="15"/>
        <v/>
      </c>
      <c r="AT44" s="40"/>
      <c r="AU44" s="40"/>
      <c r="AV44" s="40"/>
      <c r="AW44" s="90" t="str">
        <f t="shared" si="16"/>
        <v/>
      </c>
      <c r="AX44" s="90" t="str">
        <f t="shared" si="17"/>
        <v/>
      </c>
      <c r="AY44" s="40"/>
      <c r="AZ44" s="40"/>
      <c r="BA44" s="40"/>
      <c r="BB44" s="90" t="str">
        <f t="shared" si="18"/>
        <v/>
      </c>
      <c r="BC44" s="90" t="str">
        <f t="shared" si="19"/>
        <v/>
      </c>
    </row>
    <row r="45" spans="1:55">
      <c r="A45" s="90">
        <f>'DATA SISWA'!A45</f>
        <v>41</v>
      </c>
      <c r="B45" s="90">
        <f>'DATA SISWA'!B45</f>
        <v>0</v>
      </c>
      <c r="C45" s="90">
        <f>'DATA SISWA'!C45</f>
        <v>0</v>
      </c>
      <c r="D45" s="90">
        <f>'DATA SISWA'!D45</f>
        <v>0</v>
      </c>
      <c r="E45" s="90" t="str">
        <f>'DATA SISWA'!E45</f>
        <v>VII-J</v>
      </c>
      <c r="F45" s="40"/>
      <c r="G45" s="40"/>
      <c r="H45" s="40"/>
      <c r="I45" s="90" t="str">
        <f t="shared" ref="I45:I51" si="20">IF(F45="","",SUM(F45:H45))</f>
        <v/>
      </c>
      <c r="J45" s="90" t="str">
        <f t="shared" ref="J45:J51" si="21">IF(I45="","",((I45/12)*100))</f>
        <v/>
      </c>
      <c r="K45" s="40"/>
      <c r="L45" s="40"/>
      <c r="M45" s="40"/>
      <c r="N45" s="90" t="str">
        <f t="shared" ref="N45:N51" si="22">IF(K45="","",SUM(K45:M45))</f>
        <v/>
      </c>
      <c r="O45" s="90" t="str">
        <f t="shared" ref="O45:O51" si="23">IF(N45="","",((N45/12)*100))</f>
        <v/>
      </c>
      <c r="P45" s="40"/>
      <c r="Q45" s="40"/>
      <c r="R45" s="40"/>
      <c r="S45" s="90" t="str">
        <f t="shared" ref="S45:S51" si="24">IF(P45="","",SUM(P45:R45))</f>
        <v/>
      </c>
      <c r="T45" s="90" t="str">
        <f t="shared" ref="T45:T51" si="25">IF(S45="","",((S45/12)*100))</f>
        <v/>
      </c>
      <c r="U45" s="40"/>
      <c r="V45" s="40"/>
      <c r="W45" s="40"/>
      <c r="X45" s="90" t="str">
        <f t="shared" ref="X45:X51" si="26">IF(U45="","",SUM(U45:W45))</f>
        <v/>
      </c>
      <c r="Y45" s="90" t="str">
        <f t="shared" ref="Y45:Y51" si="27">IF(X45="","",((X45/12)*100))</f>
        <v/>
      </c>
      <c r="Z45" s="40"/>
      <c r="AA45" s="40"/>
      <c r="AB45" s="40"/>
      <c r="AC45" s="90" t="str">
        <f t="shared" ref="AC45:AC51" si="28">IF(Z45="","",SUM(Z45:AB45))</f>
        <v/>
      </c>
      <c r="AD45" s="90" t="str">
        <f t="shared" ref="AD45:AD51" si="29">IF(AC45="","",((AC45/12)*100))</f>
        <v/>
      </c>
      <c r="AE45" s="40"/>
      <c r="AF45" s="40"/>
      <c r="AG45" s="40"/>
      <c r="AH45" s="90" t="str">
        <f t="shared" ref="AH45:AH51" si="30">IF(AE45="","",SUM(AE45:AG45))</f>
        <v/>
      </c>
      <c r="AI45" s="90" t="str">
        <f t="shared" ref="AI45:AI51" si="31">IF(AH45="","",((AH45/12)*100))</f>
        <v/>
      </c>
      <c r="AJ45" s="40"/>
      <c r="AK45" s="40"/>
      <c r="AL45" s="40"/>
      <c r="AM45" s="90" t="str">
        <f t="shared" ref="AM45:AM51" si="32">IF(AJ45="","",SUM(AJ45:AL45))</f>
        <v/>
      </c>
      <c r="AN45" s="90" t="str">
        <f t="shared" ref="AN45:AN51" si="33">IF(AM45="","",((AM45/12)*4))</f>
        <v/>
      </c>
      <c r="AO45" s="40"/>
      <c r="AP45" s="40"/>
      <c r="AQ45" s="40"/>
      <c r="AR45" s="90" t="str">
        <f t="shared" ref="AR45:AR51" si="34">IF(AO45="","",SUM(AO45:AQ45))</f>
        <v/>
      </c>
      <c r="AS45" s="90" t="str">
        <f t="shared" ref="AS45:AS51" si="35">IF(AR45="","",((AR45/12)*100))</f>
        <v/>
      </c>
      <c r="AT45" s="40"/>
      <c r="AU45" s="40"/>
      <c r="AV45" s="40"/>
      <c r="AW45" s="90" t="str">
        <f t="shared" ref="AW45:AW51" si="36">IF(AT45="","",SUM(AT45:AV45))</f>
        <v/>
      </c>
      <c r="AX45" s="90" t="str">
        <f t="shared" ref="AX45:AX51" si="37">IF(AW45="","",((AW45/12)*100))</f>
        <v/>
      </c>
      <c r="AY45" s="40"/>
      <c r="AZ45" s="40"/>
      <c r="BA45" s="40"/>
      <c r="BB45" s="90" t="str">
        <f t="shared" ref="BB45:BB51" si="38">IF(AY45="","",SUM(AY45:BA45))</f>
        <v/>
      </c>
      <c r="BC45" s="90" t="str">
        <f t="shared" si="19"/>
        <v/>
      </c>
    </row>
    <row r="46" spans="1:55">
      <c r="A46" s="90">
        <f>'DATA SISWA'!A46</f>
        <v>42</v>
      </c>
      <c r="B46" s="90">
        <f>'DATA SISWA'!B46</f>
        <v>0</v>
      </c>
      <c r="C46" s="90">
        <f>'DATA SISWA'!C46</f>
        <v>0</v>
      </c>
      <c r="D46" s="90">
        <f>'DATA SISWA'!D46</f>
        <v>0</v>
      </c>
      <c r="E46" s="90" t="str">
        <f>'DATA SISWA'!E46</f>
        <v>VII-J</v>
      </c>
      <c r="F46" s="40"/>
      <c r="G46" s="40"/>
      <c r="H46" s="40"/>
      <c r="I46" s="90" t="str">
        <f t="shared" si="20"/>
        <v/>
      </c>
      <c r="J46" s="90" t="str">
        <f t="shared" si="21"/>
        <v/>
      </c>
      <c r="K46" s="40"/>
      <c r="L46" s="40"/>
      <c r="M46" s="40"/>
      <c r="N46" s="90" t="str">
        <f t="shared" si="22"/>
        <v/>
      </c>
      <c r="O46" s="90" t="str">
        <f t="shared" si="23"/>
        <v/>
      </c>
      <c r="P46" s="40"/>
      <c r="Q46" s="40"/>
      <c r="R46" s="40"/>
      <c r="S46" s="90" t="str">
        <f t="shared" si="24"/>
        <v/>
      </c>
      <c r="T46" s="90" t="str">
        <f t="shared" si="25"/>
        <v/>
      </c>
      <c r="U46" s="40"/>
      <c r="V46" s="40"/>
      <c r="W46" s="40"/>
      <c r="X46" s="90" t="str">
        <f t="shared" si="26"/>
        <v/>
      </c>
      <c r="Y46" s="90" t="str">
        <f t="shared" si="27"/>
        <v/>
      </c>
      <c r="Z46" s="40"/>
      <c r="AA46" s="40"/>
      <c r="AB46" s="40"/>
      <c r="AC46" s="90" t="str">
        <f t="shared" si="28"/>
        <v/>
      </c>
      <c r="AD46" s="90" t="str">
        <f t="shared" si="29"/>
        <v/>
      </c>
      <c r="AE46" s="40"/>
      <c r="AF46" s="40"/>
      <c r="AG46" s="40"/>
      <c r="AH46" s="90" t="str">
        <f t="shared" si="30"/>
        <v/>
      </c>
      <c r="AI46" s="90" t="str">
        <f t="shared" si="31"/>
        <v/>
      </c>
      <c r="AJ46" s="40"/>
      <c r="AK46" s="40"/>
      <c r="AL46" s="40"/>
      <c r="AM46" s="90" t="str">
        <f t="shared" si="32"/>
        <v/>
      </c>
      <c r="AN46" s="90" t="str">
        <f t="shared" si="33"/>
        <v/>
      </c>
      <c r="AO46" s="40"/>
      <c r="AP46" s="40"/>
      <c r="AQ46" s="40"/>
      <c r="AR46" s="90" t="str">
        <f t="shared" si="34"/>
        <v/>
      </c>
      <c r="AS46" s="90" t="str">
        <f t="shared" si="35"/>
        <v/>
      </c>
      <c r="AT46" s="40"/>
      <c r="AU46" s="40"/>
      <c r="AV46" s="40"/>
      <c r="AW46" s="90" t="str">
        <f t="shared" si="36"/>
        <v/>
      </c>
      <c r="AX46" s="90" t="str">
        <f t="shared" si="37"/>
        <v/>
      </c>
      <c r="AY46" s="40"/>
      <c r="AZ46" s="40"/>
      <c r="BA46" s="40"/>
      <c r="BB46" s="90" t="str">
        <f t="shared" si="38"/>
        <v/>
      </c>
      <c r="BC46" s="90" t="str">
        <f t="shared" si="19"/>
        <v/>
      </c>
    </row>
    <row r="47" spans="1:55">
      <c r="A47" s="90">
        <f>'DATA SISWA'!A47</f>
        <v>43</v>
      </c>
      <c r="B47" s="90">
        <f>'DATA SISWA'!B47</f>
        <v>0</v>
      </c>
      <c r="C47" s="90">
        <f>'DATA SISWA'!C47</f>
        <v>0</v>
      </c>
      <c r="D47" s="90">
        <f>'DATA SISWA'!D47</f>
        <v>0</v>
      </c>
      <c r="E47" s="90" t="str">
        <f>'DATA SISWA'!E47</f>
        <v>VII-J</v>
      </c>
      <c r="F47" s="40"/>
      <c r="G47" s="40"/>
      <c r="H47" s="40"/>
      <c r="I47" s="90" t="str">
        <f t="shared" si="20"/>
        <v/>
      </c>
      <c r="J47" s="90" t="str">
        <f t="shared" si="21"/>
        <v/>
      </c>
      <c r="K47" s="40"/>
      <c r="L47" s="40"/>
      <c r="M47" s="40"/>
      <c r="N47" s="90" t="str">
        <f t="shared" si="22"/>
        <v/>
      </c>
      <c r="O47" s="90" t="str">
        <f t="shared" si="23"/>
        <v/>
      </c>
      <c r="P47" s="40"/>
      <c r="Q47" s="40"/>
      <c r="R47" s="40"/>
      <c r="S47" s="90" t="str">
        <f t="shared" si="24"/>
        <v/>
      </c>
      <c r="T47" s="90" t="str">
        <f t="shared" si="25"/>
        <v/>
      </c>
      <c r="U47" s="40"/>
      <c r="V47" s="40"/>
      <c r="W47" s="40"/>
      <c r="X47" s="90" t="str">
        <f t="shared" si="26"/>
        <v/>
      </c>
      <c r="Y47" s="90" t="str">
        <f t="shared" si="27"/>
        <v/>
      </c>
      <c r="Z47" s="40"/>
      <c r="AA47" s="40"/>
      <c r="AB47" s="40"/>
      <c r="AC47" s="90" t="str">
        <f t="shared" si="28"/>
        <v/>
      </c>
      <c r="AD47" s="90" t="str">
        <f t="shared" si="29"/>
        <v/>
      </c>
      <c r="AE47" s="40"/>
      <c r="AF47" s="40"/>
      <c r="AG47" s="40"/>
      <c r="AH47" s="90" t="str">
        <f t="shared" si="30"/>
        <v/>
      </c>
      <c r="AI47" s="90" t="str">
        <f t="shared" si="31"/>
        <v/>
      </c>
      <c r="AJ47" s="40"/>
      <c r="AK47" s="40"/>
      <c r="AL47" s="40"/>
      <c r="AM47" s="90" t="str">
        <f t="shared" si="32"/>
        <v/>
      </c>
      <c r="AN47" s="90" t="str">
        <f t="shared" si="33"/>
        <v/>
      </c>
      <c r="AO47" s="40"/>
      <c r="AP47" s="40"/>
      <c r="AQ47" s="40"/>
      <c r="AR47" s="90" t="str">
        <f t="shared" si="34"/>
        <v/>
      </c>
      <c r="AS47" s="90" t="str">
        <f t="shared" si="35"/>
        <v/>
      </c>
      <c r="AT47" s="40"/>
      <c r="AU47" s="40"/>
      <c r="AV47" s="40"/>
      <c r="AW47" s="90" t="str">
        <f t="shared" si="36"/>
        <v/>
      </c>
      <c r="AX47" s="90" t="str">
        <f t="shared" si="37"/>
        <v/>
      </c>
      <c r="AY47" s="40"/>
      <c r="AZ47" s="40"/>
      <c r="BA47" s="40"/>
      <c r="BB47" s="90" t="str">
        <f t="shared" si="38"/>
        <v/>
      </c>
      <c r="BC47" s="90" t="str">
        <f t="shared" si="19"/>
        <v/>
      </c>
    </row>
    <row r="48" spans="1:55">
      <c r="A48" s="90">
        <f>'DATA SISWA'!A48</f>
        <v>44</v>
      </c>
      <c r="B48" s="90">
        <f>'DATA SISWA'!B48</f>
        <v>0</v>
      </c>
      <c r="C48" s="90">
        <f>'DATA SISWA'!C48</f>
        <v>0</v>
      </c>
      <c r="D48" s="90">
        <f>'DATA SISWA'!D48</f>
        <v>0</v>
      </c>
      <c r="E48" s="90" t="str">
        <f>'DATA SISWA'!E48</f>
        <v>VII-J</v>
      </c>
      <c r="F48" s="40"/>
      <c r="G48" s="40"/>
      <c r="H48" s="40"/>
      <c r="I48" s="90" t="str">
        <f t="shared" si="20"/>
        <v/>
      </c>
      <c r="J48" s="90" t="str">
        <f t="shared" si="21"/>
        <v/>
      </c>
      <c r="K48" s="40"/>
      <c r="L48" s="40"/>
      <c r="M48" s="40"/>
      <c r="N48" s="90" t="str">
        <f t="shared" si="22"/>
        <v/>
      </c>
      <c r="O48" s="90" t="str">
        <f t="shared" si="23"/>
        <v/>
      </c>
      <c r="P48" s="40"/>
      <c r="Q48" s="40"/>
      <c r="R48" s="40"/>
      <c r="S48" s="90" t="str">
        <f t="shared" si="24"/>
        <v/>
      </c>
      <c r="T48" s="90" t="str">
        <f t="shared" si="25"/>
        <v/>
      </c>
      <c r="U48" s="40"/>
      <c r="V48" s="40"/>
      <c r="W48" s="40"/>
      <c r="X48" s="90" t="str">
        <f t="shared" si="26"/>
        <v/>
      </c>
      <c r="Y48" s="90" t="str">
        <f t="shared" si="27"/>
        <v/>
      </c>
      <c r="Z48" s="40"/>
      <c r="AA48" s="40"/>
      <c r="AB48" s="40"/>
      <c r="AC48" s="90" t="str">
        <f t="shared" si="28"/>
        <v/>
      </c>
      <c r="AD48" s="90" t="str">
        <f t="shared" si="29"/>
        <v/>
      </c>
      <c r="AE48" s="40"/>
      <c r="AF48" s="40"/>
      <c r="AG48" s="40"/>
      <c r="AH48" s="90" t="str">
        <f t="shared" si="30"/>
        <v/>
      </c>
      <c r="AI48" s="90" t="str">
        <f t="shared" si="31"/>
        <v/>
      </c>
      <c r="AJ48" s="40"/>
      <c r="AK48" s="40"/>
      <c r="AL48" s="40"/>
      <c r="AM48" s="90" t="str">
        <f t="shared" si="32"/>
        <v/>
      </c>
      <c r="AN48" s="90" t="str">
        <f t="shared" si="33"/>
        <v/>
      </c>
      <c r="AO48" s="40"/>
      <c r="AP48" s="40"/>
      <c r="AQ48" s="40"/>
      <c r="AR48" s="90" t="str">
        <f t="shared" si="34"/>
        <v/>
      </c>
      <c r="AS48" s="90" t="str">
        <f t="shared" si="35"/>
        <v/>
      </c>
      <c r="AT48" s="40"/>
      <c r="AU48" s="40"/>
      <c r="AV48" s="40"/>
      <c r="AW48" s="90" t="str">
        <f t="shared" si="36"/>
        <v/>
      </c>
      <c r="AX48" s="90" t="str">
        <f t="shared" si="37"/>
        <v/>
      </c>
      <c r="AY48" s="40"/>
      <c r="AZ48" s="40"/>
      <c r="BA48" s="40"/>
      <c r="BB48" s="90" t="str">
        <f t="shared" si="38"/>
        <v/>
      </c>
      <c r="BC48" s="90" t="str">
        <f t="shared" si="19"/>
        <v/>
      </c>
    </row>
    <row r="49" spans="1:55">
      <c r="A49" s="90">
        <f>'DATA SISWA'!A49</f>
        <v>45</v>
      </c>
      <c r="B49" s="90">
        <f>'DATA SISWA'!B49</f>
        <v>0</v>
      </c>
      <c r="C49" s="90">
        <f>'DATA SISWA'!C49</f>
        <v>0</v>
      </c>
      <c r="D49" s="90">
        <f>'DATA SISWA'!D49</f>
        <v>0</v>
      </c>
      <c r="E49" s="90" t="str">
        <f>'DATA SISWA'!E49</f>
        <v>VII-J</v>
      </c>
      <c r="F49" s="40"/>
      <c r="G49" s="40"/>
      <c r="H49" s="40"/>
      <c r="I49" s="90" t="str">
        <f t="shared" si="20"/>
        <v/>
      </c>
      <c r="J49" s="90" t="str">
        <f t="shared" si="21"/>
        <v/>
      </c>
      <c r="K49" s="40"/>
      <c r="L49" s="40"/>
      <c r="M49" s="40"/>
      <c r="N49" s="90" t="str">
        <f t="shared" si="22"/>
        <v/>
      </c>
      <c r="O49" s="90" t="str">
        <f t="shared" si="23"/>
        <v/>
      </c>
      <c r="P49" s="40"/>
      <c r="Q49" s="40"/>
      <c r="R49" s="40"/>
      <c r="S49" s="90" t="str">
        <f t="shared" si="24"/>
        <v/>
      </c>
      <c r="T49" s="90" t="str">
        <f t="shared" si="25"/>
        <v/>
      </c>
      <c r="U49" s="40"/>
      <c r="V49" s="40"/>
      <c r="W49" s="40"/>
      <c r="X49" s="90" t="str">
        <f t="shared" si="26"/>
        <v/>
      </c>
      <c r="Y49" s="90" t="str">
        <f t="shared" si="27"/>
        <v/>
      </c>
      <c r="Z49" s="40"/>
      <c r="AA49" s="40"/>
      <c r="AB49" s="40"/>
      <c r="AC49" s="90" t="str">
        <f t="shared" si="28"/>
        <v/>
      </c>
      <c r="AD49" s="90" t="str">
        <f t="shared" si="29"/>
        <v/>
      </c>
      <c r="AE49" s="40"/>
      <c r="AF49" s="40"/>
      <c r="AG49" s="40"/>
      <c r="AH49" s="90" t="str">
        <f t="shared" si="30"/>
        <v/>
      </c>
      <c r="AI49" s="90" t="str">
        <f t="shared" si="31"/>
        <v/>
      </c>
      <c r="AJ49" s="40"/>
      <c r="AK49" s="40"/>
      <c r="AL49" s="40"/>
      <c r="AM49" s="90" t="str">
        <f t="shared" si="32"/>
        <v/>
      </c>
      <c r="AN49" s="90" t="str">
        <f t="shared" si="33"/>
        <v/>
      </c>
      <c r="AO49" s="40"/>
      <c r="AP49" s="40"/>
      <c r="AQ49" s="40"/>
      <c r="AR49" s="90" t="str">
        <f t="shared" si="34"/>
        <v/>
      </c>
      <c r="AS49" s="90" t="str">
        <f t="shared" si="35"/>
        <v/>
      </c>
      <c r="AT49" s="40"/>
      <c r="AU49" s="40"/>
      <c r="AV49" s="40"/>
      <c r="AW49" s="90" t="str">
        <f t="shared" si="36"/>
        <v/>
      </c>
      <c r="AX49" s="90" t="str">
        <f t="shared" si="37"/>
        <v/>
      </c>
      <c r="AY49" s="40"/>
      <c r="AZ49" s="40"/>
      <c r="BA49" s="40"/>
      <c r="BB49" s="90" t="str">
        <f t="shared" si="38"/>
        <v/>
      </c>
      <c r="BC49" s="90" t="str">
        <f t="shared" si="19"/>
        <v/>
      </c>
    </row>
    <row r="50" spans="1:55">
      <c r="A50" s="90">
        <f>'DATA SISWA'!A50</f>
        <v>46</v>
      </c>
      <c r="B50" s="90">
        <f>'DATA SISWA'!B50</f>
        <v>0</v>
      </c>
      <c r="C50" s="90">
        <f>'DATA SISWA'!C50</f>
        <v>0</v>
      </c>
      <c r="D50" s="90">
        <f>'DATA SISWA'!D50</f>
        <v>0</v>
      </c>
      <c r="E50" s="90" t="str">
        <f>'DATA SISWA'!E50</f>
        <v>VII-J</v>
      </c>
      <c r="F50" s="40"/>
      <c r="G50" s="40"/>
      <c r="H50" s="40"/>
      <c r="I50" s="90" t="str">
        <f t="shared" si="20"/>
        <v/>
      </c>
      <c r="J50" s="90" t="str">
        <f t="shared" si="21"/>
        <v/>
      </c>
      <c r="K50" s="40"/>
      <c r="L50" s="40"/>
      <c r="M50" s="40"/>
      <c r="N50" s="90" t="str">
        <f t="shared" si="22"/>
        <v/>
      </c>
      <c r="O50" s="90" t="str">
        <f t="shared" si="23"/>
        <v/>
      </c>
      <c r="P50" s="40"/>
      <c r="Q50" s="40"/>
      <c r="R50" s="40"/>
      <c r="S50" s="90" t="str">
        <f t="shared" si="24"/>
        <v/>
      </c>
      <c r="T50" s="90" t="str">
        <f t="shared" si="25"/>
        <v/>
      </c>
      <c r="U50" s="40"/>
      <c r="V50" s="40"/>
      <c r="W50" s="40"/>
      <c r="X50" s="90" t="str">
        <f t="shared" si="26"/>
        <v/>
      </c>
      <c r="Y50" s="90" t="str">
        <f t="shared" si="27"/>
        <v/>
      </c>
      <c r="Z50" s="40"/>
      <c r="AA50" s="40"/>
      <c r="AB50" s="40"/>
      <c r="AC50" s="90" t="str">
        <f t="shared" si="28"/>
        <v/>
      </c>
      <c r="AD50" s="90" t="str">
        <f t="shared" si="29"/>
        <v/>
      </c>
      <c r="AE50" s="40"/>
      <c r="AF50" s="40"/>
      <c r="AG50" s="40"/>
      <c r="AH50" s="90" t="str">
        <f t="shared" si="30"/>
        <v/>
      </c>
      <c r="AI50" s="90" t="str">
        <f t="shared" si="31"/>
        <v/>
      </c>
      <c r="AJ50" s="40"/>
      <c r="AK50" s="40"/>
      <c r="AL50" s="40"/>
      <c r="AM50" s="90" t="str">
        <f t="shared" si="32"/>
        <v/>
      </c>
      <c r="AN50" s="90" t="str">
        <f t="shared" si="33"/>
        <v/>
      </c>
      <c r="AO50" s="40"/>
      <c r="AP50" s="40"/>
      <c r="AQ50" s="40"/>
      <c r="AR50" s="90" t="str">
        <f t="shared" si="34"/>
        <v/>
      </c>
      <c r="AS50" s="90" t="str">
        <f t="shared" si="35"/>
        <v/>
      </c>
      <c r="AT50" s="40"/>
      <c r="AU50" s="40"/>
      <c r="AV50" s="40"/>
      <c r="AW50" s="90" t="str">
        <f t="shared" si="36"/>
        <v/>
      </c>
      <c r="AX50" s="90" t="str">
        <f t="shared" si="37"/>
        <v/>
      </c>
      <c r="AY50" s="40"/>
      <c r="AZ50" s="40"/>
      <c r="BA50" s="40"/>
      <c r="BB50" s="90" t="str">
        <f t="shared" si="38"/>
        <v/>
      </c>
      <c r="BC50" s="90" t="str">
        <f t="shared" si="19"/>
        <v/>
      </c>
    </row>
    <row r="51" spans="1:55">
      <c r="A51" s="90">
        <f>'DATA SISWA'!A51</f>
        <v>47</v>
      </c>
      <c r="B51" s="90">
        <f>'DATA SISWA'!B51</f>
        <v>0</v>
      </c>
      <c r="C51" s="90">
        <f>'DATA SISWA'!C51</f>
        <v>0</v>
      </c>
      <c r="D51" s="90">
        <f>'DATA SISWA'!D51</f>
        <v>0</v>
      </c>
      <c r="E51" s="90" t="str">
        <f>'DATA SISWA'!E51</f>
        <v>VII-J</v>
      </c>
      <c r="F51" s="40"/>
      <c r="G51" s="40"/>
      <c r="H51" s="40"/>
      <c r="I51" s="90" t="str">
        <f t="shared" si="20"/>
        <v/>
      </c>
      <c r="J51" s="90" t="str">
        <f t="shared" si="21"/>
        <v/>
      </c>
      <c r="K51" s="40"/>
      <c r="L51" s="40"/>
      <c r="M51" s="40"/>
      <c r="N51" s="90" t="str">
        <f t="shared" si="22"/>
        <v/>
      </c>
      <c r="O51" s="90" t="str">
        <f t="shared" si="23"/>
        <v/>
      </c>
      <c r="P51" s="40"/>
      <c r="Q51" s="40"/>
      <c r="R51" s="40"/>
      <c r="S51" s="90" t="str">
        <f t="shared" si="24"/>
        <v/>
      </c>
      <c r="T51" s="90" t="str">
        <f t="shared" si="25"/>
        <v/>
      </c>
      <c r="U51" s="40"/>
      <c r="V51" s="40"/>
      <c r="W51" s="40"/>
      <c r="X51" s="90" t="str">
        <f t="shared" si="26"/>
        <v/>
      </c>
      <c r="Y51" s="90" t="str">
        <f t="shared" si="27"/>
        <v/>
      </c>
      <c r="Z51" s="40"/>
      <c r="AA51" s="40"/>
      <c r="AB51" s="40"/>
      <c r="AC51" s="90" t="str">
        <f t="shared" si="28"/>
        <v/>
      </c>
      <c r="AD51" s="90" t="str">
        <f t="shared" si="29"/>
        <v/>
      </c>
      <c r="AE51" s="40"/>
      <c r="AF51" s="40"/>
      <c r="AG51" s="40"/>
      <c r="AH51" s="90" t="str">
        <f t="shared" si="30"/>
        <v/>
      </c>
      <c r="AI51" s="90" t="str">
        <f t="shared" si="31"/>
        <v/>
      </c>
      <c r="AJ51" s="40"/>
      <c r="AK51" s="40"/>
      <c r="AL51" s="40"/>
      <c r="AM51" s="90" t="str">
        <f t="shared" si="32"/>
        <v/>
      </c>
      <c r="AN51" s="90" t="str">
        <f t="shared" si="33"/>
        <v/>
      </c>
      <c r="AO51" s="40"/>
      <c r="AP51" s="40"/>
      <c r="AQ51" s="40"/>
      <c r="AR51" s="90" t="str">
        <f t="shared" si="34"/>
        <v/>
      </c>
      <c r="AS51" s="90" t="str">
        <f t="shared" si="35"/>
        <v/>
      </c>
      <c r="AT51" s="40"/>
      <c r="AU51" s="40"/>
      <c r="AV51" s="40"/>
      <c r="AW51" s="90" t="str">
        <f t="shared" si="36"/>
        <v/>
      </c>
      <c r="AX51" s="90" t="str">
        <f t="shared" si="37"/>
        <v/>
      </c>
      <c r="AY51" s="40"/>
      <c r="AZ51" s="40"/>
      <c r="BA51" s="40"/>
      <c r="BB51" s="90" t="str">
        <f t="shared" si="38"/>
        <v/>
      </c>
      <c r="BC51" s="90" t="str">
        <f t="shared" si="19"/>
        <v/>
      </c>
    </row>
    <row r="52" spans="1:55">
      <c r="A52" s="90">
        <f>'DATA SISWA'!A52</f>
        <v>48</v>
      </c>
      <c r="B52" s="90">
        <f>'DATA SISWA'!B52</f>
        <v>0</v>
      </c>
      <c r="C52" s="90">
        <f>'DATA SISWA'!C52</f>
        <v>0</v>
      </c>
      <c r="D52" s="90">
        <f>'DATA SISWA'!D52</f>
        <v>0</v>
      </c>
      <c r="E52" s="90" t="str">
        <f>'DATA SISWA'!E52</f>
        <v>VII-J</v>
      </c>
      <c r="F52" s="40"/>
      <c r="G52" s="40"/>
      <c r="H52" s="40"/>
      <c r="I52" s="90" t="str">
        <f>IF(F52="","",SUM(F52:H52))</f>
        <v/>
      </c>
      <c r="J52" s="90" t="str">
        <f>IF(I52="","",((I52/12)*100))</f>
        <v/>
      </c>
      <c r="K52" s="40"/>
      <c r="L52" s="40"/>
      <c r="M52" s="40"/>
      <c r="N52" s="90" t="str">
        <f>IF(K52="","",SUM(K52:M52))</f>
        <v/>
      </c>
      <c r="O52" s="90" t="str">
        <f>IF(N52="","",((N52/12)*100))</f>
        <v/>
      </c>
      <c r="P52" s="40"/>
      <c r="Q52" s="40"/>
      <c r="R52" s="40"/>
      <c r="S52" s="90" t="str">
        <f>IF(P52="","",SUM(P52:R52))</f>
        <v/>
      </c>
      <c r="T52" s="90" t="str">
        <f>IF(S52="","",((S52/12)*100))</f>
        <v/>
      </c>
      <c r="U52" s="40"/>
      <c r="V52" s="40"/>
      <c r="W52" s="40"/>
      <c r="X52" s="90" t="str">
        <f>IF(U52="","",SUM(U52:W52))</f>
        <v/>
      </c>
      <c r="Y52" s="90" t="str">
        <f>IF(X52="","",((X52/12)*100))</f>
        <v/>
      </c>
      <c r="Z52" s="40"/>
      <c r="AA52" s="40"/>
      <c r="AB52" s="40"/>
      <c r="AC52" s="90" t="str">
        <f>IF(Z52="","",SUM(Z52:AB52))</f>
        <v/>
      </c>
      <c r="AD52" s="90" t="str">
        <f>IF(AC52="","",((AC52/12)*100))</f>
        <v/>
      </c>
      <c r="AE52" s="40"/>
      <c r="AF52" s="40"/>
      <c r="AG52" s="40"/>
      <c r="AH52" s="90" t="str">
        <f>IF(AE52="","",SUM(AE52:AG52))</f>
        <v/>
      </c>
      <c r="AI52" s="90" t="str">
        <f>IF(AH52="","",((AH52/12)*100))</f>
        <v/>
      </c>
      <c r="AJ52" s="40"/>
      <c r="AK52" s="40"/>
      <c r="AL52" s="40"/>
      <c r="AM52" s="90" t="str">
        <f>IF(AJ52="","",SUM(AJ52:AL52))</f>
        <v/>
      </c>
      <c r="AN52" s="90" t="str">
        <f>IF(AM52="","",((AM52/12)*4))</f>
        <v/>
      </c>
      <c r="AO52" s="40"/>
      <c r="AP52" s="40"/>
      <c r="AQ52" s="40"/>
      <c r="AR52" s="90" t="str">
        <f>IF(AO52="","",SUM(AO52:AQ52))</f>
        <v/>
      </c>
      <c r="AS52" s="90" t="str">
        <f>IF(AR52="","",((AR52/12)*100))</f>
        <v/>
      </c>
      <c r="AT52" s="40"/>
      <c r="AU52" s="40"/>
      <c r="AV52" s="40"/>
      <c r="AW52" s="90" t="str">
        <f>IF(AT52="","",SUM(AT52:AV52))</f>
        <v/>
      </c>
      <c r="AX52" s="90" t="str">
        <f>IF(AW52="","",((AW52/12)*100))</f>
        <v/>
      </c>
      <c r="AY52" s="40"/>
      <c r="AZ52" s="40"/>
      <c r="BA52" s="40"/>
      <c r="BB52" s="90" t="str">
        <f>IF(AY52="","",SUM(AY52:BA52))</f>
        <v/>
      </c>
      <c r="BC52" s="90" t="str">
        <f t="shared" si="19"/>
        <v/>
      </c>
    </row>
  </sheetData>
  <sheetProtection password="C2E2" sheet="1" objects="1" scenarios="1" formatCells="0" formatColumns="0" formatRows="0" insertColumns="0" insertRows="0" insertHyperlinks="0" deleteColumns="0" deleteRows="0"/>
  <mergeCells count="35">
    <mergeCell ref="BC1:BC3"/>
    <mergeCell ref="F2:I2"/>
    <mergeCell ref="K2:N2"/>
    <mergeCell ref="P2:S2"/>
    <mergeCell ref="U2:X2"/>
    <mergeCell ref="Z2:AC2"/>
    <mergeCell ref="AE2:AH2"/>
    <mergeCell ref="AJ2:AM2"/>
    <mergeCell ref="AO2:AR2"/>
    <mergeCell ref="AT2:AW2"/>
    <mergeCell ref="AN1:AN3"/>
    <mergeCell ref="AO1:AR1"/>
    <mergeCell ref="AS1:AS3"/>
    <mergeCell ref="AT1:AW1"/>
    <mergeCell ref="AX1:AX3"/>
    <mergeCell ref="AY1:BB1"/>
    <mergeCell ref="AY2:BB2"/>
    <mergeCell ref="Y1:Y3"/>
    <mergeCell ref="Z1:AC1"/>
    <mergeCell ref="AD1:AD3"/>
    <mergeCell ref="AE1:AH1"/>
    <mergeCell ref="AI1:AI3"/>
    <mergeCell ref="AJ1:AM1"/>
    <mergeCell ref="U1:X1"/>
    <mergeCell ref="A1:A3"/>
    <mergeCell ref="B1:B3"/>
    <mergeCell ref="C1:C3"/>
    <mergeCell ref="D1:D3"/>
    <mergeCell ref="E1:E3"/>
    <mergeCell ref="F1:I1"/>
    <mergeCell ref="J1:J3"/>
    <mergeCell ref="K1:N1"/>
    <mergeCell ref="O1:O3"/>
    <mergeCell ref="P1:S1"/>
    <mergeCell ref="T1:T3"/>
  </mergeCells>
  <conditionalFormatting sqref="F5:F52">
    <cfRule type="expression" dxfId="737" priority="80">
      <formula>MOD(COLUMN(),2)=1</formula>
    </cfRule>
  </conditionalFormatting>
  <conditionalFormatting sqref="F5:F52">
    <cfRule type="expression" dxfId="736" priority="79">
      <formula>MOD(COLUMN(),2)=1</formula>
    </cfRule>
  </conditionalFormatting>
  <conditionalFormatting sqref="G5:H52">
    <cfRule type="expression" dxfId="735" priority="78">
      <formula>MOD(COLUMN(),2)=1</formula>
    </cfRule>
  </conditionalFormatting>
  <conditionalFormatting sqref="G5:H52">
    <cfRule type="expression" dxfId="734" priority="77">
      <formula>MOD(COLUMN(),2)=1</formula>
    </cfRule>
  </conditionalFormatting>
  <conditionalFormatting sqref="K5:K52">
    <cfRule type="expression" dxfId="733" priority="72">
      <formula>MOD(COLUMN(),2)=1</formula>
    </cfRule>
  </conditionalFormatting>
  <conditionalFormatting sqref="K5:K52">
    <cfRule type="expression" dxfId="732" priority="71">
      <formula>MOD(COLUMN(),2)=1</formula>
    </cfRule>
  </conditionalFormatting>
  <conditionalFormatting sqref="L5:M52">
    <cfRule type="expression" dxfId="731" priority="70">
      <formula>MOD(COLUMN(),2)=1</formula>
    </cfRule>
  </conditionalFormatting>
  <conditionalFormatting sqref="L5:M52">
    <cfRule type="expression" dxfId="730" priority="69">
      <formula>MOD(COLUMN(),2)=1</formula>
    </cfRule>
  </conditionalFormatting>
  <conditionalFormatting sqref="P5:P52">
    <cfRule type="expression" dxfId="729" priority="64">
      <formula>MOD(COLUMN(),2)=1</formula>
    </cfRule>
  </conditionalFormatting>
  <conditionalFormatting sqref="P5:P52">
    <cfRule type="expression" dxfId="728" priority="63">
      <formula>MOD(COLUMN(),2)=1</formula>
    </cfRule>
  </conditionalFormatting>
  <conditionalFormatting sqref="Q5:R52">
    <cfRule type="expression" dxfId="727" priority="62">
      <formula>MOD(COLUMN(),2)=1</formula>
    </cfRule>
  </conditionalFormatting>
  <conditionalFormatting sqref="Q5:R52">
    <cfRule type="expression" dxfId="726" priority="61">
      <formula>MOD(COLUMN(),2)=1</formula>
    </cfRule>
  </conditionalFormatting>
  <conditionalFormatting sqref="U5:U52">
    <cfRule type="expression" dxfId="725" priority="56">
      <formula>MOD(COLUMN(),2)=1</formula>
    </cfRule>
  </conditionalFormatting>
  <conditionalFormatting sqref="U5:U52">
    <cfRule type="expression" dxfId="724" priority="55">
      <formula>MOD(COLUMN(),2)=1</formula>
    </cfRule>
  </conditionalFormatting>
  <conditionalFormatting sqref="V5:W52">
    <cfRule type="expression" dxfId="723" priority="54">
      <formula>MOD(COLUMN(),2)=1</formula>
    </cfRule>
  </conditionalFormatting>
  <conditionalFormatting sqref="V5:W52">
    <cfRule type="expression" dxfId="722" priority="53">
      <formula>MOD(COLUMN(),2)=1</formula>
    </cfRule>
  </conditionalFormatting>
  <conditionalFormatting sqref="Z5:Z52">
    <cfRule type="expression" dxfId="721" priority="48">
      <formula>MOD(COLUMN(),2)=1</formula>
    </cfRule>
  </conditionalFormatting>
  <conditionalFormatting sqref="Z5:Z52">
    <cfRule type="expression" dxfId="720" priority="47">
      <formula>MOD(COLUMN(),2)=1</formula>
    </cfRule>
  </conditionalFormatting>
  <conditionalFormatting sqref="AA5:AB52">
    <cfRule type="expression" dxfId="719" priority="46">
      <formula>MOD(COLUMN(),2)=1</formula>
    </cfRule>
  </conditionalFormatting>
  <conditionalFormatting sqref="AA5:AB52">
    <cfRule type="expression" dxfId="718" priority="45">
      <formula>MOD(COLUMN(),2)=1</formula>
    </cfRule>
  </conditionalFormatting>
  <conditionalFormatting sqref="AE5">
    <cfRule type="expression" dxfId="717" priority="40">
      <formula>MOD(COLUMN(),2)=1</formula>
    </cfRule>
  </conditionalFormatting>
  <conditionalFormatting sqref="AE5">
    <cfRule type="expression" dxfId="716" priority="39">
      <formula>MOD(COLUMN(),2)=1</formula>
    </cfRule>
  </conditionalFormatting>
  <conditionalFormatting sqref="AF5:AG5">
    <cfRule type="expression" dxfId="715" priority="38">
      <formula>MOD(COLUMN(),2)=1</formula>
    </cfRule>
  </conditionalFormatting>
  <conditionalFormatting sqref="AF5:AG5">
    <cfRule type="expression" dxfId="714" priority="37">
      <formula>MOD(COLUMN(),2)=1</formula>
    </cfRule>
  </conditionalFormatting>
  <conditionalFormatting sqref="AE6:AE52">
    <cfRule type="expression" dxfId="713" priority="36">
      <formula>MOD(COLUMN(),2)=1</formula>
    </cfRule>
  </conditionalFormatting>
  <conditionalFormatting sqref="AE6:AE52">
    <cfRule type="expression" dxfId="712" priority="35">
      <formula>MOD(COLUMN(),2)=1</formula>
    </cfRule>
  </conditionalFormatting>
  <conditionalFormatting sqref="AF6:AG52">
    <cfRule type="expression" dxfId="711" priority="34">
      <formula>MOD(COLUMN(),2)=1</formula>
    </cfRule>
  </conditionalFormatting>
  <conditionalFormatting sqref="AF6:AG52">
    <cfRule type="expression" dxfId="710" priority="33">
      <formula>MOD(COLUMN(),2)=1</formula>
    </cfRule>
  </conditionalFormatting>
  <conditionalFormatting sqref="AJ5">
    <cfRule type="expression" dxfId="709" priority="32">
      <formula>MOD(COLUMN(),2)=1</formula>
    </cfRule>
  </conditionalFormatting>
  <conditionalFormatting sqref="AJ5">
    <cfRule type="expression" dxfId="708" priority="31">
      <formula>MOD(COLUMN(),2)=1</formula>
    </cfRule>
  </conditionalFormatting>
  <conditionalFormatting sqref="AK5:AL5">
    <cfRule type="expression" dxfId="707" priority="30">
      <formula>MOD(COLUMN(),2)=1</formula>
    </cfRule>
  </conditionalFormatting>
  <conditionalFormatting sqref="AK5:AL5">
    <cfRule type="expression" dxfId="706" priority="29">
      <formula>MOD(COLUMN(),2)=1</formula>
    </cfRule>
  </conditionalFormatting>
  <conditionalFormatting sqref="AJ6:AJ52">
    <cfRule type="expression" dxfId="705" priority="28">
      <formula>MOD(COLUMN(),2)=1</formula>
    </cfRule>
  </conditionalFormatting>
  <conditionalFormatting sqref="AJ6:AJ52">
    <cfRule type="expression" dxfId="704" priority="27">
      <formula>MOD(COLUMN(),2)=1</formula>
    </cfRule>
  </conditionalFormatting>
  <conditionalFormatting sqref="AK6:AL52">
    <cfRule type="expression" dxfId="703" priority="26">
      <formula>MOD(COLUMN(),2)=1</formula>
    </cfRule>
  </conditionalFormatting>
  <conditionalFormatting sqref="AK6:AL52">
    <cfRule type="expression" dxfId="702" priority="25">
      <formula>MOD(COLUMN(),2)=1</formula>
    </cfRule>
  </conditionalFormatting>
  <conditionalFormatting sqref="AO5">
    <cfRule type="expression" dxfId="701" priority="24">
      <formula>MOD(COLUMN(),2)=1</formula>
    </cfRule>
  </conditionalFormatting>
  <conditionalFormatting sqref="AO5">
    <cfRule type="expression" dxfId="700" priority="23">
      <formula>MOD(COLUMN(),2)=1</formula>
    </cfRule>
  </conditionalFormatting>
  <conditionalFormatting sqref="AP5:AQ5">
    <cfRule type="expression" dxfId="699" priority="22">
      <formula>MOD(COLUMN(),2)=1</formula>
    </cfRule>
  </conditionalFormatting>
  <conditionalFormatting sqref="AP5:AQ5">
    <cfRule type="expression" dxfId="698" priority="21">
      <formula>MOD(COLUMN(),2)=1</formula>
    </cfRule>
  </conditionalFormatting>
  <conditionalFormatting sqref="AO6:AO52">
    <cfRule type="expression" dxfId="697" priority="20">
      <formula>MOD(COLUMN(),2)=1</formula>
    </cfRule>
  </conditionalFormatting>
  <conditionalFormatting sqref="AO6:AO52">
    <cfRule type="expression" dxfId="696" priority="19">
      <formula>MOD(COLUMN(),2)=1</formula>
    </cfRule>
  </conditionalFormatting>
  <conditionalFormatting sqref="AP6:AQ52">
    <cfRule type="expression" dxfId="695" priority="18">
      <formula>MOD(COLUMN(),2)=1</formula>
    </cfRule>
  </conditionalFormatting>
  <conditionalFormatting sqref="AP6:AQ52">
    <cfRule type="expression" dxfId="694" priority="17">
      <formula>MOD(COLUMN(),2)=1</formula>
    </cfRule>
  </conditionalFormatting>
  <conditionalFormatting sqref="AT5">
    <cfRule type="expression" dxfId="693" priority="16">
      <formula>MOD(COLUMN(),2)=1</formula>
    </cfRule>
  </conditionalFormatting>
  <conditionalFormatting sqref="AT5">
    <cfRule type="expression" dxfId="692" priority="15">
      <formula>MOD(COLUMN(),2)=1</formula>
    </cfRule>
  </conditionalFormatting>
  <conditionalFormatting sqref="AU5:AV5">
    <cfRule type="expression" dxfId="691" priority="14">
      <formula>MOD(COLUMN(),2)=1</formula>
    </cfRule>
  </conditionalFormatting>
  <conditionalFormatting sqref="AU5:AV5">
    <cfRule type="expression" dxfId="690" priority="13">
      <formula>MOD(COLUMN(),2)=1</formula>
    </cfRule>
  </conditionalFormatting>
  <conditionalFormatting sqref="AT6:AT52">
    <cfRule type="expression" dxfId="689" priority="12">
      <formula>MOD(COLUMN(),2)=1</formula>
    </cfRule>
  </conditionalFormatting>
  <conditionalFormatting sqref="AT6:AT52">
    <cfRule type="expression" dxfId="688" priority="11">
      <formula>MOD(COLUMN(),2)=1</formula>
    </cfRule>
  </conditionalFormatting>
  <conditionalFormatting sqref="AU6:AV52">
    <cfRule type="expression" dxfId="687" priority="10">
      <formula>MOD(COLUMN(),2)=1</formula>
    </cfRule>
  </conditionalFormatting>
  <conditionalFormatting sqref="AU6:AV52">
    <cfRule type="expression" dxfId="686" priority="9">
      <formula>MOD(COLUMN(),2)=1</formula>
    </cfRule>
  </conditionalFormatting>
  <conditionalFormatting sqref="AY5">
    <cfRule type="expression" dxfId="685" priority="8">
      <formula>MOD(COLUMN(),2)=1</formula>
    </cfRule>
  </conditionalFormatting>
  <conditionalFormatting sqref="AY5">
    <cfRule type="expression" dxfId="684" priority="7">
      <formula>MOD(COLUMN(),2)=1</formula>
    </cfRule>
  </conditionalFormatting>
  <conditionalFormatting sqref="AZ5:BA5">
    <cfRule type="expression" dxfId="683" priority="6">
      <formula>MOD(COLUMN(),2)=1</formula>
    </cfRule>
  </conditionalFormatting>
  <conditionalFormatting sqref="AZ5:BA5">
    <cfRule type="expression" dxfId="682" priority="5">
      <formula>MOD(COLUMN(),2)=1</formula>
    </cfRule>
  </conditionalFormatting>
  <conditionalFormatting sqref="AY6:AY52">
    <cfRule type="expression" dxfId="681" priority="4">
      <formula>MOD(COLUMN(),2)=1</formula>
    </cfRule>
  </conditionalFormatting>
  <conditionalFormatting sqref="AY6:AY52">
    <cfRule type="expression" dxfId="680" priority="3">
      <formula>MOD(COLUMN(),2)=1</formula>
    </cfRule>
  </conditionalFormatting>
  <conditionalFormatting sqref="AZ6:BA52">
    <cfRule type="expression" dxfId="679" priority="2">
      <formula>MOD(COLUMN(),2)=1</formula>
    </cfRule>
  </conditionalFormatting>
  <conditionalFormatting sqref="AZ6:BA52">
    <cfRule type="expression" dxfId="678" priority="1">
      <formula>MOD(COLUMN(),2)=1</formula>
    </cfRule>
  </conditionalFormatting>
  <dataValidations count="1">
    <dataValidation type="whole" allowBlank="1" showInputMessage="1" showErrorMessage="1" errorTitle="STOP" error="ANGKA YANG DIMASUKAN MELEBIHI 4" prompt="4 =  Selalu&#10;3 = Sering&#10;2 = Kadang2&#10;1 = Tidak Pernah" sqref="F5:H52 K5:M52 P5:R52 U5:W52 Z5:AB52 AE5:AG52 AJ5:AL52 AO5:AQ52 AT5:AV52 AY5:BA52">
      <formula1>1</formula1>
      <formula2>4</formula2>
    </dataValidation>
  </dataValidations>
  <pageMargins left="0.7" right="0.7" top="0.75" bottom="0.75" header="0.3" footer="0.3"/>
  <pageSetup paperSize="14" orientation="portrait" r:id="rId1"/>
  <drawing r:id="rId2"/>
  <legacyDrawing r:id="rId3"/>
</worksheet>
</file>

<file path=xl/worksheets/sheet16.xml><?xml version="1.0" encoding="utf-8"?>
<worksheet xmlns="http://schemas.openxmlformats.org/spreadsheetml/2006/main" xmlns:r="http://schemas.openxmlformats.org/officeDocument/2006/relationships">
  <sheetPr codeName="Sheet10"/>
  <dimension ref="A1:BM53"/>
  <sheetViews>
    <sheetView workbookViewId="0">
      <pane xSplit="4" ySplit="4" topLeftCell="E5" activePane="bottomRight" state="frozen"/>
      <selection pane="topRight" activeCell="E1" sqref="E1"/>
      <selection pane="bottomLeft" activeCell="A5" sqref="A5"/>
      <selection pane="bottomRight" activeCell="F5" sqref="F5:I5"/>
    </sheetView>
  </sheetViews>
  <sheetFormatPr defaultRowHeight="15"/>
  <cols>
    <col min="1" max="1" width="4.85546875" style="85" customWidth="1"/>
    <col min="2" max="2" width="7.140625" style="85" customWidth="1"/>
    <col min="3" max="3" width="32.5703125" style="85" customWidth="1"/>
    <col min="4" max="5" width="5.28515625" style="85" customWidth="1"/>
    <col min="6" max="65" width="5.7109375" style="85" customWidth="1"/>
    <col min="66" max="16384" width="9.140625" style="85"/>
  </cols>
  <sheetData>
    <row r="1" spans="1:65" ht="15" customHeight="1">
      <c r="A1" s="494" t="s">
        <v>15</v>
      </c>
      <c r="B1" s="494" t="s">
        <v>16</v>
      </c>
      <c r="C1" s="497" t="s">
        <v>0</v>
      </c>
      <c r="D1" s="498" t="s">
        <v>1</v>
      </c>
      <c r="E1" s="499" t="s">
        <v>17</v>
      </c>
      <c r="F1" s="498" t="s">
        <v>37</v>
      </c>
      <c r="G1" s="498"/>
      <c r="H1" s="498"/>
      <c r="I1" s="498"/>
      <c r="J1" s="498"/>
      <c r="K1" s="613" t="s">
        <v>43</v>
      </c>
      <c r="L1" s="498" t="s">
        <v>37</v>
      </c>
      <c r="M1" s="498"/>
      <c r="N1" s="498"/>
      <c r="O1" s="498"/>
      <c r="P1" s="498"/>
      <c r="Q1" s="613" t="s">
        <v>43</v>
      </c>
      <c r="R1" s="498" t="s">
        <v>37</v>
      </c>
      <c r="S1" s="498"/>
      <c r="T1" s="498"/>
      <c r="U1" s="498"/>
      <c r="V1" s="498"/>
      <c r="W1" s="613" t="s">
        <v>43</v>
      </c>
      <c r="X1" s="498" t="s">
        <v>37</v>
      </c>
      <c r="Y1" s="498"/>
      <c r="Z1" s="498"/>
      <c r="AA1" s="498"/>
      <c r="AB1" s="498"/>
      <c r="AC1" s="613" t="s">
        <v>43</v>
      </c>
      <c r="AD1" s="498" t="s">
        <v>37</v>
      </c>
      <c r="AE1" s="498"/>
      <c r="AF1" s="498"/>
      <c r="AG1" s="498"/>
      <c r="AH1" s="498"/>
      <c r="AI1" s="613" t="s">
        <v>43</v>
      </c>
      <c r="AJ1" s="498" t="s">
        <v>37</v>
      </c>
      <c r="AK1" s="498"/>
      <c r="AL1" s="498"/>
      <c r="AM1" s="498"/>
      <c r="AN1" s="498"/>
      <c r="AO1" s="613" t="s">
        <v>43</v>
      </c>
      <c r="AP1" s="498" t="s">
        <v>37</v>
      </c>
      <c r="AQ1" s="498"/>
      <c r="AR1" s="498"/>
      <c r="AS1" s="498"/>
      <c r="AT1" s="498"/>
      <c r="AU1" s="613" t="s">
        <v>43</v>
      </c>
      <c r="AV1" s="498" t="s">
        <v>37</v>
      </c>
      <c r="AW1" s="498"/>
      <c r="AX1" s="498"/>
      <c r="AY1" s="498"/>
      <c r="AZ1" s="498"/>
      <c r="BA1" s="613" t="s">
        <v>43</v>
      </c>
      <c r="BB1" s="498" t="s">
        <v>37</v>
      </c>
      <c r="BC1" s="498"/>
      <c r="BD1" s="498"/>
      <c r="BE1" s="498"/>
      <c r="BF1" s="498"/>
      <c r="BG1" s="613" t="s">
        <v>43</v>
      </c>
      <c r="BH1" s="498" t="s">
        <v>37</v>
      </c>
      <c r="BI1" s="498"/>
      <c r="BJ1" s="498"/>
      <c r="BK1" s="498"/>
      <c r="BL1" s="498"/>
      <c r="BM1" s="613" t="s">
        <v>43</v>
      </c>
    </row>
    <row r="2" spans="1:65" ht="15" customHeight="1">
      <c r="A2" s="495"/>
      <c r="B2" s="495"/>
      <c r="C2" s="497"/>
      <c r="D2" s="498"/>
      <c r="E2" s="500"/>
      <c r="F2" s="498">
        <f>'Input Nilai Ketrampilan'!F2:I2</f>
        <v>41</v>
      </c>
      <c r="G2" s="498"/>
      <c r="H2" s="498"/>
      <c r="I2" s="498"/>
      <c r="J2" s="498"/>
      <c r="K2" s="614"/>
      <c r="L2" s="498">
        <f>'Input Nilai Ketrampilan'!K2</f>
        <v>42</v>
      </c>
      <c r="M2" s="498"/>
      <c r="N2" s="498"/>
      <c r="O2" s="498"/>
      <c r="P2" s="498"/>
      <c r="Q2" s="614"/>
      <c r="R2" s="498">
        <f>'Input Nilai Ketrampilan'!P2</f>
        <v>43</v>
      </c>
      <c r="S2" s="498"/>
      <c r="T2" s="498"/>
      <c r="U2" s="498"/>
      <c r="V2" s="498"/>
      <c r="W2" s="614"/>
      <c r="X2" s="498">
        <f>'Input Nilai Ketrampilan'!U2</f>
        <v>44</v>
      </c>
      <c r="Y2" s="498"/>
      <c r="Z2" s="498"/>
      <c r="AA2" s="498"/>
      <c r="AB2" s="498"/>
      <c r="AC2" s="614"/>
      <c r="AD2" s="498">
        <f>'Input Nilai Ketrampilan'!Z2</f>
        <v>45</v>
      </c>
      <c r="AE2" s="498"/>
      <c r="AF2" s="498"/>
      <c r="AG2" s="498"/>
      <c r="AH2" s="498"/>
      <c r="AI2" s="614"/>
      <c r="AJ2" s="498">
        <f>'Input Nilai Ketrampilan'!AE2</f>
        <v>46</v>
      </c>
      <c r="AK2" s="498"/>
      <c r="AL2" s="498"/>
      <c r="AM2" s="498"/>
      <c r="AN2" s="498"/>
      <c r="AO2" s="614"/>
      <c r="AP2" s="498">
        <f>'Input Nilai Ketrampilan'!AJ2</f>
        <v>47</v>
      </c>
      <c r="AQ2" s="498"/>
      <c r="AR2" s="498"/>
      <c r="AS2" s="498"/>
      <c r="AT2" s="498"/>
      <c r="AU2" s="614"/>
      <c r="AV2" s="498">
        <f>'Input Nilai Ketrampilan'!AO2</f>
        <v>48</v>
      </c>
      <c r="AW2" s="498"/>
      <c r="AX2" s="498"/>
      <c r="AY2" s="498"/>
      <c r="AZ2" s="498"/>
      <c r="BA2" s="614"/>
      <c r="BB2" s="498">
        <f>'Input Nilai Ketrampilan'!AT2</f>
        <v>49</v>
      </c>
      <c r="BC2" s="498"/>
      <c r="BD2" s="498"/>
      <c r="BE2" s="498"/>
      <c r="BF2" s="498"/>
      <c r="BG2" s="614"/>
      <c r="BH2" s="498">
        <f>'Input Nilai Ketrampilan'!AY2</f>
        <v>50</v>
      </c>
      <c r="BI2" s="498"/>
      <c r="BJ2" s="498"/>
      <c r="BK2" s="498"/>
      <c r="BL2" s="498"/>
      <c r="BM2" s="614"/>
    </row>
    <row r="3" spans="1:65" ht="102">
      <c r="A3" s="496"/>
      <c r="B3" s="496"/>
      <c r="C3" s="497"/>
      <c r="D3" s="498"/>
      <c r="E3" s="501"/>
      <c r="F3" s="112" t="s">
        <v>38</v>
      </c>
      <c r="G3" s="113" t="s">
        <v>39</v>
      </c>
      <c r="H3" s="113" t="s">
        <v>40</v>
      </c>
      <c r="I3" s="113" t="s">
        <v>41</v>
      </c>
      <c r="J3" s="112" t="s">
        <v>42</v>
      </c>
      <c r="K3" s="615"/>
      <c r="L3" s="112" t="s">
        <v>38</v>
      </c>
      <c r="M3" s="113" t="s">
        <v>39</v>
      </c>
      <c r="N3" s="113" t="s">
        <v>40</v>
      </c>
      <c r="O3" s="113" t="s">
        <v>41</v>
      </c>
      <c r="P3" s="112" t="s">
        <v>42</v>
      </c>
      <c r="Q3" s="615"/>
      <c r="R3" s="112" t="s">
        <v>38</v>
      </c>
      <c r="S3" s="113" t="s">
        <v>39</v>
      </c>
      <c r="T3" s="113" t="s">
        <v>40</v>
      </c>
      <c r="U3" s="113" t="s">
        <v>41</v>
      </c>
      <c r="V3" s="112" t="s">
        <v>42</v>
      </c>
      <c r="W3" s="615"/>
      <c r="X3" s="112" t="s">
        <v>38</v>
      </c>
      <c r="Y3" s="113" t="s">
        <v>39</v>
      </c>
      <c r="Z3" s="113" t="s">
        <v>40</v>
      </c>
      <c r="AA3" s="113" t="s">
        <v>41</v>
      </c>
      <c r="AB3" s="112" t="s">
        <v>42</v>
      </c>
      <c r="AC3" s="615"/>
      <c r="AD3" s="112" t="s">
        <v>38</v>
      </c>
      <c r="AE3" s="113" t="s">
        <v>39</v>
      </c>
      <c r="AF3" s="113" t="s">
        <v>40</v>
      </c>
      <c r="AG3" s="113" t="s">
        <v>41</v>
      </c>
      <c r="AH3" s="112" t="s">
        <v>42</v>
      </c>
      <c r="AI3" s="615"/>
      <c r="AJ3" s="112" t="s">
        <v>38</v>
      </c>
      <c r="AK3" s="113" t="s">
        <v>39</v>
      </c>
      <c r="AL3" s="113" t="s">
        <v>40</v>
      </c>
      <c r="AM3" s="113" t="s">
        <v>41</v>
      </c>
      <c r="AN3" s="112" t="s">
        <v>42</v>
      </c>
      <c r="AO3" s="615"/>
      <c r="AP3" s="112" t="s">
        <v>38</v>
      </c>
      <c r="AQ3" s="113" t="s">
        <v>39</v>
      </c>
      <c r="AR3" s="113" t="s">
        <v>40</v>
      </c>
      <c r="AS3" s="113" t="s">
        <v>41</v>
      </c>
      <c r="AT3" s="112" t="s">
        <v>42</v>
      </c>
      <c r="AU3" s="615"/>
      <c r="AV3" s="112" t="s">
        <v>38</v>
      </c>
      <c r="AW3" s="113" t="s">
        <v>39</v>
      </c>
      <c r="AX3" s="113" t="s">
        <v>40</v>
      </c>
      <c r="AY3" s="113" t="s">
        <v>41</v>
      </c>
      <c r="AZ3" s="112" t="s">
        <v>42</v>
      </c>
      <c r="BA3" s="615"/>
      <c r="BB3" s="112" t="s">
        <v>38</v>
      </c>
      <c r="BC3" s="113" t="s">
        <v>39</v>
      </c>
      <c r="BD3" s="113" t="s">
        <v>40</v>
      </c>
      <c r="BE3" s="113" t="s">
        <v>41</v>
      </c>
      <c r="BF3" s="112" t="s">
        <v>42</v>
      </c>
      <c r="BG3" s="615"/>
      <c r="BH3" s="112" t="s">
        <v>38</v>
      </c>
      <c r="BI3" s="113" t="s">
        <v>39</v>
      </c>
      <c r="BJ3" s="113" t="s">
        <v>40</v>
      </c>
      <c r="BK3" s="113" t="s">
        <v>41</v>
      </c>
      <c r="BL3" s="112" t="s">
        <v>42</v>
      </c>
      <c r="BM3" s="615"/>
    </row>
    <row r="4" spans="1:65">
      <c r="A4" s="99">
        <v>1</v>
      </c>
      <c r="B4" s="99">
        <v>2</v>
      </c>
      <c r="C4" s="99">
        <v>3</v>
      </c>
      <c r="D4" s="99">
        <v>4</v>
      </c>
      <c r="E4" s="99">
        <v>5</v>
      </c>
      <c r="F4" s="99">
        <v>6</v>
      </c>
      <c r="G4" s="99">
        <v>7</v>
      </c>
      <c r="H4" s="99">
        <v>8</v>
      </c>
      <c r="I4" s="99">
        <v>9</v>
      </c>
      <c r="J4" s="99">
        <v>10</v>
      </c>
      <c r="K4" s="99">
        <v>11</v>
      </c>
      <c r="L4" s="99">
        <v>12</v>
      </c>
      <c r="M4" s="99">
        <v>13</v>
      </c>
      <c r="N4" s="99">
        <v>14</v>
      </c>
      <c r="O4" s="99">
        <v>15</v>
      </c>
      <c r="P4" s="99">
        <v>16</v>
      </c>
      <c r="Q4" s="99">
        <v>17</v>
      </c>
      <c r="R4" s="99">
        <v>18</v>
      </c>
      <c r="S4" s="99">
        <v>19</v>
      </c>
      <c r="T4" s="99">
        <v>20</v>
      </c>
      <c r="U4" s="99">
        <v>21</v>
      </c>
      <c r="V4" s="99">
        <v>22</v>
      </c>
      <c r="W4" s="99">
        <v>23</v>
      </c>
      <c r="X4" s="99">
        <v>24</v>
      </c>
      <c r="Y4" s="99">
        <v>25</v>
      </c>
      <c r="Z4" s="99">
        <v>26</v>
      </c>
      <c r="AA4" s="99">
        <v>27</v>
      </c>
      <c r="AB4" s="99">
        <v>28</v>
      </c>
      <c r="AC4" s="99">
        <v>29</v>
      </c>
      <c r="AD4" s="99">
        <v>30</v>
      </c>
      <c r="AE4" s="99">
        <v>31</v>
      </c>
      <c r="AF4" s="99">
        <v>32</v>
      </c>
      <c r="AG4" s="99">
        <v>33</v>
      </c>
      <c r="AH4" s="99">
        <v>34</v>
      </c>
      <c r="AI4" s="99">
        <v>35</v>
      </c>
      <c r="AJ4" s="99">
        <v>36</v>
      </c>
      <c r="AK4" s="99">
        <v>37</v>
      </c>
      <c r="AL4" s="99">
        <v>38</v>
      </c>
      <c r="AM4" s="99">
        <v>39</v>
      </c>
      <c r="AN4" s="99">
        <v>40</v>
      </c>
      <c r="AO4" s="99">
        <v>41</v>
      </c>
      <c r="AP4" s="99">
        <v>42</v>
      </c>
      <c r="AQ4" s="99">
        <v>43</v>
      </c>
      <c r="AR4" s="99">
        <v>44</v>
      </c>
      <c r="AS4" s="99">
        <v>45</v>
      </c>
      <c r="AT4" s="99">
        <v>46</v>
      </c>
      <c r="AU4" s="99">
        <v>47</v>
      </c>
      <c r="AV4" s="99">
        <v>48</v>
      </c>
      <c r="AW4" s="99">
        <v>49</v>
      </c>
      <c r="AX4" s="99">
        <v>50</v>
      </c>
      <c r="AY4" s="99">
        <v>51</v>
      </c>
      <c r="AZ4" s="99">
        <v>52</v>
      </c>
      <c r="BA4" s="99">
        <v>53</v>
      </c>
      <c r="BB4" s="99">
        <v>54</v>
      </c>
      <c r="BC4" s="99">
        <v>55</v>
      </c>
      <c r="BD4" s="99">
        <v>56</v>
      </c>
      <c r="BE4" s="99">
        <v>57</v>
      </c>
      <c r="BF4" s="99">
        <v>58</v>
      </c>
      <c r="BG4" s="99">
        <v>59</v>
      </c>
      <c r="BH4" s="99">
        <v>60</v>
      </c>
      <c r="BI4" s="99">
        <v>61</v>
      </c>
      <c r="BJ4" s="99">
        <v>62</v>
      </c>
      <c r="BK4" s="99">
        <v>63</v>
      </c>
      <c r="BL4" s="99">
        <v>64</v>
      </c>
      <c r="BM4" s="99">
        <v>65</v>
      </c>
    </row>
    <row r="5" spans="1:65">
      <c r="A5" s="90">
        <f>'DATA SISWA'!A5</f>
        <v>1</v>
      </c>
      <c r="B5" s="90" t="str">
        <f>'DATA SISWA'!B5</f>
        <v>7643</v>
      </c>
      <c r="C5" s="90" t="str">
        <f>'DATA SISWA'!C5</f>
        <v>ABD MANNAN</v>
      </c>
      <c r="D5" s="90" t="str">
        <f>'DATA SISWA'!D5</f>
        <v>L</v>
      </c>
      <c r="E5" s="90" t="str">
        <f>'DATA SISWA'!E5</f>
        <v>VII-J</v>
      </c>
      <c r="F5" s="40"/>
      <c r="G5" s="40"/>
      <c r="H5" s="40"/>
      <c r="I5" s="40"/>
      <c r="J5" s="90" t="str">
        <f>IF(F5&gt;0,SUM(F5:I5),"")</f>
        <v/>
      </c>
      <c r="K5" s="90" t="str">
        <f>IF(J5="","",((J5/16)*100))</f>
        <v/>
      </c>
      <c r="L5" s="40"/>
      <c r="M5" s="40"/>
      <c r="N5" s="40"/>
      <c r="O5" s="40"/>
      <c r="P5" s="90" t="str">
        <f>IF(L5&gt;0,SUM(L5:O5),"")</f>
        <v/>
      </c>
      <c r="Q5" s="90" t="str">
        <f t="shared" ref="Q5:Q44" si="0">IF(P5="","",((P5/16)*100))</f>
        <v/>
      </c>
      <c r="R5" s="40"/>
      <c r="S5" s="40"/>
      <c r="T5" s="40"/>
      <c r="U5" s="40"/>
      <c r="V5" s="90" t="str">
        <f>IF(R5&gt;0,SUM(R5:U5),"")</f>
        <v/>
      </c>
      <c r="W5" s="90" t="str">
        <f t="shared" ref="W5:W44" si="1">IF(V5="","",((V5/16)*100))</f>
        <v/>
      </c>
      <c r="X5" s="40"/>
      <c r="Y5" s="40"/>
      <c r="Z5" s="40"/>
      <c r="AA5" s="40"/>
      <c r="AB5" s="90" t="str">
        <f>IF(X5&gt;0,SUM(X5:AA5),"")</f>
        <v/>
      </c>
      <c r="AC5" s="90" t="str">
        <f t="shared" ref="AC5:AC44" si="2">IF(AB5="","",((AB5/16)*100))</f>
        <v/>
      </c>
      <c r="AD5" s="40"/>
      <c r="AE5" s="40"/>
      <c r="AF5" s="40"/>
      <c r="AG5" s="40"/>
      <c r="AH5" s="90" t="str">
        <f>IF(AD5&gt;0,SUM(AD5:AG5),"")</f>
        <v/>
      </c>
      <c r="AI5" s="90" t="str">
        <f t="shared" ref="AI5:AI44" si="3">IF(AH5="","",((AH5/16)*100))</f>
        <v/>
      </c>
      <c r="AJ5" s="40"/>
      <c r="AK5" s="40"/>
      <c r="AL5" s="40"/>
      <c r="AM5" s="40"/>
      <c r="AN5" s="90" t="str">
        <f>IF(AJ5&gt;0,SUM(AJ5:AM5),"")</f>
        <v/>
      </c>
      <c r="AO5" s="90" t="str">
        <f t="shared" ref="AO5:AO44" si="4">IF(AN5="","",((AN5/16)*100))</f>
        <v/>
      </c>
      <c r="AP5" s="40"/>
      <c r="AQ5" s="40"/>
      <c r="AR5" s="40"/>
      <c r="AS5" s="40"/>
      <c r="AT5" s="90" t="str">
        <f>IF(AP5&gt;0,SUM(AP5:AS5),"")</f>
        <v/>
      </c>
      <c r="AU5" s="90" t="str">
        <f t="shared" ref="AU5:AU44" si="5">IF(AT5="","",((AT5/16)*100))</f>
        <v/>
      </c>
      <c r="AV5" s="40"/>
      <c r="AW5" s="40"/>
      <c r="AX5" s="40"/>
      <c r="AY5" s="40"/>
      <c r="AZ5" s="90" t="str">
        <f>IF(AV5&gt;0,SUM(AV5:AY5),"")</f>
        <v/>
      </c>
      <c r="BA5" s="90" t="str">
        <f t="shared" ref="BA5:BA44" si="6">IF(AZ5="","",((AZ5/16)*100))</f>
        <v/>
      </c>
      <c r="BB5" s="40"/>
      <c r="BC5" s="40"/>
      <c r="BD5" s="40"/>
      <c r="BE5" s="40"/>
      <c r="BF5" s="90" t="str">
        <f>IF(BB5&gt;0,SUM(BB5:BE5),"")</f>
        <v/>
      </c>
      <c r="BG5" s="90" t="str">
        <f t="shared" ref="BG5:BG44" si="7">IF(BF5="","",((BF5/16)*100))</f>
        <v/>
      </c>
      <c r="BH5" s="40"/>
      <c r="BI5" s="40"/>
      <c r="BJ5" s="40"/>
      <c r="BK5" s="40"/>
      <c r="BL5" s="90" t="str">
        <f>IF(BH5&gt;0,SUM(BH5:BK5),"")</f>
        <v/>
      </c>
      <c r="BM5" s="90" t="str">
        <f t="shared" ref="BM5:BM44" si="8">IF(BL5="","",((BL5/16)*100))</f>
        <v/>
      </c>
    </row>
    <row r="6" spans="1:65">
      <c r="A6" s="90">
        <f>'DATA SISWA'!A6</f>
        <v>2</v>
      </c>
      <c r="B6" s="90">
        <f>'DATA SISWA'!B6</f>
        <v>0</v>
      </c>
      <c r="C6" s="90">
        <f>'DATA SISWA'!C6</f>
        <v>0</v>
      </c>
      <c r="D6" s="90">
        <f>'DATA SISWA'!D6</f>
        <v>0</v>
      </c>
      <c r="E6" s="90" t="str">
        <f>'DATA SISWA'!E6</f>
        <v>VII-J</v>
      </c>
      <c r="F6" s="40"/>
      <c r="G6" s="40"/>
      <c r="H6" s="40"/>
      <c r="I6" s="40"/>
      <c r="J6" s="90" t="str">
        <f t="shared" ref="J6:J44" si="9">IF(F6&gt;0,SUM(F6:I6),"")</f>
        <v/>
      </c>
      <c r="K6" s="90" t="str">
        <f t="shared" ref="K6:K44" si="10">IF(J6="","",((J6/16)*100))</f>
        <v/>
      </c>
      <c r="L6" s="40"/>
      <c r="M6" s="40"/>
      <c r="N6" s="40"/>
      <c r="O6" s="40"/>
      <c r="P6" s="90" t="str">
        <f t="shared" ref="P6:P44" si="11">IF(L6&gt;0,SUM(L6:O6),"")</f>
        <v/>
      </c>
      <c r="Q6" s="90" t="str">
        <f t="shared" si="0"/>
        <v/>
      </c>
      <c r="R6" s="40"/>
      <c r="S6" s="40"/>
      <c r="T6" s="40"/>
      <c r="U6" s="40"/>
      <c r="V6" s="90" t="str">
        <f t="shared" ref="V6:V44" si="12">IF(R6&gt;0,SUM(R6:U6),"")</f>
        <v/>
      </c>
      <c r="W6" s="90" t="str">
        <f t="shared" si="1"/>
        <v/>
      </c>
      <c r="X6" s="40"/>
      <c r="Y6" s="40"/>
      <c r="Z6" s="40"/>
      <c r="AA6" s="40"/>
      <c r="AB6" s="90" t="str">
        <f t="shared" ref="AB6:AB44" si="13">IF(X6&gt;0,SUM(X6:AA6),"")</f>
        <v/>
      </c>
      <c r="AC6" s="90" t="str">
        <f t="shared" si="2"/>
        <v/>
      </c>
      <c r="AD6" s="40"/>
      <c r="AE6" s="40"/>
      <c r="AF6" s="40"/>
      <c r="AG6" s="40"/>
      <c r="AH6" s="90" t="str">
        <f t="shared" ref="AH6:AH44" si="14">IF(AD6&gt;0,SUM(AD6:AG6),"")</f>
        <v/>
      </c>
      <c r="AI6" s="90" t="str">
        <f t="shared" si="3"/>
        <v/>
      </c>
      <c r="AJ6" s="40"/>
      <c r="AK6" s="40"/>
      <c r="AL6" s="40"/>
      <c r="AM6" s="40"/>
      <c r="AN6" s="90" t="str">
        <f t="shared" ref="AN6:AN44" si="15">IF(AJ6&gt;0,SUM(AJ6:AM6),"")</f>
        <v/>
      </c>
      <c r="AO6" s="90" t="str">
        <f t="shared" si="4"/>
        <v/>
      </c>
      <c r="AP6" s="40"/>
      <c r="AQ6" s="40"/>
      <c r="AR6" s="40"/>
      <c r="AS6" s="40"/>
      <c r="AT6" s="90" t="str">
        <f t="shared" ref="AT6:AT44" si="16">IF(AP6&gt;0,SUM(AP6:AS6),"")</f>
        <v/>
      </c>
      <c r="AU6" s="90" t="str">
        <f t="shared" si="5"/>
        <v/>
      </c>
      <c r="AV6" s="40"/>
      <c r="AW6" s="40"/>
      <c r="AX6" s="40"/>
      <c r="AY6" s="40"/>
      <c r="AZ6" s="90" t="str">
        <f t="shared" ref="AZ6:AZ44" si="17">IF(AV6&gt;0,SUM(AV6:AY6),"")</f>
        <v/>
      </c>
      <c r="BA6" s="90" t="str">
        <f t="shared" si="6"/>
        <v/>
      </c>
      <c r="BB6" s="40"/>
      <c r="BC6" s="40"/>
      <c r="BD6" s="40"/>
      <c r="BE6" s="40"/>
      <c r="BF6" s="90" t="str">
        <f t="shared" ref="BF6:BF44" si="18">IF(BB6&gt;0,SUM(BB6:BE6),"")</f>
        <v/>
      </c>
      <c r="BG6" s="90" t="str">
        <f t="shared" si="7"/>
        <v/>
      </c>
      <c r="BH6" s="40"/>
      <c r="BI6" s="40"/>
      <c r="BJ6" s="40"/>
      <c r="BK6" s="40"/>
      <c r="BL6" s="90" t="str">
        <f t="shared" ref="BL6:BL44" si="19">IF(BH6&gt;0,SUM(BH6:BK6),"")</f>
        <v/>
      </c>
      <c r="BM6" s="90" t="str">
        <f t="shared" si="8"/>
        <v/>
      </c>
    </row>
    <row r="7" spans="1:65">
      <c r="A7" s="90">
        <f>'DATA SISWA'!A7</f>
        <v>3</v>
      </c>
      <c r="B7" s="90" t="str">
        <f>'DATA SISWA'!B7</f>
        <v>7645</v>
      </c>
      <c r="C7" s="90" t="str">
        <f>'DATA SISWA'!C7</f>
        <v>ACHMAD ALFARESI</v>
      </c>
      <c r="D7" s="90" t="str">
        <f>'DATA SISWA'!D7</f>
        <v>L</v>
      </c>
      <c r="E7" s="90" t="str">
        <f>'DATA SISWA'!E7</f>
        <v>VII-J</v>
      </c>
      <c r="F7" s="40"/>
      <c r="G7" s="40"/>
      <c r="H7" s="40"/>
      <c r="I7" s="40"/>
      <c r="J7" s="90" t="str">
        <f t="shared" si="9"/>
        <v/>
      </c>
      <c r="K7" s="90" t="str">
        <f t="shared" si="10"/>
        <v/>
      </c>
      <c r="L7" s="40"/>
      <c r="M7" s="40"/>
      <c r="N7" s="40"/>
      <c r="O7" s="40"/>
      <c r="P7" s="90" t="str">
        <f t="shared" si="11"/>
        <v/>
      </c>
      <c r="Q7" s="90" t="str">
        <f t="shared" si="0"/>
        <v/>
      </c>
      <c r="R7" s="40"/>
      <c r="S7" s="40"/>
      <c r="T7" s="40"/>
      <c r="U7" s="40"/>
      <c r="V7" s="90" t="str">
        <f t="shared" si="12"/>
        <v/>
      </c>
      <c r="W7" s="90" t="str">
        <f t="shared" si="1"/>
        <v/>
      </c>
      <c r="X7" s="40"/>
      <c r="Y7" s="40"/>
      <c r="Z7" s="40"/>
      <c r="AA7" s="40"/>
      <c r="AB7" s="90" t="str">
        <f t="shared" si="13"/>
        <v/>
      </c>
      <c r="AC7" s="90" t="str">
        <f t="shared" si="2"/>
        <v/>
      </c>
      <c r="AD7" s="40"/>
      <c r="AE7" s="40"/>
      <c r="AF7" s="40"/>
      <c r="AG7" s="40"/>
      <c r="AH7" s="90" t="str">
        <f t="shared" si="14"/>
        <v/>
      </c>
      <c r="AI7" s="90" t="str">
        <f t="shared" si="3"/>
        <v/>
      </c>
      <c r="AJ7" s="40"/>
      <c r="AK7" s="40"/>
      <c r="AL7" s="40"/>
      <c r="AM7" s="40"/>
      <c r="AN7" s="90" t="str">
        <f t="shared" si="15"/>
        <v/>
      </c>
      <c r="AO7" s="90" t="str">
        <f t="shared" si="4"/>
        <v/>
      </c>
      <c r="AP7" s="40"/>
      <c r="AQ7" s="40"/>
      <c r="AR7" s="40"/>
      <c r="AS7" s="40"/>
      <c r="AT7" s="90" t="str">
        <f t="shared" si="16"/>
        <v/>
      </c>
      <c r="AU7" s="90" t="str">
        <f t="shared" si="5"/>
        <v/>
      </c>
      <c r="AV7" s="40"/>
      <c r="AW7" s="40"/>
      <c r="AX7" s="40"/>
      <c r="AY7" s="40"/>
      <c r="AZ7" s="90" t="str">
        <f t="shared" si="17"/>
        <v/>
      </c>
      <c r="BA7" s="90" t="str">
        <f t="shared" si="6"/>
        <v/>
      </c>
      <c r="BB7" s="40"/>
      <c r="BC7" s="40"/>
      <c r="BD7" s="40"/>
      <c r="BE7" s="40"/>
      <c r="BF7" s="90" t="str">
        <f t="shared" si="18"/>
        <v/>
      </c>
      <c r="BG7" s="90" t="str">
        <f t="shared" si="7"/>
        <v/>
      </c>
      <c r="BH7" s="40"/>
      <c r="BI7" s="40"/>
      <c r="BJ7" s="40"/>
      <c r="BK7" s="40"/>
      <c r="BL7" s="90" t="str">
        <f t="shared" si="19"/>
        <v/>
      </c>
      <c r="BM7" s="90" t="str">
        <f t="shared" si="8"/>
        <v/>
      </c>
    </row>
    <row r="8" spans="1:65">
      <c r="A8" s="90">
        <f>'DATA SISWA'!A8</f>
        <v>4</v>
      </c>
      <c r="B8" s="90" t="str">
        <f>'DATA SISWA'!B8</f>
        <v>7674</v>
      </c>
      <c r="C8" s="90" t="str">
        <f>'DATA SISWA'!C8</f>
        <v>AGITA ZAHRAH MUFIDAH</v>
      </c>
      <c r="D8" s="90" t="str">
        <f>'DATA SISWA'!D8</f>
        <v>P</v>
      </c>
      <c r="E8" s="90" t="str">
        <f>'DATA SISWA'!E8</f>
        <v>VII-J</v>
      </c>
      <c r="F8" s="40"/>
      <c r="G8" s="40"/>
      <c r="H8" s="40"/>
      <c r="I8" s="40"/>
      <c r="J8" s="90" t="str">
        <f t="shared" si="9"/>
        <v/>
      </c>
      <c r="K8" s="90" t="str">
        <f t="shared" si="10"/>
        <v/>
      </c>
      <c r="L8" s="40"/>
      <c r="M8" s="40"/>
      <c r="N8" s="40"/>
      <c r="O8" s="40"/>
      <c r="P8" s="90" t="str">
        <f t="shared" si="11"/>
        <v/>
      </c>
      <c r="Q8" s="90" t="str">
        <f t="shared" si="0"/>
        <v/>
      </c>
      <c r="R8" s="40"/>
      <c r="S8" s="40"/>
      <c r="T8" s="40"/>
      <c r="U8" s="40"/>
      <c r="V8" s="90" t="str">
        <f t="shared" si="12"/>
        <v/>
      </c>
      <c r="W8" s="90" t="str">
        <f t="shared" si="1"/>
        <v/>
      </c>
      <c r="X8" s="40"/>
      <c r="Y8" s="40"/>
      <c r="Z8" s="40"/>
      <c r="AA8" s="40"/>
      <c r="AB8" s="90" t="str">
        <f t="shared" si="13"/>
        <v/>
      </c>
      <c r="AC8" s="90" t="str">
        <f t="shared" si="2"/>
        <v/>
      </c>
      <c r="AD8" s="40"/>
      <c r="AE8" s="40"/>
      <c r="AF8" s="40"/>
      <c r="AG8" s="40"/>
      <c r="AH8" s="90" t="str">
        <f t="shared" si="14"/>
        <v/>
      </c>
      <c r="AI8" s="90" t="str">
        <f t="shared" si="3"/>
        <v/>
      </c>
      <c r="AJ8" s="40"/>
      <c r="AK8" s="40"/>
      <c r="AL8" s="40"/>
      <c r="AM8" s="40"/>
      <c r="AN8" s="90" t="str">
        <f t="shared" si="15"/>
        <v/>
      </c>
      <c r="AO8" s="90" t="str">
        <f t="shared" si="4"/>
        <v/>
      </c>
      <c r="AP8" s="40"/>
      <c r="AQ8" s="40"/>
      <c r="AR8" s="40"/>
      <c r="AS8" s="40"/>
      <c r="AT8" s="90" t="str">
        <f t="shared" si="16"/>
        <v/>
      </c>
      <c r="AU8" s="90" t="str">
        <f t="shared" si="5"/>
        <v/>
      </c>
      <c r="AV8" s="40"/>
      <c r="AW8" s="40"/>
      <c r="AX8" s="40"/>
      <c r="AY8" s="40"/>
      <c r="AZ8" s="90" t="str">
        <f t="shared" si="17"/>
        <v/>
      </c>
      <c r="BA8" s="90" t="str">
        <f t="shared" si="6"/>
        <v/>
      </c>
      <c r="BB8" s="40"/>
      <c r="BC8" s="40"/>
      <c r="BD8" s="40"/>
      <c r="BE8" s="40"/>
      <c r="BF8" s="90" t="str">
        <f t="shared" si="18"/>
        <v/>
      </c>
      <c r="BG8" s="90" t="str">
        <f t="shared" si="7"/>
        <v/>
      </c>
      <c r="BH8" s="40"/>
      <c r="BI8" s="40"/>
      <c r="BJ8" s="40"/>
      <c r="BK8" s="40"/>
      <c r="BL8" s="90" t="str">
        <f t="shared" si="19"/>
        <v/>
      </c>
      <c r="BM8" s="90" t="str">
        <f t="shared" si="8"/>
        <v/>
      </c>
    </row>
    <row r="9" spans="1:65">
      <c r="A9" s="90">
        <f>'DATA SISWA'!A9</f>
        <v>5</v>
      </c>
      <c r="B9" s="90" t="str">
        <f>'DATA SISWA'!B9</f>
        <v>7646</v>
      </c>
      <c r="C9" s="90" t="str">
        <f>'DATA SISWA'!C9</f>
        <v>AHMAD HAMBALI</v>
      </c>
      <c r="D9" s="90" t="str">
        <f>'DATA SISWA'!D9</f>
        <v>L</v>
      </c>
      <c r="E9" s="90" t="str">
        <f>'DATA SISWA'!E9</f>
        <v>VII-J</v>
      </c>
      <c r="F9" s="40"/>
      <c r="G9" s="40"/>
      <c r="H9" s="40"/>
      <c r="I9" s="40"/>
      <c r="J9" s="90" t="str">
        <f t="shared" si="9"/>
        <v/>
      </c>
      <c r="K9" s="90" t="str">
        <f t="shared" si="10"/>
        <v/>
      </c>
      <c r="L9" s="40"/>
      <c r="M9" s="40"/>
      <c r="N9" s="40"/>
      <c r="O9" s="40"/>
      <c r="P9" s="90" t="str">
        <f t="shared" si="11"/>
        <v/>
      </c>
      <c r="Q9" s="90" t="str">
        <f t="shared" si="0"/>
        <v/>
      </c>
      <c r="R9" s="40"/>
      <c r="S9" s="40"/>
      <c r="T9" s="40"/>
      <c r="U9" s="40"/>
      <c r="V9" s="90" t="str">
        <f t="shared" si="12"/>
        <v/>
      </c>
      <c r="W9" s="90" t="str">
        <f t="shared" si="1"/>
        <v/>
      </c>
      <c r="X9" s="40"/>
      <c r="Y9" s="40"/>
      <c r="Z9" s="40"/>
      <c r="AA9" s="40"/>
      <c r="AB9" s="90" t="str">
        <f t="shared" si="13"/>
        <v/>
      </c>
      <c r="AC9" s="90" t="str">
        <f t="shared" si="2"/>
        <v/>
      </c>
      <c r="AD9" s="40"/>
      <c r="AE9" s="40"/>
      <c r="AF9" s="40"/>
      <c r="AG9" s="40"/>
      <c r="AH9" s="90" t="str">
        <f t="shared" si="14"/>
        <v/>
      </c>
      <c r="AI9" s="90" t="str">
        <f t="shared" si="3"/>
        <v/>
      </c>
      <c r="AJ9" s="40"/>
      <c r="AK9" s="40"/>
      <c r="AL9" s="40"/>
      <c r="AM9" s="40"/>
      <c r="AN9" s="90" t="str">
        <f t="shared" si="15"/>
        <v/>
      </c>
      <c r="AO9" s="90" t="str">
        <f t="shared" si="4"/>
        <v/>
      </c>
      <c r="AP9" s="40"/>
      <c r="AQ9" s="40"/>
      <c r="AR9" s="40"/>
      <c r="AS9" s="40"/>
      <c r="AT9" s="90" t="str">
        <f t="shared" si="16"/>
        <v/>
      </c>
      <c r="AU9" s="90" t="str">
        <f t="shared" si="5"/>
        <v/>
      </c>
      <c r="AV9" s="40"/>
      <c r="AW9" s="40"/>
      <c r="AX9" s="40"/>
      <c r="AY9" s="40"/>
      <c r="AZ9" s="90" t="str">
        <f t="shared" si="17"/>
        <v/>
      </c>
      <c r="BA9" s="90" t="str">
        <f t="shared" si="6"/>
        <v/>
      </c>
      <c r="BB9" s="40"/>
      <c r="BC9" s="40"/>
      <c r="BD9" s="40"/>
      <c r="BE9" s="40"/>
      <c r="BF9" s="90" t="str">
        <f t="shared" si="18"/>
        <v/>
      </c>
      <c r="BG9" s="90" t="str">
        <f t="shared" si="7"/>
        <v/>
      </c>
      <c r="BH9" s="40"/>
      <c r="BI9" s="40"/>
      <c r="BJ9" s="40"/>
      <c r="BK9" s="40"/>
      <c r="BL9" s="90" t="str">
        <f t="shared" si="19"/>
        <v/>
      </c>
      <c r="BM9" s="90" t="str">
        <f t="shared" si="8"/>
        <v/>
      </c>
    </row>
    <row r="10" spans="1:65">
      <c r="A10" s="90">
        <f>'DATA SISWA'!A10</f>
        <v>6</v>
      </c>
      <c r="B10" s="90" t="str">
        <f>'DATA SISWA'!B10</f>
        <v>7647</v>
      </c>
      <c r="C10" s="90" t="str">
        <f>'DATA SISWA'!C10</f>
        <v>AHMADI</v>
      </c>
      <c r="D10" s="90" t="str">
        <f>'DATA SISWA'!D10</f>
        <v>L</v>
      </c>
      <c r="E10" s="90" t="str">
        <f>'DATA SISWA'!E10</f>
        <v>VII-J</v>
      </c>
      <c r="F10" s="40"/>
      <c r="G10" s="40"/>
      <c r="H10" s="40"/>
      <c r="I10" s="40"/>
      <c r="J10" s="90" t="str">
        <f t="shared" si="9"/>
        <v/>
      </c>
      <c r="K10" s="90" t="str">
        <f t="shared" si="10"/>
        <v/>
      </c>
      <c r="L10" s="40"/>
      <c r="M10" s="40"/>
      <c r="N10" s="40"/>
      <c r="O10" s="40"/>
      <c r="P10" s="90" t="str">
        <f t="shared" si="11"/>
        <v/>
      </c>
      <c r="Q10" s="90" t="str">
        <f t="shared" si="0"/>
        <v/>
      </c>
      <c r="R10" s="40"/>
      <c r="S10" s="40"/>
      <c r="T10" s="40"/>
      <c r="U10" s="40"/>
      <c r="V10" s="90" t="str">
        <f t="shared" si="12"/>
        <v/>
      </c>
      <c r="W10" s="90" t="str">
        <f t="shared" si="1"/>
        <v/>
      </c>
      <c r="X10" s="40"/>
      <c r="Y10" s="40"/>
      <c r="Z10" s="40"/>
      <c r="AA10" s="40"/>
      <c r="AB10" s="90" t="str">
        <f t="shared" si="13"/>
        <v/>
      </c>
      <c r="AC10" s="90" t="str">
        <f t="shared" si="2"/>
        <v/>
      </c>
      <c r="AD10" s="40"/>
      <c r="AE10" s="40"/>
      <c r="AF10" s="40"/>
      <c r="AG10" s="40"/>
      <c r="AH10" s="90" t="str">
        <f t="shared" si="14"/>
        <v/>
      </c>
      <c r="AI10" s="90" t="str">
        <f t="shared" si="3"/>
        <v/>
      </c>
      <c r="AJ10" s="40"/>
      <c r="AK10" s="40"/>
      <c r="AL10" s="40"/>
      <c r="AM10" s="40"/>
      <c r="AN10" s="90" t="str">
        <f t="shared" si="15"/>
        <v/>
      </c>
      <c r="AO10" s="90" t="str">
        <f t="shared" si="4"/>
        <v/>
      </c>
      <c r="AP10" s="40"/>
      <c r="AQ10" s="40"/>
      <c r="AR10" s="40"/>
      <c r="AS10" s="40"/>
      <c r="AT10" s="90" t="str">
        <f t="shared" si="16"/>
        <v/>
      </c>
      <c r="AU10" s="90" t="str">
        <f t="shared" si="5"/>
        <v/>
      </c>
      <c r="AV10" s="40"/>
      <c r="AW10" s="40"/>
      <c r="AX10" s="40"/>
      <c r="AY10" s="40"/>
      <c r="AZ10" s="90" t="str">
        <f t="shared" si="17"/>
        <v/>
      </c>
      <c r="BA10" s="90" t="str">
        <f t="shared" si="6"/>
        <v/>
      </c>
      <c r="BB10" s="40"/>
      <c r="BC10" s="40"/>
      <c r="BD10" s="40"/>
      <c r="BE10" s="40"/>
      <c r="BF10" s="90" t="str">
        <f t="shared" si="18"/>
        <v/>
      </c>
      <c r="BG10" s="90" t="str">
        <f t="shared" si="7"/>
        <v/>
      </c>
      <c r="BH10" s="40"/>
      <c r="BI10" s="40"/>
      <c r="BJ10" s="40"/>
      <c r="BK10" s="40"/>
      <c r="BL10" s="90" t="str">
        <f t="shared" si="19"/>
        <v/>
      </c>
      <c r="BM10" s="90" t="str">
        <f t="shared" si="8"/>
        <v/>
      </c>
    </row>
    <row r="11" spans="1:65">
      <c r="A11" s="90">
        <f>'DATA SISWA'!A11</f>
        <v>7</v>
      </c>
      <c r="B11" s="90" t="str">
        <f>'DATA SISWA'!B11</f>
        <v>7648</v>
      </c>
      <c r="C11" s="90" t="str">
        <f>'DATA SISWA'!C11</f>
        <v xml:space="preserve">AINUR ROFIK </v>
      </c>
      <c r="D11" s="90" t="str">
        <f>'DATA SISWA'!D11</f>
        <v>L</v>
      </c>
      <c r="E11" s="90" t="str">
        <f>'DATA SISWA'!E11</f>
        <v>VII-J</v>
      </c>
      <c r="F11" s="40"/>
      <c r="G11" s="40"/>
      <c r="H11" s="40"/>
      <c r="I11" s="40"/>
      <c r="J11" s="90" t="str">
        <f t="shared" si="9"/>
        <v/>
      </c>
      <c r="K11" s="90" t="str">
        <f t="shared" si="10"/>
        <v/>
      </c>
      <c r="L11" s="40"/>
      <c r="M11" s="40"/>
      <c r="N11" s="40"/>
      <c r="O11" s="40"/>
      <c r="P11" s="90" t="str">
        <f t="shared" si="11"/>
        <v/>
      </c>
      <c r="Q11" s="90" t="str">
        <f t="shared" si="0"/>
        <v/>
      </c>
      <c r="R11" s="40"/>
      <c r="S11" s="40"/>
      <c r="T11" s="40"/>
      <c r="U11" s="40"/>
      <c r="V11" s="90" t="str">
        <f t="shared" si="12"/>
        <v/>
      </c>
      <c r="W11" s="90" t="str">
        <f t="shared" si="1"/>
        <v/>
      </c>
      <c r="X11" s="40"/>
      <c r="Y11" s="40"/>
      <c r="Z11" s="40"/>
      <c r="AA11" s="40"/>
      <c r="AB11" s="90" t="str">
        <f t="shared" si="13"/>
        <v/>
      </c>
      <c r="AC11" s="90" t="str">
        <f t="shared" si="2"/>
        <v/>
      </c>
      <c r="AD11" s="40"/>
      <c r="AE11" s="40"/>
      <c r="AF11" s="40"/>
      <c r="AG11" s="40"/>
      <c r="AH11" s="90" t="str">
        <f t="shared" si="14"/>
        <v/>
      </c>
      <c r="AI11" s="90" t="str">
        <f t="shared" si="3"/>
        <v/>
      </c>
      <c r="AJ11" s="40"/>
      <c r="AK11" s="40"/>
      <c r="AL11" s="40"/>
      <c r="AM11" s="40"/>
      <c r="AN11" s="90" t="str">
        <f t="shared" si="15"/>
        <v/>
      </c>
      <c r="AO11" s="90" t="str">
        <f t="shared" si="4"/>
        <v/>
      </c>
      <c r="AP11" s="40"/>
      <c r="AQ11" s="40"/>
      <c r="AR11" s="40"/>
      <c r="AS11" s="40"/>
      <c r="AT11" s="90" t="str">
        <f t="shared" si="16"/>
        <v/>
      </c>
      <c r="AU11" s="90" t="str">
        <f t="shared" si="5"/>
        <v/>
      </c>
      <c r="AV11" s="40"/>
      <c r="AW11" s="40"/>
      <c r="AX11" s="40"/>
      <c r="AY11" s="40"/>
      <c r="AZ11" s="90" t="str">
        <f t="shared" si="17"/>
        <v/>
      </c>
      <c r="BA11" s="90" t="str">
        <f t="shared" si="6"/>
        <v/>
      </c>
      <c r="BB11" s="40"/>
      <c r="BC11" s="40"/>
      <c r="BD11" s="40"/>
      <c r="BE11" s="40"/>
      <c r="BF11" s="90" t="str">
        <f t="shared" si="18"/>
        <v/>
      </c>
      <c r="BG11" s="90" t="str">
        <f t="shared" si="7"/>
        <v/>
      </c>
      <c r="BH11" s="40"/>
      <c r="BI11" s="40"/>
      <c r="BJ11" s="40"/>
      <c r="BK11" s="40"/>
      <c r="BL11" s="90" t="str">
        <f t="shared" si="19"/>
        <v/>
      </c>
      <c r="BM11" s="90" t="str">
        <f t="shared" si="8"/>
        <v/>
      </c>
    </row>
    <row r="12" spans="1:65">
      <c r="A12" s="90">
        <f>'DATA SISWA'!A12</f>
        <v>8</v>
      </c>
      <c r="B12" s="90" t="str">
        <f>'DATA SISWA'!B12</f>
        <v>7377</v>
      </c>
      <c r="C12" s="90" t="str">
        <f>'DATA SISWA'!C12</f>
        <v>AT-THORIQ BINTANG PRAJA</v>
      </c>
      <c r="D12" s="90" t="str">
        <f>'DATA SISWA'!D12</f>
        <v>L</v>
      </c>
      <c r="E12" s="90" t="str">
        <f>'DATA SISWA'!E12</f>
        <v>VII-J</v>
      </c>
      <c r="F12" s="40"/>
      <c r="G12" s="40"/>
      <c r="H12" s="40"/>
      <c r="I12" s="40"/>
      <c r="J12" s="90" t="str">
        <f t="shared" si="9"/>
        <v/>
      </c>
      <c r="K12" s="90" t="str">
        <f t="shared" si="10"/>
        <v/>
      </c>
      <c r="L12" s="40"/>
      <c r="M12" s="40"/>
      <c r="N12" s="40"/>
      <c r="O12" s="40"/>
      <c r="P12" s="90" t="str">
        <f t="shared" si="11"/>
        <v/>
      </c>
      <c r="Q12" s="90" t="str">
        <f t="shared" si="0"/>
        <v/>
      </c>
      <c r="R12" s="40"/>
      <c r="S12" s="40"/>
      <c r="T12" s="40"/>
      <c r="U12" s="40"/>
      <c r="V12" s="90" t="str">
        <f t="shared" si="12"/>
        <v/>
      </c>
      <c r="W12" s="90" t="str">
        <f t="shared" si="1"/>
        <v/>
      </c>
      <c r="X12" s="40"/>
      <c r="Y12" s="40"/>
      <c r="Z12" s="40"/>
      <c r="AA12" s="40"/>
      <c r="AB12" s="90" t="str">
        <f t="shared" si="13"/>
        <v/>
      </c>
      <c r="AC12" s="90" t="str">
        <f t="shared" si="2"/>
        <v/>
      </c>
      <c r="AD12" s="40"/>
      <c r="AE12" s="40"/>
      <c r="AF12" s="40"/>
      <c r="AG12" s="40"/>
      <c r="AH12" s="90" t="str">
        <f t="shared" si="14"/>
        <v/>
      </c>
      <c r="AI12" s="90" t="str">
        <f t="shared" si="3"/>
        <v/>
      </c>
      <c r="AJ12" s="40"/>
      <c r="AK12" s="40"/>
      <c r="AL12" s="40"/>
      <c r="AM12" s="40"/>
      <c r="AN12" s="90" t="str">
        <f t="shared" si="15"/>
        <v/>
      </c>
      <c r="AO12" s="90" t="str">
        <f t="shared" si="4"/>
        <v/>
      </c>
      <c r="AP12" s="40"/>
      <c r="AQ12" s="40"/>
      <c r="AR12" s="40"/>
      <c r="AS12" s="40"/>
      <c r="AT12" s="90" t="str">
        <f t="shared" si="16"/>
        <v/>
      </c>
      <c r="AU12" s="90" t="str">
        <f t="shared" si="5"/>
        <v/>
      </c>
      <c r="AV12" s="40"/>
      <c r="AW12" s="40"/>
      <c r="AX12" s="40"/>
      <c r="AY12" s="40"/>
      <c r="AZ12" s="90" t="str">
        <f t="shared" si="17"/>
        <v/>
      </c>
      <c r="BA12" s="90" t="str">
        <f t="shared" si="6"/>
        <v/>
      </c>
      <c r="BB12" s="40"/>
      <c r="BC12" s="40"/>
      <c r="BD12" s="40"/>
      <c r="BE12" s="40"/>
      <c r="BF12" s="90" t="str">
        <f t="shared" si="18"/>
        <v/>
      </c>
      <c r="BG12" s="90" t="str">
        <f t="shared" si="7"/>
        <v/>
      </c>
      <c r="BH12" s="40"/>
      <c r="BI12" s="40"/>
      <c r="BJ12" s="40"/>
      <c r="BK12" s="40"/>
      <c r="BL12" s="90" t="str">
        <f t="shared" si="19"/>
        <v/>
      </c>
      <c r="BM12" s="90" t="str">
        <f t="shared" si="8"/>
        <v/>
      </c>
    </row>
    <row r="13" spans="1:65">
      <c r="A13" s="90">
        <f>'DATA SISWA'!A13</f>
        <v>9</v>
      </c>
      <c r="B13" s="90" t="str">
        <f>'DATA SISWA'!B13</f>
        <v>7649</v>
      </c>
      <c r="C13" s="90" t="str">
        <f>'DATA SISWA'!C13</f>
        <v>DEWI WULANDARI</v>
      </c>
      <c r="D13" s="90" t="str">
        <f>'DATA SISWA'!D13</f>
        <v>P</v>
      </c>
      <c r="E13" s="90" t="str">
        <f>'DATA SISWA'!E13</f>
        <v>VII-J</v>
      </c>
      <c r="F13" s="40"/>
      <c r="G13" s="40"/>
      <c r="H13" s="40"/>
      <c r="I13" s="40"/>
      <c r="J13" s="90" t="str">
        <f t="shared" si="9"/>
        <v/>
      </c>
      <c r="K13" s="90" t="str">
        <f t="shared" si="10"/>
        <v/>
      </c>
      <c r="L13" s="40"/>
      <c r="M13" s="40"/>
      <c r="N13" s="40"/>
      <c r="O13" s="40"/>
      <c r="P13" s="90" t="str">
        <f t="shared" si="11"/>
        <v/>
      </c>
      <c r="Q13" s="90" t="str">
        <f t="shared" si="0"/>
        <v/>
      </c>
      <c r="R13" s="40"/>
      <c r="S13" s="40"/>
      <c r="T13" s="40"/>
      <c r="U13" s="40"/>
      <c r="V13" s="90" t="str">
        <f t="shared" si="12"/>
        <v/>
      </c>
      <c r="W13" s="90" t="str">
        <f t="shared" si="1"/>
        <v/>
      </c>
      <c r="X13" s="40"/>
      <c r="Y13" s="40"/>
      <c r="Z13" s="40"/>
      <c r="AA13" s="40"/>
      <c r="AB13" s="90" t="str">
        <f t="shared" si="13"/>
        <v/>
      </c>
      <c r="AC13" s="90" t="str">
        <f t="shared" si="2"/>
        <v/>
      </c>
      <c r="AD13" s="40"/>
      <c r="AE13" s="40"/>
      <c r="AF13" s="40"/>
      <c r="AG13" s="40"/>
      <c r="AH13" s="90" t="str">
        <f t="shared" si="14"/>
        <v/>
      </c>
      <c r="AI13" s="90" t="str">
        <f t="shared" si="3"/>
        <v/>
      </c>
      <c r="AJ13" s="40"/>
      <c r="AK13" s="40"/>
      <c r="AL13" s="40"/>
      <c r="AM13" s="40"/>
      <c r="AN13" s="90" t="str">
        <f t="shared" si="15"/>
        <v/>
      </c>
      <c r="AO13" s="90" t="str">
        <f t="shared" si="4"/>
        <v/>
      </c>
      <c r="AP13" s="40"/>
      <c r="AQ13" s="40"/>
      <c r="AR13" s="40"/>
      <c r="AS13" s="40"/>
      <c r="AT13" s="90" t="str">
        <f t="shared" si="16"/>
        <v/>
      </c>
      <c r="AU13" s="90" t="str">
        <f t="shared" si="5"/>
        <v/>
      </c>
      <c r="AV13" s="40"/>
      <c r="AW13" s="40"/>
      <c r="AX13" s="40"/>
      <c r="AY13" s="40"/>
      <c r="AZ13" s="90" t="str">
        <f t="shared" si="17"/>
        <v/>
      </c>
      <c r="BA13" s="90" t="str">
        <f t="shared" si="6"/>
        <v/>
      </c>
      <c r="BB13" s="40"/>
      <c r="BC13" s="40"/>
      <c r="BD13" s="40"/>
      <c r="BE13" s="40"/>
      <c r="BF13" s="90" t="str">
        <f t="shared" si="18"/>
        <v/>
      </c>
      <c r="BG13" s="90" t="str">
        <f t="shared" si="7"/>
        <v/>
      </c>
      <c r="BH13" s="40"/>
      <c r="BI13" s="40"/>
      <c r="BJ13" s="40"/>
      <c r="BK13" s="40"/>
      <c r="BL13" s="90" t="str">
        <f t="shared" si="19"/>
        <v/>
      </c>
      <c r="BM13" s="90" t="str">
        <f t="shared" si="8"/>
        <v/>
      </c>
    </row>
    <row r="14" spans="1:65">
      <c r="A14" s="90">
        <f>'DATA SISWA'!A14</f>
        <v>10</v>
      </c>
      <c r="B14" s="90" t="str">
        <f>'DATA SISWA'!B14</f>
        <v>7650</v>
      </c>
      <c r="C14" s="90" t="str">
        <f>'DATA SISWA'!C14</f>
        <v>ENI UMAMAH</v>
      </c>
      <c r="D14" s="90" t="str">
        <f>'DATA SISWA'!D14</f>
        <v>P</v>
      </c>
      <c r="E14" s="90" t="str">
        <f>'DATA SISWA'!E14</f>
        <v>VII-J</v>
      </c>
      <c r="F14" s="40"/>
      <c r="G14" s="40"/>
      <c r="H14" s="40"/>
      <c r="I14" s="40"/>
      <c r="J14" s="90" t="str">
        <f t="shared" si="9"/>
        <v/>
      </c>
      <c r="K14" s="90" t="str">
        <f t="shared" si="10"/>
        <v/>
      </c>
      <c r="L14" s="40"/>
      <c r="M14" s="40"/>
      <c r="N14" s="40"/>
      <c r="O14" s="40"/>
      <c r="P14" s="90" t="str">
        <f t="shared" si="11"/>
        <v/>
      </c>
      <c r="Q14" s="90" t="str">
        <f t="shared" si="0"/>
        <v/>
      </c>
      <c r="R14" s="40"/>
      <c r="S14" s="40"/>
      <c r="T14" s="40"/>
      <c r="U14" s="40"/>
      <c r="V14" s="90" t="str">
        <f t="shared" si="12"/>
        <v/>
      </c>
      <c r="W14" s="90" t="str">
        <f t="shared" si="1"/>
        <v/>
      </c>
      <c r="X14" s="40"/>
      <c r="Y14" s="40"/>
      <c r="Z14" s="40"/>
      <c r="AA14" s="40"/>
      <c r="AB14" s="90" t="str">
        <f t="shared" si="13"/>
        <v/>
      </c>
      <c r="AC14" s="90" t="str">
        <f t="shared" si="2"/>
        <v/>
      </c>
      <c r="AD14" s="40"/>
      <c r="AE14" s="40"/>
      <c r="AF14" s="40"/>
      <c r="AG14" s="40"/>
      <c r="AH14" s="90" t="str">
        <f t="shared" si="14"/>
        <v/>
      </c>
      <c r="AI14" s="90" t="str">
        <f t="shared" si="3"/>
        <v/>
      </c>
      <c r="AJ14" s="40"/>
      <c r="AK14" s="40"/>
      <c r="AL14" s="40"/>
      <c r="AM14" s="40"/>
      <c r="AN14" s="90" t="str">
        <f t="shared" si="15"/>
        <v/>
      </c>
      <c r="AO14" s="90" t="str">
        <f t="shared" si="4"/>
        <v/>
      </c>
      <c r="AP14" s="40"/>
      <c r="AQ14" s="40"/>
      <c r="AR14" s="40"/>
      <c r="AS14" s="40"/>
      <c r="AT14" s="90" t="str">
        <f t="shared" si="16"/>
        <v/>
      </c>
      <c r="AU14" s="90" t="str">
        <f t="shared" si="5"/>
        <v/>
      </c>
      <c r="AV14" s="40"/>
      <c r="AW14" s="40"/>
      <c r="AX14" s="40"/>
      <c r="AY14" s="40"/>
      <c r="AZ14" s="90" t="str">
        <f t="shared" si="17"/>
        <v/>
      </c>
      <c r="BA14" s="90" t="str">
        <f t="shared" si="6"/>
        <v/>
      </c>
      <c r="BB14" s="40"/>
      <c r="BC14" s="40"/>
      <c r="BD14" s="40"/>
      <c r="BE14" s="40"/>
      <c r="BF14" s="90" t="str">
        <f t="shared" si="18"/>
        <v/>
      </c>
      <c r="BG14" s="90" t="str">
        <f t="shared" si="7"/>
        <v/>
      </c>
      <c r="BH14" s="40"/>
      <c r="BI14" s="40"/>
      <c r="BJ14" s="40"/>
      <c r="BK14" s="40"/>
      <c r="BL14" s="90" t="str">
        <f t="shared" si="19"/>
        <v/>
      </c>
      <c r="BM14" s="90" t="str">
        <f t="shared" si="8"/>
        <v/>
      </c>
    </row>
    <row r="15" spans="1:65">
      <c r="A15" s="90">
        <f>'DATA SISWA'!A15</f>
        <v>11</v>
      </c>
      <c r="B15" s="90" t="str">
        <f>'DATA SISWA'!B15</f>
        <v>7651</v>
      </c>
      <c r="C15" s="90" t="str">
        <f>'DATA SISWA'!C15</f>
        <v>FADIA FASSA</v>
      </c>
      <c r="D15" s="90" t="str">
        <f>'DATA SISWA'!D15</f>
        <v>P</v>
      </c>
      <c r="E15" s="90" t="str">
        <f>'DATA SISWA'!E15</f>
        <v>VII-J</v>
      </c>
      <c r="F15" s="40"/>
      <c r="G15" s="40"/>
      <c r="H15" s="40"/>
      <c r="I15" s="40"/>
      <c r="J15" s="90" t="str">
        <f t="shared" si="9"/>
        <v/>
      </c>
      <c r="K15" s="90" t="str">
        <f t="shared" si="10"/>
        <v/>
      </c>
      <c r="L15" s="40"/>
      <c r="M15" s="40"/>
      <c r="N15" s="40"/>
      <c r="O15" s="40"/>
      <c r="P15" s="90" t="str">
        <f t="shared" si="11"/>
        <v/>
      </c>
      <c r="Q15" s="90" t="str">
        <f t="shared" si="0"/>
        <v/>
      </c>
      <c r="R15" s="40"/>
      <c r="S15" s="40"/>
      <c r="T15" s="40"/>
      <c r="U15" s="40"/>
      <c r="V15" s="90" t="str">
        <f t="shared" si="12"/>
        <v/>
      </c>
      <c r="W15" s="90" t="str">
        <f t="shared" si="1"/>
        <v/>
      </c>
      <c r="X15" s="40"/>
      <c r="Y15" s="40"/>
      <c r="Z15" s="40"/>
      <c r="AA15" s="40"/>
      <c r="AB15" s="90" t="str">
        <f t="shared" si="13"/>
        <v/>
      </c>
      <c r="AC15" s="90" t="str">
        <f t="shared" si="2"/>
        <v/>
      </c>
      <c r="AD15" s="40"/>
      <c r="AE15" s="40"/>
      <c r="AF15" s="40"/>
      <c r="AG15" s="40"/>
      <c r="AH15" s="90" t="str">
        <f t="shared" si="14"/>
        <v/>
      </c>
      <c r="AI15" s="90" t="str">
        <f t="shared" si="3"/>
        <v/>
      </c>
      <c r="AJ15" s="40"/>
      <c r="AK15" s="40"/>
      <c r="AL15" s="40"/>
      <c r="AM15" s="40"/>
      <c r="AN15" s="90" t="str">
        <f t="shared" si="15"/>
        <v/>
      </c>
      <c r="AO15" s="90" t="str">
        <f t="shared" si="4"/>
        <v/>
      </c>
      <c r="AP15" s="40"/>
      <c r="AQ15" s="40"/>
      <c r="AR15" s="40"/>
      <c r="AS15" s="40"/>
      <c r="AT15" s="90" t="str">
        <f t="shared" si="16"/>
        <v/>
      </c>
      <c r="AU15" s="90" t="str">
        <f t="shared" si="5"/>
        <v/>
      </c>
      <c r="AV15" s="40"/>
      <c r="AW15" s="40"/>
      <c r="AX15" s="40"/>
      <c r="AY15" s="40"/>
      <c r="AZ15" s="90" t="str">
        <f t="shared" si="17"/>
        <v/>
      </c>
      <c r="BA15" s="90" t="str">
        <f t="shared" si="6"/>
        <v/>
      </c>
      <c r="BB15" s="40"/>
      <c r="BC15" s="40"/>
      <c r="BD15" s="40"/>
      <c r="BE15" s="40"/>
      <c r="BF15" s="90" t="str">
        <f t="shared" si="18"/>
        <v/>
      </c>
      <c r="BG15" s="90" t="str">
        <f t="shared" si="7"/>
        <v/>
      </c>
      <c r="BH15" s="40"/>
      <c r="BI15" s="40"/>
      <c r="BJ15" s="40"/>
      <c r="BK15" s="40"/>
      <c r="BL15" s="90" t="str">
        <f t="shared" si="19"/>
        <v/>
      </c>
      <c r="BM15" s="90" t="str">
        <f t="shared" si="8"/>
        <v/>
      </c>
    </row>
    <row r="16" spans="1:65">
      <c r="A16" s="90">
        <f>'DATA SISWA'!A16</f>
        <v>12</v>
      </c>
      <c r="B16" s="90" t="str">
        <f>'DATA SISWA'!B16</f>
        <v>7652</v>
      </c>
      <c r="C16" s="90" t="str">
        <f>'DATA SISWA'!C16</f>
        <v>FATIMATUZ  ZAHROH</v>
      </c>
      <c r="D16" s="90" t="str">
        <f>'DATA SISWA'!D16</f>
        <v>P</v>
      </c>
      <c r="E16" s="90" t="str">
        <f>'DATA SISWA'!E16</f>
        <v>VII-J</v>
      </c>
      <c r="F16" s="40"/>
      <c r="G16" s="40"/>
      <c r="H16" s="40"/>
      <c r="I16" s="40"/>
      <c r="J16" s="90" t="str">
        <f t="shared" si="9"/>
        <v/>
      </c>
      <c r="K16" s="90" t="str">
        <f t="shared" si="10"/>
        <v/>
      </c>
      <c r="L16" s="40"/>
      <c r="M16" s="40"/>
      <c r="N16" s="40"/>
      <c r="O16" s="40"/>
      <c r="P16" s="90" t="str">
        <f t="shared" si="11"/>
        <v/>
      </c>
      <c r="Q16" s="90" t="str">
        <f t="shared" si="0"/>
        <v/>
      </c>
      <c r="R16" s="40"/>
      <c r="S16" s="40"/>
      <c r="T16" s="40"/>
      <c r="U16" s="40"/>
      <c r="V16" s="90" t="str">
        <f t="shared" si="12"/>
        <v/>
      </c>
      <c r="W16" s="90" t="str">
        <f t="shared" si="1"/>
        <v/>
      </c>
      <c r="X16" s="40"/>
      <c r="Y16" s="40"/>
      <c r="Z16" s="40"/>
      <c r="AA16" s="40"/>
      <c r="AB16" s="90" t="str">
        <f t="shared" si="13"/>
        <v/>
      </c>
      <c r="AC16" s="90" t="str">
        <f t="shared" si="2"/>
        <v/>
      </c>
      <c r="AD16" s="40"/>
      <c r="AE16" s="40"/>
      <c r="AF16" s="40"/>
      <c r="AG16" s="40"/>
      <c r="AH16" s="90" t="str">
        <f t="shared" si="14"/>
        <v/>
      </c>
      <c r="AI16" s="90" t="str">
        <f t="shared" si="3"/>
        <v/>
      </c>
      <c r="AJ16" s="40"/>
      <c r="AK16" s="40"/>
      <c r="AL16" s="40"/>
      <c r="AM16" s="40"/>
      <c r="AN16" s="90" t="str">
        <f t="shared" si="15"/>
        <v/>
      </c>
      <c r="AO16" s="90" t="str">
        <f t="shared" si="4"/>
        <v/>
      </c>
      <c r="AP16" s="40"/>
      <c r="AQ16" s="40"/>
      <c r="AR16" s="40"/>
      <c r="AS16" s="40"/>
      <c r="AT16" s="90" t="str">
        <f t="shared" si="16"/>
        <v/>
      </c>
      <c r="AU16" s="90" t="str">
        <f t="shared" si="5"/>
        <v/>
      </c>
      <c r="AV16" s="40"/>
      <c r="AW16" s="40"/>
      <c r="AX16" s="40"/>
      <c r="AY16" s="40"/>
      <c r="AZ16" s="90" t="str">
        <f t="shared" si="17"/>
        <v/>
      </c>
      <c r="BA16" s="90" t="str">
        <f t="shared" si="6"/>
        <v/>
      </c>
      <c r="BB16" s="40"/>
      <c r="BC16" s="40"/>
      <c r="BD16" s="40"/>
      <c r="BE16" s="40"/>
      <c r="BF16" s="90" t="str">
        <f t="shared" si="18"/>
        <v/>
      </c>
      <c r="BG16" s="90" t="str">
        <f t="shared" si="7"/>
        <v/>
      </c>
      <c r="BH16" s="40"/>
      <c r="BI16" s="40"/>
      <c r="BJ16" s="40"/>
      <c r="BK16" s="40"/>
      <c r="BL16" s="90" t="str">
        <f t="shared" si="19"/>
        <v/>
      </c>
      <c r="BM16" s="90" t="str">
        <f t="shared" si="8"/>
        <v/>
      </c>
    </row>
    <row r="17" spans="1:65">
      <c r="A17" s="90">
        <f>'DATA SISWA'!A17</f>
        <v>13</v>
      </c>
      <c r="B17" s="90" t="str">
        <f>'DATA SISWA'!B17</f>
        <v>7653</v>
      </c>
      <c r="C17" s="90" t="str">
        <f>'DATA SISWA'!C17</f>
        <v>IMAM FATONI</v>
      </c>
      <c r="D17" s="90" t="str">
        <f>'DATA SISWA'!D17</f>
        <v>L</v>
      </c>
      <c r="E17" s="90" t="str">
        <f>'DATA SISWA'!E17</f>
        <v>VII-J</v>
      </c>
      <c r="F17" s="40"/>
      <c r="G17" s="40"/>
      <c r="H17" s="40"/>
      <c r="I17" s="40"/>
      <c r="J17" s="90" t="str">
        <f t="shared" si="9"/>
        <v/>
      </c>
      <c r="K17" s="90" t="str">
        <f t="shared" si="10"/>
        <v/>
      </c>
      <c r="L17" s="40"/>
      <c r="M17" s="40"/>
      <c r="N17" s="40"/>
      <c r="O17" s="40"/>
      <c r="P17" s="90" t="str">
        <f t="shared" si="11"/>
        <v/>
      </c>
      <c r="Q17" s="90" t="str">
        <f t="shared" si="0"/>
        <v/>
      </c>
      <c r="R17" s="40"/>
      <c r="S17" s="40"/>
      <c r="T17" s="40"/>
      <c r="U17" s="40"/>
      <c r="V17" s="90" t="str">
        <f t="shared" si="12"/>
        <v/>
      </c>
      <c r="W17" s="90" t="str">
        <f t="shared" si="1"/>
        <v/>
      </c>
      <c r="X17" s="40"/>
      <c r="Y17" s="40"/>
      <c r="Z17" s="40"/>
      <c r="AA17" s="40"/>
      <c r="AB17" s="90" t="str">
        <f t="shared" si="13"/>
        <v/>
      </c>
      <c r="AC17" s="90" t="str">
        <f t="shared" si="2"/>
        <v/>
      </c>
      <c r="AD17" s="40"/>
      <c r="AE17" s="40"/>
      <c r="AF17" s="40"/>
      <c r="AG17" s="40"/>
      <c r="AH17" s="90" t="str">
        <f t="shared" si="14"/>
        <v/>
      </c>
      <c r="AI17" s="90" t="str">
        <f t="shared" si="3"/>
        <v/>
      </c>
      <c r="AJ17" s="40"/>
      <c r="AK17" s="40"/>
      <c r="AL17" s="40"/>
      <c r="AM17" s="40"/>
      <c r="AN17" s="90" t="str">
        <f t="shared" si="15"/>
        <v/>
      </c>
      <c r="AO17" s="90" t="str">
        <f t="shared" si="4"/>
        <v/>
      </c>
      <c r="AP17" s="40"/>
      <c r="AQ17" s="40"/>
      <c r="AR17" s="40"/>
      <c r="AS17" s="40"/>
      <c r="AT17" s="90" t="str">
        <f t="shared" si="16"/>
        <v/>
      </c>
      <c r="AU17" s="90" t="str">
        <f t="shared" si="5"/>
        <v/>
      </c>
      <c r="AV17" s="40"/>
      <c r="AW17" s="40"/>
      <c r="AX17" s="40"/>
      <c r="AY17" s="40"/>
      <c r="AZ17" s="90" t="str">
        <f t="shared" si="17"/>
        <v/>
      </c>
      <c r="BA17" s="90" t="str">
        <f t="shared" si="6"/>
        <v/>
      </c>
      <c r="BB17" s="40"/>
      <c r="BC17" s="40"/>
      <c r="BD17" s="40"/>
      <c r="BE17" s="40"/>
      <c r="BF17" s="90" t="str">
        <f t="shared" si="18"/>
        <v/>
      </c>
      <c r="BG17" s="90" t="str">
        <f t="shared" si="7"/>
        <v/>
      </c>
      <c r="BH17" s="40"/>
      <c r="BI17" s="40"/>
      <c r="BJ17" s="40"/>
      <c r="BK17" s="40"/>
      <c r="BL17" s="90" t="str">
        <f t="shared" si="19"/>
        <v/>
      </c>
      <c r="BM17" s="90" t="str">
        <f t="shared" si="8"/>
        <v/>
      </c>
    </row>
    <row r="18" spans="1:65">
      <c r="A18" s="90">
        <f>'DATA SISWA'!A18</f>
        <v>14</v>
      </c>
      <c r="B18" s="90" t="str">
        <f>'DATA SISWA'!B18</f>
        <v>7654</v>
      </c>
      <c r="C18" s="90" t="str">
        <f>'DATA SISWA'!C18</f>
        <v>ISMA SRI WAHYUNI</v>
      </c>
      <c r="D18" s="90" t="str">
        <f>'DATA SISWA'!D18</f>
        <v>P</v>
      </c>
      <c r="E18" s="90" t="str">
        <f>'DATA SISWA'!E18</f>
        <v>VII-J</v>
      </c>
      <c r="F18" s="40"/>
      <c r="G18" s="40"/>
      <c r="H18" s="40"/>
      <c r="I18" s="40"/>
      <c r="J18" s="90" t="str">
        <f t="shared" si="9"/>
        <v/>
      </c>
      <c r="K18" s="90" t="str">
        <f t="shared" si="10"/>
        <v/>
      </c>
      <c r="L18" s="40"/>
      <c r="M18" s="40"/>
      <c r="N18" s="40"/>
      <c r="O18" s="40"/>
      <c r="P18" s="90" t="str">
        <f t="shared" si="11"/>
        <v/>
      </c>
      <c r="Q18" s="90" t="str">
        <f t="shared" si="0"/>
        <v/>
      </c>
      <c r="R18" s="40"/>
      <c r="S18" s="40"/>
      <c r="T18" s="40"/>
      <c r="U18" s="40"/>
      <c r="V18" s="90" t="str">
        <f t="shared" si="12"/>
        <v/>
      </c>
      <c r="W18" s="90" t="str">
        <f t="shared" si="1"/>
        <v/>
      </c>
      <c r="X18" s="40"/>
      <c r="Y18" s="40"/>
      <c r="Z18" s="40"/>
      <c r="AA18" s="40"/>
      <c r="AB18" s="90" t="str">
        <f t="shared" si="13"/>
        <v/>
      </c>
      <c r="AC18" s="90" t="str">
        <f t="shared" si="2"/>
        <v/>
      </c>
      <c r="AD18" s="40"/>
      <c r="AE18" s="40"/>
      <c r="AF18" s="40"/>
      <c r="AG18" s="40"/>
      <c r="AH18" s="90" t="str">
        <f t="shared" si="14"/>
        <v/>
      </c>
      <c r="AI18" s="90" t="str">
        <f t="shared" si="3"/>
        <v/>
      </c>
      <c r="AJ18" s="40"/>
      <c r="AK18" s="40"/>
      <c r="AL18" s="40"/>
      <c r="AM18" s="40"/>
      <c r="AN18" s="90" t="str">
        <f t="shared" si="15"/>
        <v/>
      </c>
      <c r="AO18" s="90" t="str">
        <f t="shared" si="4"/>
        <v/>
      </c>
      <c r="AP18" s="40"/>
      <c r="AQ18" s="40"/>
      <c r="AR18" s="40"/>
      <c r="AS18" s="40"/>
      <c r="AT18" s="90" t="str">
        <f t="shared" si="16"/>
        <v/>
      </c>
      <c r="AU18" s="90" t="str">
        <f t="shared" si="5"/>
        <v/>
      </c>
      <c r="AV18" s="40"/>
      <c r="AW18" s="40"/>
      <c r="AX18" s="40"/>
      <c r="AY18" s="40"/>
      <c r="AZ18" s="90" t="str">
        <f t="shared" si="17"/>
        <v/>
      </c>
      <c r="BA18" s="90" t="str">
        <f t="shared" si="6"/>
        <v/>
      </c>
      <c r="BB18" s="40"/>
      <c r="BC18" s="40"/>
      <c r="BD18" s="40"/>
      <c r="BE18" s="40"/>
      <c r="BF18" s="90" t="str">
        <f t="shared" si="18"/>
        <v/>
      </c>
      <c r="BG18" s="90" t="str">
        <f t="shared" si="7"/>
        <v/>
      </c>
      <c r="BH18" s="40"/>
      <c r="BI18" s="40"/>
      <c r="BJ18" s="40"/>
      <c r="BK18" s="40"/>
      <c r="BL18" s="90" t="str">
        <f t="shared" si="19"/>
        <v/>
      </c>
      <c r="BM18" s="90" t="str">
        <f t="shared" si="8"/>
        <v/>
      </c>
    </row>
    <row r="19" spans="1:65">
      <c r="A19" s="90">
        <f>'DATA SISWA'!A19</f>
        <v>15</v>
      </c>
      <c r="B19" s="90" t="str">
        <f>'DATA SISWA'!B19</f>
        <v>7655</v>
      </c>
      <c r="C19" s="90" t="str">
        <f>'DATA SISWA'!C19</f>
        <v>JAKFAR SODIK ROMADHONI</v>
      </c>
      <c r="D19" s="90" t="str">
        <f>'DATA SISWA'!D19</f>
        <v>L</v>
      </c>
      <c r="E19" s="90" t="str">
        <f>'DATA SISWA'!E19</f>
        <v>VII-J</v>
      </c>
      <c r="F19" s="40"/>
      <c r="G19" s="40"/>
      <c r="H19" s="40"/>
      <c r="I19" s="40"/>
      <c r="J19" s="90" t="str">
        <f t="shared" si="9"/>
        <v/>
      </c>
      <c r="K19" s="90" t="str">
        <f t="shared" si="10"/>
        <v/>
      </c>
      <c r="L19" s="40"/>
      <c r="M19" s="40"/>
      <c r="N19" s="40"/>
      <c r="O19" s="40"/>
      <c r="P19" s="90" t="str">
        <f t="shared" si="11"/>
        <v/>
      </c>
      <c r="Q19" s="90" t="str">
        <f t="shared" si="0"/>
        <v/>
      </c>
      <c r="R19" s="40"/>
      <c r="S19" s="40"/>
      <c r="T19" s="40"/>
      <c r="U19" s="40"/>
      <c r="V19" s="90" t="str">
        <f t="shared" si="12"/>
        <v/>
      </c>
      <c r="W19" s="90" t="str">
        <f t="shared" si="1"/>
        <v/>
      </c>
      <c r="X19" s="40"/>
      <c r="Y19" s="40"/>
      <c r="Z19" s="40"/>
      <c r="AA19" s="40"/>
      <c r="AB19" s="90" t="str">
        <f t="shared" si="13"/>
        <v/>
      </c>
      <c r="AC19" s="90" t="str">
        <f t="shared" si="2"/>
        <v/>
      </c>
      <c r="AD19" s="40"/>
      <c r="AE19" s="40"/>
      <c r="AF19" s="40"/>
      <c r="AG19" s="40"/>
      <c r="AH19" s="90" t="str">
        <f t="shared" si="14"/>
        <v/>
      </c>
      <c r="AI19" s="90" t="str">
        <f t="shared" si="3"/>
        <v/>
      </c>
      <c r="AJ19" s="40"/>
      <c r="AK19" s="40"/>
      <c r="AL19" s="40"/>
      <c r="AM19" s="40"/>
      <c r="AN19" s="90" t="str">
        <f t="shared" si="15"/>
        <v/>
      </c>
      <c r="AO19" s="90" t="str">
        <f t="shared" si="4"/>
        <v/>
      </c>
      <c r="AP19" s="40"/>
      <c r="AQ19" s="40"/>
      <c r="AR19" s="40"/>
      <c r="AS19" s="40"/>
      <c r="AT19" s="90" t="str">
        <f t="shared" si="16"/>
        <v/>
      </c>
      <c r="AU19" s="90" t="str">
        <f t="shared" si="5"/>
        <v/>
      </c>
      <c r="AV19" s="40"/>
      <c r="AW19" s="40"/>
      <c r="AX19" s="40"/>
      <c r="AY19" s="40"/>
      <c r="AZ19" s="90" t="str">
        <f t="shared" si="17"/>
        <v/>
      </c>
      <c r="BA19" s="90" t="str">
        <f t="shared" si="6"/>
        <v/>
      </c>
      <c r="BB19" s="40"/>
      <c r="BC19" s="40"/>
      <c r="BD19" s="40"/>
      <c r="BE19" s="40"/>
      <c r="BF19" s="90" t="str">
        <f t="shared" si="18"/>
        <v/>
      </c>
      <c r="BG19" s="90" t="str">
        <f t="shared" si="7"/>
        <v/>
      </c>
      <c r="BH19" s="40"/>
      <c r="BI19" s="40"/>
      <c r="BJ19" s="40"/>
      <c r="BK19" s="40"/>
      <c r="BL19" s="90" t="str">
        <f t="shared" si="19"/>
        <v/>
      </c>
      <c r="BM19" s="90" t="str">
        <f t="shared" si="8"/>
        <v/>
      </c>
    </row>
    <row r="20" spans="1:65">
      <c r="A20" s="90">
        <f>'DATA SISWA'!A20</f>
        <v>16</v>
      </c>
      <c r="B20" s="90" t="str">
        <f>'DATA SISWA'!B20</f>
        <v>7656</v>
      </c>
      <c r="C20" s="90" t="str">
        <f>'DATA SISWA'!C20</f>
        <v>KHOIRIL NISA'</v>
      </c>
      <c r="D20" s="90" t="str">
        <f>'DATA SISWA'!D20</f>
        <v>P</v>
      </c>
      <c r="E20" s="90" t="str">
        <f>'DATA SISWA'!E20</f>
        <v>VII-J</v>
      </c>
      <c r="F20" s="40"/>
      <c r="G20" s="40"/>
      <c r="H20" s="40"/>
      <c r="I20" s="40"/>
      <c r="J20" s="90" t="str">
        <f t="shared" si="9"/>
        <v/>
      </c>
      <c r="K20" s="90" t="str">
        <f t="shared" si="10"/>
        <v/>
      </c>
      <c r="L20" s="40"/>
      <c r="M20" s="40"/>
      <c r="N20" s="40"/>
      <c r="O20" s="40"/>
      <c r="P20" s="90" t="str">
        <f t="shared" si="11"/>
        <v/>
      </c>
      <c r="Q20" s="90" t="str">
        <f t="shared" si="0"/>
        <v/>
      </c>
      <c r="R20" s="40"/>
      <c r="S20" s="40"/>
      <c r="T20" s="40"/>
      <c r="U20" s="40"/>
      <c r="V20" s="90" t="str">
        <f t="shared" si="12"/>
        <v/>
      </c>
      <c r="W20" s="90" t="str">
        <f t="shared" si="1"/>
        <v/>
      </c>
      <c r="X20" s="40"/>
      <c r="Y20" s="40"/>
      <c r="Z20" s="40"/>
      <c r="AA20" s="40"/>
      <c r="AB20" s="90" t="str">
        <f t="shared" si="13"/>
        <v/>
      </c>
      <c r="AC20" s="90" t="str">
        <f t="shared" si="2"/>
        <v/>
      </c>
      <c r="AD20" s="40"/>
      <c r="AE20" s="40"/>
      <c r="AF20" s="40"/>
      <c r="AG20" s="40"/>
      <c r="AH20" s="90" t="str">
        <f t="shared" si="14"/>
        <v/>
      </c>
      <c r="AI20" s="90" t="str">
        <f t="shared" si="3"/>
        <v/>
      </c>
      <c r="AJ20" s="40"/>
      <c r="AK20" s="40"/>
      <c r="AL20" s="40"/>
      <c r="AM20" s="40"/>
      <c r="AN20" s="90" t="str">
        <f t="shared" si="15"/>
        <v/>
      </c>
      <c r="AO20" s="90" t="str">
        <f t="shared" si="4"/>
        <v/>
      </c>
      <c r="AP20" s="40"/>
      <c r="AQ20" s="40"/>
      <c r="AR20" s="40"/>
      <c r="AS20" s="40"/>
      <c r="AT20" s="90" t="str">
        <f t="shared" si="16"/>
        <v/>
      </c>
      <c r="AU20" s="90" t="str">
        <f t="shared" si="5"/>
        <v/>
      </c>
      <c r="AV20" s="40"/>
      <c r="AW20" s="40"/>
      <c r="AX20" s="40"/>
      <c r="AY20" s="40"/>
      <c r="AZ20" s="90" t="str">
        <f t="shared" si="17"/>
        <v/>
      </c>
      <c r="BA20" s="90" t="str">
        <f t="shared" si="6"/>
        <v/>
      </c>
      <c r="BB20" s="40"/>
      <c r="BC20" s="40"/>
      <c r="BD20" s="40"/>
      <c r="BE20" s="40"/>
      <c r="BF20" s="90" t="str">
        <f t="shared" si="18"/>
        <v/>
      </c>
      <c r="BG20" s="90" t="str">
        <f t="shared" si="7"/>
        <v/>
      </c>
      <c r="BH20" s="40"/>
      <c r="BI20" s="40"/>
      <c r="BJ20" s="40"/>
      <c r="BK20" s="40"/>
      <c r="BL20" s="90" t="str">
        <f t="shared" si="19"/>
        <v/>
      </c>
      <c r="BM20" s="90" t="str">
        <f t="shared" si="8"/>
        <v/>
      </c>
    </row>
    <row r="21" spans="1:65">
      <c r="A21" s="90">
        <f>'DATA SISWA'!A21</f>
        <v>17</v>
      </c>
      <c r="B21" s="90" t="str">
        <f>'DATA SISWA'!B21</f>
        <v>7657</v>
      </c>
      <c r="C21" s="90" t="str">
        <f>'DATA SISWA'!C21</f>
        <v>LATIFA MAHARANI</v>
      </c>
      <c r="D21" s="90" t="str">
        <f>'DATA SISWA'!D21</f>
        <v>P</v>
      </c>
      <c r="E21" s="90" t="str">
        <f>'DATA SISWA'!E21</f>
        <v>VII-J</v>
      </c>
      <c r="F21" s="40"/>
      <c r="G21" s="40"/>
      <c r="H21" s="40"/>
      <c r="I21" s="40"/>
      <c r="J21" s="90" t="str">
        <f t="shared" si="9"/>
        <v/>
      </c>
      <c r="K21" s="90" t="str">
        <f t="shared" si="10"/>
        <v/>
      </c>
      <c r="L21" s="40"/>
      <c r="M21" s="40"/>
      <c r="N21" s="40"/>
      <c r="O21" s="40"/>
      <c r="P21" s="90" t="str">
        <f t="shared" si="11"/>
        <v/>
      </c>
      <c r="Q21" s="90" t="str">
        <f t="shared" si="0"/>
        <v/>
      </c>
      <c r="R21" s="40"/>
      <c r="S21" s="40"/>
      <c r="T21" s="40"/>
      <c r="U21" s="40"/>
      <c r="V21" s="90" t="str">
        <f t="shared" si="12"/>
        <v/>
      </c>
      <c r="W21" s="90" t="str">
        <f t="shared" si="1"/>
        <v/>
      </c>
      <c r="X21" s="40"/>
      <c r="Y21" s="40"/>
      <c r="Z21" s="40"/>
      <c r="AA21" s="40"/>
      <c r="AB21" s="90" t="str">
        <f t="shared" si="13"/>
        <v/>
      </c>
      <c r="AC21" s="90" t="str">
        <f t="shared" si="2"/>
        <v/>
      </c>
      <c r="AD21" s="40"/>
      <c r="AE21" s="40"/>
      <c r="AF21" s="40"/>
      <c r="AG21" s="40"/>
      <c r="AH21" s="90" t="str">
        <f t="shared" si="14"/>
        <v/>
      </c>
      <c r="AI21" s="90" t="str">
        <f t="shared" si="3"/>
        <v/>
      </c>
      <c r="AJ21" s="40"/>
      <c r="AK21" s="40"/>
      <c r="AL21" s="40"/>
      <c r="AM21" s="40"/>
      <c r="AN21" s="90" t="str">
        <f t="shared" si="15"/>
        <v/>
      </c>
      <c r="AO21" s="90" t="str">
        <f t="shared" si="4"/>
        <v/>
      </c>
      <c r="AP21" s="40"/>
      <c r="AQ21" s="40"/>
      <c r="AR21" s="40"/>
      <c r="AS21" s="40"/>
      <c r="AT21" s="90" t="str">
        <f t="shared" si="16"/>
        <v/>
      </c>
      <c r="AU21" s="90" t="str">
        <f t="shared" si="5"/>
        <v/>
      </c>
      <c r="AV21" s="40"/>
      <c r="AW21" s="40"/>
      <c r="AX21" s="40"/>
      <c r="AY21" s="40"/>
      <c r="AZ21" s="90" t="str">
        <f t="shared" si="17"/>
        <v/>
      </c>
      <c r="BA21" s="90" t="str">
        <f t="shared" si="6"/>
        <v/>
      </c>
      <c r="BB21" s="40"/>
      <c r="BC21" s="40"/>
      <c r="BD21" s="40"/>
      <c r="BE21" s="40"/>
      <c r="BF21" s="90" t="str">
        <f t="shared" si="18"/>
        <v/>
      </c>
      <c r="BG21" s="90" t="str">
        <f t="shared" si="7"/>
        <v/>
      </c>
      <c r="BH21" s="40"/>
      <c r="BI21" s="40"/>
      <c r="BJ21" s="40"/>
      <c r="BK21" s="40"/>
      <c r="BL21" s="90" t="str">
        <f t="shared" si="19"/>
        <v/>
      </c>
      <c r="BM21" s="90" t="str">
        <f t="shared" si="8"/>
        <v/>
      </c>
    </row>
    <row r="22" spans="1:65">
      <c r="A22" s="90">
        <f>'DATA SISWA'!A22</f>
        <v>18</v>
      </c>
      <c r="B22" s="90" t="str">
        <f>'DATA SISWA'!B22</f>
        <v>7658</v>
      </c>
      <c r="C22" s="90" t="str">
        <f>'DATA SISWA'!C22</f>
        <v>LUQMANUL FIKRI SYAIFULLAH</v>
      </c>
      <c r="D22" s="90" t="str">
        <f>'DATA SISWA'!D22</f>
        <v>L</v>
      </c>
      <c r="E22" s="90" t="str">
        <f>'DATA SISWA'!E22</f>
        <v>VII-J</v>
      </c>
      <c r="F22" s="40"/>
      <c r="G22" s="40"/>
      <c r="H22" s="40"/>
      <c r="I22" s="40"/>
      <c r="J22" s="90" t="str">
        <f t="shared" si="9"/>
        <v/>
      </c>
      <c r="K22" s="90" t="str">
        <f t="shared" si="10"/>
        <v/>
      </c>
      <c r="L22" s="40"/>
      <c r="M22" s="40"/>
      <c r="N22" s="40"/>
      <c r="O22" s="40"/>
      <c r="P22" s="90" t="str">
        <f t="shared" si="11"/>
        <v/>
      </c>
      <c r="Q22" s="90" t="str">
        <f t="shared" si="0"/>
        <v/>
      </c>
      <c r="R22" s="40"/>
      <c r="S22" s="40"/>
      <c r="T22" s="40"/>
      <c r="U22" s="40"/>
      <c r="V22" s="90" t="str">
        <f t="shared" si="12"/>
        <v/>
      </c>
      <c r="W22" s="90" t="str">
        <f t="shared" si="1"/>
        <v/>
      </c>
      <c r="X22" s="40"/>
      <c r="Y22" s="40"/>
      <c r="Z22" s="40"/>
      <c r="AA22" s="40"/>
      <c r="AB22" s="90" t="str">
        <f t="shared" si="13"/>
        <v/>
      </c>
      <c r="AC22" s="90" t="str">
        <f t="shared" si="2"/>
        <v/>
      </c>
      <c r="AD22" s="40"/>
      <c r="AE22" s="40"/>
      <c r="AF22" s="40"/>
      <c r="AG22" s="40"/>
      <c r="AH22" s="90" t="str">
        <f t="shared" si="14"/>
        <v/>
      </c>
      <c r="AI22" s="90" t="str">
        <f t="shared" si="3"/>
        <v/>
      </c>
      <c r="AJ22" s="40"/>
      <c r="AK22" s="40"/>
      <c r="AL22" s="40"/>
      <c r="AM22" s="40"/>
      <c r="AN22" s="90" t="str">
        <f t="shared" si="15"/>
        <v/>
      </c>
      <c r="AO22" s="90" t="str">
        <f t="shared" si="4"/>
        <v/>
      </c>
      <c r="AP22" s="40"/>
      <c r="AQ22" s="40"/>
      <c r="AR22" s="40"/>
      <c r="AS22" s="40"/>
      <c r="AT22" s="90" t="str">
        <f t="shared" si="16"/>
        <v/>
      </c>
      <c r="AU22" s="90" t="str">
        <f t="shared" si="5"/>
        <v/>
      </c>
      <c r="AV22" s="40"/>
      <c r="AW22" s="40"/>
      <c r="AX22" s="40"/>
      <c r="AY22" s="40"/>
      <c r="AZ22" s="90" t="str">
        <f t="shared" si="17"/>
        <v/>
      </c>
      <c r="BA22" s="90" t="str">
        <f t="shared" si="6"/>
        <v/>
      </c>
      <c r="BB22" s="40"/>
      <c r="BC22" s="40"/>
      <c r="BD22" s="40"/>
      <c r="BE22" s="40"/>
      <c r="BF22" s="90" t="str">
        <f t="shared" si="18"/>
        <v/>
      </c>
      <c r="BG22" s="90" t="str">
        <f t="shared" si="7"/>
        <v/>
      </c>
      <c r="BH22" s="40"/>
      <c r="BI22" s="40"/>
      <c r="BJ22" s="40"/>
      <c r="BK22" s="40"/>
      <c r="BL22" s="90" t="str">
        <f t="shared" si="19"/>
        <v/>
      </c>
      <c r="BM22" s="90" t="str">
        <f t="shared" si="8"/>
        <v/>
      </c>
    </row>
    <row r="23" spans="1:65">
      <c r="A23" s="90">
        <f>'DATA SISWA'!A23</f>
        <v>19</v>
      </c>
      <c r="B23" s="90" t="str">
        <f>'DATA SISWA'!B23</f>
        <v>7659</v>
      </c>
      <c r="C23" s="90" t="str">
        <f>'DATA SISWA'!C23</f>
        <v>MAR'ATUS SOLEHAH</v>
      </c>
      <c r="D23" s="90" t="str">
        <f>'DATA SISWA'!D23</f>
        <v>P</v>
      </c>
      <c r="E23" s="90" t="str">
        <f>'DATA SISWA'!E23</f>
        <v>VII-J</v>
      </c>
      <c r="F23" s="40"/>
      <c r="G23" s="40"/>
      <c r="H23" s="40"/>
      <c r="I23" s="40"/>
      <c r="J23" s="90" t="str">
        <f t="shared" si="9"/>
        <v/>
      </c>
      <c r="K23" s="90" t="str">
        <f t="shared" si="10"/>
        <v/>
      </c>
      <c r="L23" s="40"/>
      <c r="M23" s="40"/>
      <c r="N23" s="40"/>
      <c r="O23" s="40"/>
      <c r="P23" s="90" t="str">
        <f t="shared" si="11"/>
        <v/>
      </c>
      <c r="Q23" s="90" t="str">
        <f t="shared" si="0"/>
        <v/>
      </c>
      <c r="R23" s="40"/>
      <c r="S23" s="40"/>
      <c r="T23" s="40"/>
      <c r="U23" s="40"/>
      <c r="V23" s="90" t="str">
        <f t="shared" si="12"/>
        <v/>
      </c>
      <c r="W23" s="90" t="str">
        <f t="shared" si="1"/>
        <v/>
      </c>
      <c r="X23" s="40"/>
      <c r="Y23" s="40"/>
      <c r="Z23" s="40"/>
      <c r="AA23" s="40"/>
      <c r="AB23" s="90" t="str">
        <f t="shared" si="13"/>
        <v/>
      </c>
      <c r="AC23" s="90" t="str">
        <f t="shared" si="2"/>
        <v/>
      </c>
      <c r="AD23" s="40"/>
      <c r="AE23" s="40"/>
      <c r="AF23" s="40"/>
      <c r="AG23" s="40"/>
      <c r="AH23" s="90" t="str">
        <f t="shared" si="14"/>
        <v/>
      </c>
      <c r="AI23" s="90" t="str">
        <f t="shared" si="3"/>
        <v/>
      </c>
      <c r="AJ23" s="40"/>
      <c r="AK23" s="40"/>
      <c r="AL23" s="40"/>
      <c r="AM23" s="40"/>
      <c r="AN23" s="90" t="str">
        <f t="shared" si="15"/>
        <v/>
      </c>
      <c r="AO23" s="90" t="str">
        <f t="shared" si="4"/>
        <v/>
      </c>
      <c r="AP23" s="40"/>
      <c r="AQ23" s="40"/>
      <c r="AR23" s="40"/>
      <c r="AS23" s="40"/>
      <c r="AT23" s="90" t="str">
        <f t="shared" si="16"/>
        <v/>
      </c>
      <c r="AU23" s="90" t="str">
        <f t="shared" si="5"/>
        <v/>
      </c>
      <c r="AV23" s="40"/>
      <c r="AW23" s="40"/>
      <c r="AX23" s="40"/>
      <c r="AY23" s="40"/>
      <c r="AZ23" s="90" t="str">
        <f t="shared" si="17"/>
        <v/>
      </c>
      <c r="BA23" s="90" t="str">
        <f t="shared" si="6"/>
        <v/>
      </c>
      <c r="BB23" s="40"/>
      <c r="BC23" s="40"/>
      <c r="BD23" s="40"/>
      <c r="BE23" s="40"/>
      <c r="BF23" s="90" t="str">
        <f t="shared" si="18"/>
        <v/>
      </c>
      <c r="BG23" s="90" t="str">
        <f t="shared" si="7"/>
        <v/>
      </c>
      <c r="BH23" s="40"/>
      <c r="BI23" s="40"/>
      <c r="BJ23" s="40"/>
      <c r="BK23" s="40"/>
      <c r="BL23" s="90" t="str">
        <f t="shared" si="19"/>
        <v/>
      </c>
      <c r="BM23" s="90" t="str">
        <f t="shared" si="8"/>
        <v/>
      </c>
    </row>
    <row r="24" spans="1:65">
      <c r="A24" s="90">
        <f>'DATA SISWA'!A24</f>
        <v>20</v>
      </c>
      <c r="B24" s="90" t="str">
        <f>'DATA SISWA'!B24</f>
        <v>7660</v>
      </c>
      <c r="C24" s="90" t="str">
        <f>'DATA SISWA'!C24</f>
        <v>MOCH.  SHOLEH W. H</v>
      </c>
      <c r="D24" s="90" t="str">
        <f>'DATA SISWA'!D24</f>
        <v>L</v>
      </c>
      <c r="E24" s="90" t="str">
        <f>'DATA SISWA'!E24</f>
        <v>VII-J</v>
      </c>
      <c r="F24" s="40"/>
      <c r="G24" s="40"/>
      <c r="H24" s="40"/>
      <c r="I24" s="40"/>
      <c r="J24" s="90" t="str">
        <f t="shared" si="9"/>
        <v/>
      </c>
      <c r="K24" s="90" t="str">
        <f t="shared" si="10"/>
        <v/>
      </c>
      <c r="L24" s="40"/>
      <c r="M24" s="40"/>
      <c r="N24" s="40"/>
      <c r="O24" s="40"/>
      <c r="P24" s="90" t="str">
        <f t="shared" si="11"/>
        <v/>
      </c>
      <c r="Q24" s="90" t="str">
        <f t="shared" si="0"/>
        <v/>
      </c>
      <c r="R24" s="40"/>
      <c r="S24" s="40"/>
      <c r="T24" s="40"/>
      <c r="U24" s="40"/>
      <c r="V24" s="90" t="str">
        <f t="shared" si="12"/>
        <v/>
      </c>
      <c r="W24" s="90" t="str">
        <f t="shared" si="1"/>
        <v/>
      </c>
      <c r="X24" s="40"/>
      <c r="Y24" s="40"/>
      <c r="Z24" s="40"/>
      <c r="AA24" s="40"/>
      <c r="AB24" s="90" t="str">
        <f t="shared" si="13"/>
        <v/>
      </c>
      <c r="AC24" s="90" t="str">
        <f t="shared" si="2"/>
        <v/>
      </c>
      <c r="AD24" s="40"/>
      <c r="AE24" s="40"/>
      <c r="AF24" s="40"/>
      <c r="AG24" s="40"/>
      <c r="AH24" s="90" t="str">
        <f t="shared" si="14"/>
        <v/>
      </c>
      <c r="AI24" s="90" t="str">
        <f t="shared" si="3"/>
        <v/>
      </c>
      <c r="AJ24" s="40"/>
      <c r="AK24" s="40"/>
      <c r="AL24" s="40"/>
      <c r="AM24" s="40"/>
      <c r="AN24" s="90" t="str">
        <f t="shared" si="15"/>
        <v/>
      </c>
      <c r="AO24" s="90" t="str">
        <f t="shared" si="4"/>
        <v/>
      </c>
      <c r="AP24" s="40"/>
      <c r="AQ24" s="40"/>
      <c r="AR24" s="40"/>
      <c r="AS24" s="40"/>
      <c r="AT24" s="90" t="str">
        <f t="shared" si="16"/>
        <v/>
      </c>
      <c r="AU24" s="90" t="str">
        <f t="shared" si="5"/>
        <v/>
      </c>
      <c r="AV24" s="40"/>
      <c r="AW24" s="40"/>
      <c r="AX24" s="40"/>
      <c r="AY24" s="40"/>
      <c r="AZ24" s="90" t="str">
        <f t="shared" si="17"/>
        <v/>
      </c>
      <c r="BA24" s="90" t="str">
        <f t="shared" si="6"/>
        <v/>
      </c>
      <c r="BB24" s="40"/>
      <c r="BC24" s="40"/>
      <c r="BD24" s="40"/>
      <c r="BE24" s="40"/>
      <c r="BF24" s="90" t="str">
        <f t="shared" si="18"/>
        <v/>
      </c>
      <c r="BG24" s="90" t="str">
        <f t="shared" si="7"/>
        <v/>
      </c>
      <c r="BH24" s="40"/>
      <c r="BI24" s="40"/>
      <c r="BJ24" s="40"/>
      <c r="BK24" s="40"/>
      <c r="BL24" s="90" t="str">
        <f t="shared" si="19"/>
        <v/>
      </c>
      <c r="BM24" s="90" t="str">
        <f t="shared" si="8"/>
        <v/>
      </c>
    </row>
    <row r="25" spans="1:65">
      <c r="A25" s="90">
        <f>'DATA SISWA'!A25</f>
        <v>21</v>
      </c>
      <c r="B25" s="90" t="str">
        <f>'DATA SISWA'!B25</f>
        <v>7661</v>
      </c>
      <c r="C25" s="90" t="str">
        <f>'DATA SISWA'!C25</f>
        <v>MOCH. FAWES</v>
      </c>
      <c r="D25" s="90" t="str">
        <f>'DATA SISWA'!D25</f>
        <v>L</v>
      </c>
      <c r="E25" s="90" t="str">
        <f>'DATA SISWA'!E25</f>
        <v>VII-J</v>
      </c>
      <c r="F25" s="40"/>
      <c r="G25" s="40"/>
      <c r="H25" s="40"/>
      <c r="I25" s="40"/>
      <c r="J25" s="90" t="str">
        <f t="shared" si="9"/>
        <v/>
      </c>
      <c r="K25" s="90" t="str">
        <f t="shared" si="10"/>
        <v/>
      </c>
      <c r="L25" s="40"/>
      <c r="M25" s="40"/>
      <c r="N25" s="40"/>
      <c r="O25" s="40"/>
      <c r="P25" s="90" t="str">
        <f t="shared" si="11"/>
        <v/>
      </c>
      <c r="Q25" s="90" t="str">
        <f t="shared" si="0"/>
        <v/>
      </c>
      <c r="R25" s="40"/>
      <c r="S25" s="40"/>
      <c r="T25" s="40"/>
      <c r="U25" s="40"/>
      <c r="V25" s="90" t="str">
        <f t="shared" si="12"/>
        <v/>
      </c>
      <c r="W25" s="90" t="str">
        <f t="shared" si="1"/>
        <v/>
      </c>
      <c r="X25" s="40"/>
      <c r="Y25" s="40"/>
      <c r="Z25" s="40"/>
      <c r="AA25" s="40"/>
      <c r="AB25" s="90" t="str">
        <f t="shared" si="13"/>
        <v/>
      </c>
      <c r="AC25" s="90" t="str">
        <f t="shared" si="2"/>
        <v/>
      </c>
      <c r="AD25" s="40"/>
      <c r="AE25" s="40"/>
      <c r="AF25" s="40"/>
      <c r="AG25" s="40"/>
      <c r="AH25" s="90" t="str">
        <f t="shared" si="14"/>
        <v/>
      </c>
      <c r="AI25" s="90" t="str">
        <f t="shared" si="3"/>
        <v/>
      </c>
      <c r="AJ25" s="40"/>
      <c r="AK25" s="40"/>
      <c r="AL25" s="40"/>
      <c r="AM25" s="40"/>
      <c r="AN25" s="90" t="str">
        <f t="shared" si="15"/>
        <v/>
      </c>
      <c r="AO25" s="90" t="str">
        <f t="shared" si="4"/>
        <v/>
      </c>
      <c r="AP25" s="40"/>
      <c r="AQ25" s="40"/>
      <c r="AR25" s="40"/>
      <c r="AS25" s="40"/>
      <c r="AT25" s="90" t="str">
        <f t="shared" si="16"/>
        <v/>
      </c>
      <c r="AU25" s="90" t="str">
        <f t="shared" si="5"/>
        <v/>
      </c>
      <c r="AV25" s="40"/>
      <c r="AW25" s="40"/>
      <c r="AX25" s="40"/>
      <c r="AY25" s="40"/>
      <c r="AZ25" s="90" t="str">
        <f t="shared" si="17"/>
        <v/>
      </c>
      <c r="BA25" s="90" t="str">
        <f t="shared" si="6"/>
        <v/>
      </c>
      <c r="BB25" s="40"/>
      <c r="BC25" s="40"/>
      <c r="BD25" s="40"/>
      <c r="BE25" s="40"/>
      <c r="BF25" s="90" t="str">
        <f t="shared" si="18"/>
        <v/>
      </c>
      <c r="BG25" s="90" t="str">
        <f t="shared" si="7"/>
        <v/>
      </c>
      <c r="BH25" s="40"/>
      <c r="BI25" s="40"/>
      <c r="BJ25" s="40"/>
      <c r="BK25" s="40"/>
      <c r="BL25" s="90" t="str">
        <f t="shared" si="19"/>
        <v/>
      </c>
      <c r="BM25" s="90" t="str">
        <f t="shared" si="8"/>
        <v/>
      </c>
    </row>
    <row r="26" spans="1:65">
      <c r="A26" s="90">
        <f>'DATA SISWA'!A26</f>
        <v>22</v>
      </c>
      <c r="B26" s="90" t="str">
        <f>'DATA SISWA'!B26</f>
        <v>7662</v>
      </c>
      <c r="C26" s="90" t="str">
        <f>'DATA SISWA'!C26</f>
        <v>MOH SAHRUL RAMADON</v>
      </c>
      <c r="D26" s="90" t="str">
        <f>'DATA SISWA'!D26</f>
        <v>L</v>
      </c>
      <c r="E26" s="90" t="str">
        <f>'DATA SISWA'!E26</f>
        <v>VII-J</v>
      </c>
      <c r="F26" s="40"/>
      <c r="G26" s="40"/>
      <c r="H26" s="40"/>
      <c r="I26" s="40"/>
      <c r="J26" s="90" t="str">
        <f t="shared" si="9"/>
        <v/>
      </c>
      <c r="K26" s="90" t="str">
        <f t="shared" si="10"/>
        <v/>
      </c>
      <c r="L26" s="40"/>
      <c r="M26" s="40"/>
      <c r="N26" s="40"/>
      <c r="O26" s="40"/>
      <c r="P26" s="90" t="str">
        <f t="shared" si="11"/>
        <v/>
      </c>
      <c r="Q26" s="90" t="str">
        <f t="shared" si="0"/>
        <v/>
      </c>
      <c r="R26" s="40"/>
      <c r="S26" s="40"/>
      <c r="T26" s="40"/>
      <c r="U26" s="40"/>
      <c r="V26" s="90" t="str">
        <f t="shared" si="12"/>
        <v/>
      </c>
      <c r="W26" s="90" t="str">
        <f t="shared" si="1"/>
        <v/>
      </c>
      <c r="X26" s="40"/>
      <c r="Y26" s="40"/>
      <c r="Z26" s="40"/>
      <c r="AA26" s="40"/>
      <c r="AB26" s="90" t="str">
        <f t="shared" si="13"/>
        <v/>
      </c>
      <c r="AC26" s="90" t="str">
        <f t="shared" si="2"/>
        <v/>
      </c>
      <c r="AD26" s="40"/>
      <c r="AE26" s="40"/>
      <c r="AF26" s="40"/>
      <c r="AG26" s="40"/>
      <c r="AH26" s="90" t="str">
        <f t="shared" si="14"/>
        <v/>
      </c>
      <c r="AI26" s="90" t="str">
        <f t="shared" si="3"/>
        <v/>
      </c>
      <c r="AJ26" s="40"/>
      <c r="AK26" s="40"/>
      <c r="AL26" s="40"/>
      <c r="AM26" s="40"/>
      <c r="AN26" s="90" t="str">
        <f t="shared" si="15"/>
        <v/>
      </c>
      <c r="AO26" s="90" t="str">
        <f t="shared" si="4"/>
        <v/>
      </c>
      <c r="AP26" s="40"/>
      <c r="AQ26" s="40"/>
      <c r="AR26" s="40"/>
      <c r="AS26" s="40"/>
      <c r="AT26" s="90" t="str">
        <f t="shared" si="16"/>
        <v/>
      </c>
      <c r="AU26" s="90" t="str">
        <f t="shared" si="5"/>
        <v/>
      </c>
      <c r="AV26" s="40"/>
      <c r="AW26" s="40"/>
      <c r="AX26" s="40"/>
      <c r="AY26" s="40"/>
      <c r="AZ26" s="90" t="str">
        <f t="shared" si="17"/>
        <v/>
      </c>
      <c r="BA26" s="90" t="str">
        <f t="shared" si="6"/>
        <v/>
      </c>
      <c r="BB26" s="40"/>
      <c r="BC26" s="40"/>
      <c r="BD26" s="40"/>
      <c r="BE26" s="40"/>
      <c r="BF26" s="90" t="str">
        <f t="shared" si="18"/>
        <v/>
      </c>
      <c r="BG26" s="90" t="str">
        <f t="shared" si="7"/>
        <v/>
      </c>
      <c r="BH26" s="40"/>
      <c r="BI26" s="40"/>
      <c r="BJ26" s="40"/>
      <c r="BK26" s="40"/>
      <c r="BL26" s="90" t="str">
        <f t="shared" si="19"/>
        <v/>
      </c>
      <c r="BM26" s="90" t="str">
        <f t="shared" si="8"/>
        <v/>
      </c>
    </row>
    <row r="27" spans="1:65">
      <c r="A27" s="90">
        <f>'DATA SISWA'!A27</f>
        <v>23</v>
      </c>
      <c r="B27" s="90" t="str">
        <f>'DATA SISWA'!B27</f>
        <v>7664</v>
      </c>
      <c r="C27" s="90" t="str">
        <f>'DATA SISWA'!C27</f>
        <v>MOHAMMAD RAMADAN PURNOMO</v>
      </c>
      <c r="D27" s="90" t="str">
        <f>'DATA SISWA'!D27</f>
        <v>L</v>
      </c>
      <c r="E27" s="90" t="str">
        <f>'DATA SISWA'!E27</f>
        <v>VII-J</v>
      </c>
      <c r="F27" s="40"/>
      <c r="G27" s="40"/>
      <c r="H27" s="40"/>
      <c r="I27" s="40"/>
      <c r="J27" s="90" t="str">
        <f t="shared" si="9"/>
        <v/>
      </c>
      <c r="K27" s="90" t="str">
        <f t="shared" si="10"/>
        <v/>
      </c>
      <c r="L27" s="40"/>
      <c r="M27" s="40"/>
      <c r="N27" s="40"/>
      <c r="O27" s="40"/>
      <c r="P27" s="90" t="str">
        <f t="shared" si="11"/>
        <v/>
      </c>
      <c r="Q27" s="90" t="str">
        <f t="shared" si="0"/>
        <v/>
      </c>
      <c r="R27" s="40"/>
      <c r="S27" s="40"/>
      <c r="T27" s="40"/>
      <c r="U27" s="40"/>
      <c r="V27" s="90" t="str">
        <f t="shared" si="12"/>
        <v/>
      </c>
      <c r="W27" s="90" t="str">
        <f t="shared" si="1"/>
        <v/>
      </c>
      <c r="X27" s="40"/>
      <c r="Y27" s="40"/>
      <c r="Z27" s="40"/>
      <c r="AA27" s="40"/>
      <c r="AB27" s="90" t="str">
        <f t="shared" si="13"/>
        <v/>
      </c>
      <c r="AC27" s="90" t="str">
        <f t="shared" si="2"/>
        <v/>
      </c>
      <c r="AD27" s="40"/>
      <c r="AE27" s="40"/>
      <c r="AF27" s="40"/>
      <c r="AG27" s="40"/>
      <c r="AH27" s="90" t="str">
        <f t="shared" si="14"/>
        <v/>
      </c>
      <c r="AI27" s="90" t="str">
        <f t="shared" si="3"/>
        <v/>
      </c>
      <c r="AJ27" s="40"/>
      <c r="AK27" s="40"/>
      <c r="AL27" s="40"/>
      <c r="AM27" s="40"/>
      <c r="AN27" s="90" t="str">
        <f t="shared" si="15"/>
        <v/>
      </c>
      <c r="AO27" s="90" t="str">
        <f t="shared" si="4"/>
        <v/>
      </c>
      <c r="AP27" s="40"/>
      <c r="AQ27" s="40"/>
      <c r="AR27" s="40"/>
      <c r="AS27" s="40"/>
      <c r="AT27" s="90" t="str">
        <f t="shared" si="16"/>
        <v/>
      </c>
      <c r="AU27" s="90" t="str">
        <f t="shared" si="5"/>
        <v/>
      </c>
      <c r="AV27" s="40"/>
      <c r="AW27" s="40"/>
      <c r="AX27" s="40"/>
      <c r="AY27" s="40"/>
      <c r="AZ27" s="90" t="str">
        <f t="shared" si="17"/>
        <v/>
      </c>
      <c r="BA27" s="90" t="str">
        <f t="shared" si="6"/>
        <v/>
      </c>
      <c r="BB27" s="40"/>
      <c r="BC27" s="40"/>
      <c r="BD27" s="40"/>
      <c r="BE27" s="40"/>
      <c r="BF27" s="90" t="str">
        <f t="shared" si="18"/>
        <v/>
      </c>
      <c r="BG27" s="90" t="str">
        <f t="shared" si="7"/>
        <v/>
      </c>
      <c r="BH27" s="40"/>
      <c r="BI27" s="40"/>
      <c r="BJ27" s="40"/>
      <c r="BK27" s="40"/>
      <c r="BL27" s="90" t="str">
        <f t="shared" si="19"/>
        <v/>
      </c>
      <c r="BM27" s="90" t="str">
        <f t="shared" si="8"/>
        <v/>
      </c>
    </row>
    <row r="28" spans="1:65">
      <c r="A28" s="90">
        <f>'DATA SISWA'!A28</f>
        <v>24</v>
      </c>
      <c r="B28" s="90" t="str">
        <f>'DATA SISWA'!B28</f>
        <v>7665</v>
      </c>
      <c r="C28" s="90" t="str">
        <f>'DATA SISWA'!C28</f>
        <v>MOHAMMAD ROFI'I</v>
      </c>
      <c r="D28" s="90" t="str">
        <f>'DATA SISWA'!D28</f>
        <v>L</v>
      </c>
      <c r="E28" s="90" t="str">
        <f>'DATA SISWA'!E28</f>
        <v>VII-J</v>
      </c>
      <c r="F28" s="40"/>
      <c r="G28" s="40"/>
      <c r="H28" s="40"/>
      <c r="I28" s="40"/>
      <c r="J28" s="90" t="str">
        <f t="shared" si="9"/>
        <v/>
      </c>
      <c r="K28" s="90" t="str">
        <f t="shared" si="10"/>
        <v/>
      </c>
      <c r="L28" s="40"/>
      <c r="M28" s="40"/>
      <c r="N28" s="40"/>
      <c r="O28" s="40"/>
      <c r="P28" s="90" t="str">
        <f t="shared" si="11"/>
        <v/>
      </c>
      <c r="Q28" s="90" t="str">
        <f t="shared" si="0"/>
        <v/>
      </c>
      <c r="R28" s="40"/>
      <c r="S28" s="40"/>
      <c r="T28" s="40"/>
      <c r="U28" s="40"/>
      <c r="V28" s="90" t="str">
        <f t="shared" si="12"/>
        <v/>
      </c>
      <c r="W28" s="90" t="str">
        <f t="shared" si="1"/>
        <v/>
      </c>
      <c r="X28" s="40"/>
      <c r="Y28" s="40"/>
      <c r="Z28" s="40"/>
      <c r="AA28" s="40"/>
      <c r="AB28" s="90" t="str">
        <f t="shared" si="13"/>
        <v/>
      </c>
      <c r="AC28" s="90" t="str">
        <f t="shared" si="2"/>
        <v/>
      </c>
      <c r="AD28" s="40"/>
      <c r="AE28" s="40"/>
      <c r="AF28" s="40"/>
      <c r="AG28" s="40"/>
      <c r="AH28" s="90" t="str">
        <f t="shared" si="14"/>
        <v/>
      </c>
      <c r="AI28" s="90" t="str">
        <f t="shared" si="3"/>
        <v/>
      </c>
      <c r="AJ28" s="40"/>
      <c r="AK28" s="40"/>
      <c r="AL28" s="40"/>
      <c r="AM28" s="40"/>
      <c r="AN28" s="90" t="str">
        <f t="shared" si="15"/>
        <v/>
      </c>
      <c r="AO28" s="90" t="str">
        <f t="shared" si="4"/>
        <v/>
      </c>
      <c r="AP28" s="40"/>
      <c r="AQ28" s="40"/>
      <c r="AR28" s="40"/>
      <c r="AS28" s="40"/>
      <c r="AT28" s="90" t="str">
        <f t="shared" si="16"/>
        <v/>
      </c>
      <c r="AU28" s="90" t="str">
        <f t="shared" si="5"/>
        <v/>
      </c>
      <c r="AV28" s="40"/>
      <c r="AW28" s="40"/>
      <c r="AX28" s="40"/>
      <c r="AY28" s="40"/>
      <c r="AZ28" s="90" t="str">
        <f t="shared" si="17"/>
        <v/>
      </c>
      <c r="BA28" s="90" t="str">
        <f t="shared" si="6"/>
        <v/>
      </c>
      <c r="BB28" s="40"/>
      <c r="BC28" s="40"/>
      <c r="BD28" s="40"/>
      <c r="BE28" s="40"/>
      <c r="BF28" s="90" t="str">
        <f t="shared" si="18"/>
        <v/>
      </c>
      <c r="BG28" s="90" t="str">
        <f t="shared" si="7"/>
        <v/>
      </c>
      <c r="BH28" s="40"/>
      <c r="BI28" s="40"/>
      <c r="BJ28" s="40"/>
      <c r="BK28" s="40"/>
      <c r="BL28" s="90" t="str">
        <f t="shared" si="19"/>
        <v/>
      </c>
      <c r="BM28" s="90" t="str">
        <f t="shared" si="8"/>
        <v/>
      </c>
    </row>
    <row r="29" spans="1:65">
      <c r="A29" s="90">
        <f>'DATA SISWA'!A29</f>
        <v>25</v>
      </c>
      <c r="B29" s="90" t="str">
        <f>'DATA SISWA'!B29</f>
        <v>7666</v>
      </c>
      <c r="C29" s="90" t="str">
        <f>'DATA SISWA'!C29</f>
        <v>NI'MATUS SHOLIHA</v>
      </c>
      <c r="D29" s="90" t="str">
        <f>'DATA SISWA'!D29</f>
        <v>P</v>
      </c>
      <c r="E29" s="90" t="str">
        <f>'DATA SISWA'!E29</f>
        <v>VII-J</v>
      </c>
      <c r="F29" s="40"/>
      <c r="G29" s="40"/>
      <c r="H29" s="40"/>
      <c r="I29" s="40"/>
      <c r="J29" s="90" t="str">
        <f t="shared" si="9"/>
        <v/>
      </c>
      <c r="K29" s="90" t="str">
        <f t="shared" si="10"/>
        <v/>
      </c>
      <c r="L29" s="40"/>
      <c r="M29" s="40"/>
      <c r="N29" s="40"/>
      <c r="O29" s="40"/>
      <c r="P29" s="90" t="str">
        <f t="shared" si="11"/>
        <v/>
      </c>
      <c r="Q29" s="90" t="str">
        <f t="shared" si="0"/>
        <v/>
      </c>
      <c r="R29" s="40"/>
      <c r="S29" s="40"/>
      <c r="T29" s="40"/>
      <c r="U29" s="40"/>
      <c r="V29" s="90" t="str">
        <f t="shared" si="12"/>
        <v/>
      </c>
      <c r="W29" s="90" t="str">
        <f t="shared" si="1"/>
        <v/>
      </c>
      <c r="X29" s="40"/>
      <c r="Y29" s="40"/>
      <c r="Z29" s="40"/>
      <c r="AA29" s="40"/>
      <c r="AB29" s="90" t="str">
        <f t="shared" si="13"/>
        <v/>
      </c>
      <c r="AC29" s="90" t="str">
        <f t="shared" si="2"/>
        <v/>
      </c>
      <c r="AD29" s="40"/>
      <c r="AE29" s="40"/>
      <c r="AF29" s="40"/>
      <c r="AG29" s="40"/>
      <c r="AH29" s="90" t="str">
        <f t="shared" si="14"/>
        <v/>
      </c>
      <c r="AI29" s="90" t="str">
        <f t="shared" si="3"/>
        <v/>
      </c>
      <c r="AJ29" s="40"/>
      <c r="AK29" s="40"/>
      <c r="AL29" s="40"/>
      <c r="AM29" s="40"/>
      <c r="AN29" s="90" t="str">
        <f t="shared" si="15"/>
        <v/>
      </c>
      <c r="AO29" s="90" t="str">
        <f t="shared" si="4"/>
        <v/>
      </c>
      <c r="AP29" s="40"/>
      <c r="AQ29" s="40"/>
      <c r="AR29" s="40"/>
      <c r="AS29" s="40"/>
      <c r="AT29" s="90" t="str">
        <f t="shared" si="16"/>
        <v/>
      </c>
      <c r="AU29" s="90" t="str">
        <f t="shared" si="5"/>
        <v/>
      </c>
      <c r="AV29" s="40"/>
      <c r="AW29" s="40"/>
      <c r="AX29" s="40"/>
      <c r="AY29" s="40"/>
      <c r="AZ29" s="90" t="str">
        <f t="shared" si="17"/>
        <v/>
      </c>
      <c r="BA29" s="90" t="str">
        <f t="shared" si="6"/>
        <v/>
      </c>
      <c r="BB29" s="40"/>
      <c r="BC29" s="40"/>
      <c r="BD29" s="40"/>
      <c r="BE29" s="40"/>
      <c r="BF29" s="90" t="str">
        <f t="shared" si="18"/>
        <v/>
      </c>
      <c r="BG29" s="90" t="str">
        <f t="shared" si="7"/>
        <v/>
      </c>
      <c r="BH29" s="40"/>
      <c r="BI29" s="40"/>
      <c r="BJ29" s="40"/>
      <c r="BK29" s="40"/>
      <c r="BL29" s="90" t="str">
        <f t="shared" si="19"/>
        <v/>
      </c>
      <c r="BM29" s="90" t="str">
        <f t="shared" si="8"/>
        <v/>
      </c>
    </row>
    <row r="30" spans="1:65">
      <c r="A30" s="90">
        <f>'DATA SISWA'!A30</f>
        <v>26</v>
      </c>
      <c r="B30" s="90" t="str">
        <f>'DATA SISWA'!B30</f>
        <v>7676</v>
      </c>
      <c r="C30" s="90" t="str">
        <f>'DATA SISWA'!C30</f>
        <v>PANJI FIKRI ISLAMI</v>
      </c>
      <c r="D30" s="90" t="str">
        <f>'DATA SISWA'!D30</f>
        <v>L</v>
      </c>
      <c r="E30" s="90" t="str">
        <f>'DATA SISWA'!E30</f>
        <v>VII-J</v>
      </c>
      <c r="F30" s="40"/>
      <c r="G30" s="40"/>
      <c r="H30" s="40"/>
      <c r="I30" s="40"/>
      <c r="J30" s="90" t="str">
        <f t="shared" si="9"/>
        <v/>
      </c>
      <c r="K30" s="90" t="str">
        <f t="shared" si="10"/>
        <v/>
      </c>
      <c r="L30" s="40"/>
      <c r="M30" s="40"/>
      <c r="N30" s="40"/>
      <c r="O30" s="40"/>
      <c r="P30" s="90" t="str">
        <f t="shared" si="11"/>
        <v/>
      </c>
      <c r="Q30" s="90" t="str">
        <f t="shared" si="0"/>
        <v/>
      </c>
      <c r="R30" s="40"/>
      <c r="S30" s="40"/>
      <c r="T30" s="40"/>
      <c r="U30" s="40"/>
      <c r="V30" s="90" t="str">
        <f t="shared" si="12"/>
        <v/>
      </c>
      <c r="W30" s="90" t="str">
        <f t="shared" si="1"/>
        <v/>
      </c>
      <c r="X30" s="40"/>
      <c r="Y30" s="40"/>
      <c r="Z30" s="40"/>
      <c r="AA30" s="40"/>
      <c r="AB30" s="90" t="str">
        <f t="shared" si="13"/>
        <v/>
      </c>
      <c r="AC30" s="90" t="str">
        <f t="shared" si="2"/>
        <v/>
      </c>
      <c r="AD30" s="40"/>
      <c r="AE30" s="40"/>
      <c r="AF30" s="40"/>
      <c r="AG30" s="40"/>
      <c r="AH30" s="90" t="str">
        <f t="shared" si="14"/>
        <v/>
      </c>
      <c r="AI30" s="90" t="str">
        <f t="shared" si="3"/>
        <v/>
      </c>
      <c r="AJ30" s="40"/>
      <c r="AK30" s="40"/>
      <c r="AL30" s="40"/>
      <c r="AM30" s="40"/>
      <c r="AN30" s="90" t="str">
        <f t="shared" si="15"/>
        <v/>
      </c>
      <c r="AO30" s="90" t="str">
        <f t="shared" si="4"/>
        <v/>
      </c>
      <c r="AP30" s="40"/>
      <c r="AQ30" s="40"/>
      <c r="AR30" s="40"/>
      <c r="AS30" s="40"/>
      <c r="AT30" s="90" t="str">
        <f t="shared" si="16"/>
        <v/>
      </c>
      <c r="AU30" s="90" t="str">
        <f t="shared" si="5"/>
        <v/>
      </c>
      <c r="AV30" s="40"/>
      <c r="AW30" s="40"/>
      <c r="AX30" s="40"/>
      <c r="AY30" s="40"/>
      <c r="AZ30" s="90" t="str">
        <f t="shared" si="17"/>
        <v/>
      </c>
      <c r="BA30" s="90" t="str">
        <f t="shared" si="6"/>
        <v/>
      </c>
      <c r="BB30" s="40"/>
      <c r="BC30" s="40"/>
      <c r="BD30" s="40"/>
      <c r="BE30" s="40"/>
      <c r="BF30" s="90" t="str">
        <f t="shared" si="18"/>
        <v/>
      </c>
      <c r="BG30" s="90" t="str">
        <f t="shared" si="7"/>
        <v/>
      </c>
      <c r="BH30" s="40"/>
      <c r="BI30" s="40"/>
      <c r="BJ30" s="40"/>
      <c r="BK30" s="40"/>
      <c r="BL30" s="90" t="str">
        <f t="shared" si="19"/>
        <v/>
      </c>
      <c r="BM30" s="90" t="str">
        <f t="shared" si="8"/>
        <v/>
      </c>
    </row>
    <row r="31" spans="1:65">
      <c r="A31" s="90">
        <f>'DATA SISWA'!A31</f>
        <v>27</v>
      </c>
      <c r="B31" s="90" t="str">
        <f>'DATA SISWA'!B31</f>
        <v>7667</v>
      </c>
      <c r="C31" s="90" t="str">
        <f>'DATA SISWA'!C31</f>
        <v>RACMAT MAULIDI ABDANY</v>
      </c>
      <c r="D31" s="90" t="str">
        <f>'DATA SISWA'!D31</f>
        <v>L</v>
      </c>
      <c r="E31" s="90" t="str">
        <f>'DATA SISWA'!E31</f>
        <v>VII-J</v>
      </c>
      <c r="F31" s="40"/>
      <c r="G31" s="40"/>
      <c r="H31" s="40"/>
      <c r="I31" s="40"/>
      <c r="J31" s="90" t="str">
        <f t="shared" si="9"/>
        <v/>
      </c>
      <c r="K31" s="90" t="str">
        <f t="shared" si="10"/>
        <v/>
      </c>
      <c r="L31" s="40"/>
      <c r="M31" s="40"/>
      <c r="N31" s="40"/>
      <c r="O31" s="40"/>
      <c r="P31" s="90" t="str">
        <f t="shared" si="11"/>
        <v/>
      </c>
      <c r="Q31" s="90" t="str">
        <f t="shared" si="0"/>
        <v/>
      </c>
      <c r="R31" s="40"/>
      <c r="S31" s="40"/>
      <c r="T31" s="40"/>
      <c r="U31" s="40"/>
      <c r="V31" s="90" t="str">
        <f t="shared" si="12"/>
        <v/>
      </c>
      <c r="W31" s="90" t="str">
        <f t="shared" si="1"/>
        <v/>
      </c>
      <c r="X31" s="40"/>
      <c r="Y31" s="40"/>
      <c r="Z31" s="40"/>
      <c r="AA31" s="40"/>
      <c r="AB31" s="90" t="str">
        <f t="shared" si="13"/>
        <v/>
      </c>
      <c r="AC31" s="90" t="str">
        <f t="shared" si="2"/>
        <v/>
      </c>
      <c r="AD31" s="40"/>
      <c r="AE31" s="40"/>
      <c r="AF31" s="40"/>
      <c r="AG31" s="40"/>
      <c r="AH31" s="90" t="str">
        <f t="shared" si="14"/>
        <v/>
      </c>
      <c r="AI31" s="90" t="str">
        <f t="shared" si="3"/>
        <v/>
      </c>
      <c r="AJ31" s="40"/>
      <c r="AK31" s="40"/>
      <c r="AL31" s="40"/>
      <c r="AM31" s="40"/>
      <c r="AN31" s="90" t="str">
        <f t="shared" si="15"/>
        <v/>
      </c>
      <c r="AO31" s="90" t="str">
        <f t="shared" si="4"/>
        <v/>
      </c>
      <c r="AP31" s="40"/>
      <c r="AQ31" s="40"/>
      <c r="AR31" s="40"/>
      <c r="AS31" s="40"/>
      <c r="AT31" s="90" t="str">
        <f t="shared" si="16"/>
        <v/>
      </c>
      <c r="AU31" s="90" t="str">
        <f t="shared" si="5"/>
        <v/>
      </c>
      <c r="AV31" s="40"/>
      <c r="AW31" s="40"/>
      <c r="AX31" s="40"/>
      <c r="AY31" s="40"/>
      <c r="AZ31" s="90" t="str">
        <f t="shared" si="17"/>
        <v/>
      </c>
      <c r="BA31" s="90" t="str">
        <f t="shared" si="6"/>
        <v/>
      </c>
      <c r="BB31" s="40"/>
      <c r="BC31" s="40"/>
      <c r="BD31" s="40"/>
      <c r="BE31" s="40"/>
      <c r="BF31" s="90" t="str">
        <f t="shared" si="18"/>
        <v/>
      </c>
      <c r="BG31" s="90" t="str">
        <f t="shared" si="7"/>
        <v/>
      </c>
      <c r="BH31" s="40"/>
      <c r="BI31" s="40"/>
      <c r="BJ31" s="40"/>
      <c r="BK31" s="40"/>
      <c r="BL31" s="90" t="str">
        <f t="shared" si="19"/>
        <v/>
      </c>
      <c r="BM31" s="90" t="str">
        <f t="shared" si="8"/>
        <v/>
      </c>
    </row>
    <row r="32" spans="1:65">
      <c r="A32" s="90">
        <f>'DATA SISWA'!A32</f>
        <v>28</v>
      </c>
      <c r="B32" s="90" t="str">
        <f>'DATA SISWA'!B32</f>
        <v>7668</v>
      </c>
      <c r="C32" s="90" t="str">
        <f>'DATA SISWA'!C32</f>
        <v>RAIHAN</v>
      </c>
      <c r="D32" s="90" t="str">
        <f>'DATA SISWA'!D32</f>
        <v>L</v>
      </c>
      <c r="E32" s="90" t="str">
        <f>'DATA SISWA'!E32</f>
        <v>VII-J</v>
      </c>
      <c r="F32" s="40"/>
      <c r="G32" s="40"/>
      <c r="H32" s="40"/>
      <c r="I32" s="40"/>
      <c r="J32" s="90" t="str">
        <f t="shared" si="9"/>
        <v/>
      </c>
      <c r="K32" s="90" t="str">
        <f t="shared" si="10"/>
        <v/>
      </c>
      <c r="L32" s="40"/>
      <c r="M32" s="40"/>
      <c r="N32" s="40"/>
      <c r="O32" s="40"/>
      <c r="P32" s="90" t="str">
        <f t="shared" si="11"/>
        <v/>
      </c>
      <c r="Q32" s="90" t="str">
        <f t="shared" si="0"/>
        <v/>
      </c>
      <c r="R32" s="40"/>
      <c r="S32" s="40"/>
      <c r="T32" s="40"/>
      <c r="U32" s="40"/>
      <c r="V32" s="90" t="str">
        <f t="shared" si="12"/>
        <v/>
      </c>
      <c r="W32" s="90" t="str">
        <f t="shared" si="1"/>
        <v/>
      </c>
      <c r="X32" s="40"/>
      <c r="Y32" s="40"/>
      <c r="Z32" s="40"/>
      <c r="AA32" s="40"/>
      <c r="AB32" s="90" t="str">
        <f t="shared" si="13"/>
        <v/>
      </c>
      <c r="AC32" s="90" t="str">
        <f t="shared" si="2"/>
        <v/>
      </c>
      <c r="AD32" s="40"/>
      <c r="AE32" s="40"/>
      <c r="AF32" s="40"/>
      <c r="AG32" s="40"/>
      <c r="AH32" s="90" t="str">
        <f t="shared" si="14"/>
        <v/>
      </c>
      <c r="AI32" s="90" t="str">
        <f t="shared" si="3"/>
        <v/>
      </c>
      <c r="AJ32" s="40"/>
      <c r="AK32" s="40"/>
      <c r="AL32" s="40"/>
      <c r="AM32" s="40"/>
      <c r="AN32" s="90" t="str">
        <f t="shared" si="15"/>
        <v/>
      </c>
      <c r="AO32" s="90" t="str">
        <f t="shared" si="4"/>
        <v/>
      </c>
      <c r="AP32" s="40"/>
      <c r="AQ32" s="40"/>
      <c r="AR32" s="40"/>
      <c r="AS32" s="40"/>
      <c r="AT32" s="90" t="str">
        <f t="shared" si="16"/>
        <v/>
      </c>
      <c r="AU32" s="90" t="str">
        <f t="shared" si="5"/>
        <v/>
      </c>
      <c r="AV32" s="40"/>
      <c r="AW32" s="40"/>
      <c r="AX32" s="40"/>
      <c r="AY32" s="40"/>
      <c r="AZ32" s="90" t="str">
        <f t="shared" si="17"/>
        <v/>
      </c>
      <c r="BA32" s="90" t="str">
        <f t="shared" si="6"/>
        <v/>
      </c>
      <c r="BB32" s="40"/>
      <c r="BC32" s="40"/>
      <c r="BD32" s="40"/>
      <c r="BE32" s="40"/>
      <c r="BF32" s="90" t="str">
        <f t="shared" si="18"/>
        <v/>
      </c>
      <c r="BG32" s="90" t="str">
        <f t="shared" si="7"/>
        <v/>
      </c>
      <c r="BH32" s="40"/>
      <c r="BI32" s="40"/>
      <c r="BJ32" s="40"/>
      <c r="BK32" s="40"/>
      <c r="BL32" s="90" t="str">
        <f t="shared" si="19"/>
        <v/>
      </c>
      <c r="BM32" s="90" t="str">
        <f t="shared" si="8"/>
        <v/>
      </c>
    </row>
    <row r="33" spans="1:65">
      <c r="A33" s="90">
        <f>'DATA SISWA'!A33</f>
        <v>29</v>
      </c>
      <c r="B33" s="90" t="str">
        <f>'DATA SISWA'!B33</f>
        <v>7669</v>
      </c>
      <c r="C33" s="90" t="str">
        <f>'DATA SISWA'!C33</f>
        <v>REFITA ANNASTASYA</v>
      </c>
      <c r="D33" s="90" t="str">
        <f>'DATA SISWA'!D33</f>
        <v>P</v>
      </c>
      <c r="E33" s="90" t="str">
        <f>'DATA SISWA'!E33</f>
        <v>VII-J</v>
      </c>
      <c r="F33" s="40"/>
      <c r="G33" s="40"/>
      <c r="H33" s="40"/>
      <c r="I33" s="40"/>
      <c r="J33" s="90" t="str">
        <f t="shared" si="9"/>
        <v/>
      </c>
      <c r="K33" s="90" t="str">
        <f t="shared" si="10"/>
        <v/>
      </c>
      <c r="L33" s="40"/>
      <c r="M33" s="40"/>
      <c r="N33" s="40"/>
      <c r="O33" s="40"/>
      <c r="P33" s="90" t="str">
        <f t="shared" si="11"/>
        <v/>
      </c>
      <c r="Q33" s="90" t="str">
        <f t="shared" si="0"/>
        <v/>
      </c>
      <c r="R33" s="40"/>
      <c r="S33" s="40"/>
      <c r="T33" s="40"/>
      <c r="U33" s="40"/>
      <c r="V33" s="90" t="str">
        <f t="shared" si="12"/>
        <v/>
      </c>
      <c r="W33" s="90" t="str">
        <f t="shared" si="1"/>
        <v/>
      </c>
      <c r="X33" s="40"/>
      <c r="Y33" s="40"/>
      <c r="Z33" s="40"/>
      <c r="AA33" s="40"/>
      <c r="AB33" s="90" t="str">
        <f t="shared" si="13"/>
        <v/>
      </c>
      <c r="AC33" s="90" t="str">
        <f t="shared" si="2"/>
        <v/>
      </c>
      <c r="AD33" s="40"/>
      <c r="AE33" s="40"/>
      <c r="AF33" s="40"/>
      <c r="AG33" s="40"/>
      <c r="AH33" s="90" t="str">
        <f t="shared" si="14"/>
        <v/>
      </c>
      <c r="AI33" s="90" t="str">
        <f t="shared" si="3"/>
        <v/>
      </c>
      <c r="AJ33" s="40"/>
      <c r="AK33" s="40"/>
      <c r="AL33" s="40"/>
      <c r="AM33" s="40"/>
      <c r="AN33" s="90" t="str">
        <f t="shared" si="15"/>
        <v/>
      </c>
      <c r="AO33" s="90" t="str">
        <f t="shared" si="4"/>
        <v/>
      </c>
      <c r="AP33" s="40"/>
      <c r="AQ33" s="40"/>
      <c r="AR33" s="40"/>
      <c r="AS33" s="40"/>
      <c r="AT33" s="90" t="str">
        <f t="shared" si="16"/>
        <v/>
      </c>
      <c r="AU33" s="90" t="str">
        <f t="shared" si="5"/>
        <v/>
      </c>
      <c r="AV33" s="40"/>
      <c r="AW33" s="40"/>
      <c r="AX33" s="40"/>
      <c r="AY33" s="40"/>
      <c r="AZ33" s="90" t="str">
        <f t="shared" si="17"/>
        <v/>
      </c>
      <c r="BA33" s="90" t="str">
        <f t="shared" si="6"/>
        <v/>
      </c>
      <c r="BB33" s="40"/>
      <c r="BC33" s="40"/>
      <c r="BD33" s="40"/>
      <c r="BE33" s="40"/>
      <c r="BF33" s="90" t="str">
        <f t="shared" si="18"/>
        <v/>
      </c>
      <c r="BG33" s="90" t="str">
        <f t="shared" si="7"/>
        <v/>
      </c>
      <c r="BH33" s="40"/>
      <c r="BI33" s="40"/>
      <c r="BJ33" s="40"/>
      <c r="BK33" s="40"/>
      <c r="BL33" s="90" t="str">
        <f t="shared" si="19"/>
        <v/>
      </c>
      <c r="BM33" s="90" t="str">
        <f t="shared" si="8"/>
        <v/>
      </c>
    </row>
    <row r="34" spans="1:65">
      <c r="A34" s="90">
        <f>'DATA SISWA'!A34</f>
        <v>30</v>
      </c>
      <c r="B34" s="90" t="str">
        <f>'DATA SISWA'!B34</f>
        <v>7670</v>
      </c>
      <c r="C34" s="90" t="str">
        <f>'DATA SISWA'!C34</f>
        <v>RISKIYAH</v>
      </c>
      <c r="D34" s="90" t="str">
        <f>'DATA SISWA'!D34</f>
        <v>P</v>
      </c>
      <c r="E34" s="90" t="str">
        <f>'DATA SISWA'!E34</f>
        <v>VII-J</v>
      </c>
      <c r="F34" s="40"/>
      <c r="G34" s="40"/>
      <c r="H34" s="40"/>
      <c r="I34" s="40"/>
      <c r="J34" s="90" t="str">
        <f t="shared" si="9"/>
        <v/>
      </c>
      <c r="K34" s="90" t="str">
        <f t="shared" si="10"/>
        <v/>
      </c>
      <c r="L34" s="40"/>
      <c r="M34" s="40"/>
      <c r="N34" s="40"/>
      <c r="O34" s="40"/>
      <c r="P34" s="90" t="str">
        <f t="shared" si="11"/>
        <v/>
      </c>
      <c r="Q34" s="90" t="str">
        <f t="shared" si="0"/>
        <v/>
      </c>
      <c r="R34" s="40"/>
      <c r="S34" s="40"/>
      <c r="T34" s="40"/>
      <c r="U34" s="40"/>
      <c r="V34" s="90" t="str">
        <f t="shared" si="12"/>
        <v/>
      </c>
      <c r="W34" s="90" t="str">
        <f t="shared" si="1"/>
        <v/>
      </c>
      <c r="X34" s="40"/>
      <c r="Y34" s="40"/>
      <c r="Z34" s="40"/>
      <c r="AA34" s="40"/>
      <c r="AB34" s="90" t="str">
        <f t="shared" si="13"/>
        <v/>
      </c>
      <c r="AC34" s="90" t="str">
        <f t="shared" si="2"/>
        <v/>
      </c>
      <c r="AD34" s="40"/>
      <c r="AE34" s="40"/>
      <c r="AF34" s="40"/>
      <c r="AG34" s="40"/>
      <c r="AH34" s="90" t="str">
        <f t="shared" si="14"/>
        <v/>
      </c>
      <c r="AI34" s="90" t="str">
        <f t="shared" si="3"/>
        <v/>
      </c>
      <c r="AJ34" s="40"/>
      <c r="AK34" s="40"/>
      <c r="AL34" s="40"/>
      <c r="AM34" s="40"/>
      <c r="AN34" s="90" t="str">
        <f t="shared" si="15"/>
        <v/>
      </c>
      <c r="AO34" s="90" t="str">
        <f t="shared" si="4"/>
        <v/>
      </c>
      <c r="AP34" s="40"/>
      <c r="AQ34" s="40"/>
      <c r="AR34" s="40"/>
      <c r="AS34" s="40"/>
      <c r="AT34" s="90" t="str">
        <f t="shared" si="16"/>
        <v/>
      </c>
      <c r="AU34" s="90" t="str">
        <f t="shared" si="5"/>
        <v/>
      </c>
      <c r="AV34" s="40"/>
      <c r="AW34" s="40"/>
      <c r="AX34" s="40"/>
      <c r="AY34" s="40"/>
      <c r="AZ34" s="90" t="str">
        <f t="shared" si="17"/>
        <v/>
      </c>
      <c r="BA34" s="90" t="str">
        <f t="shared" si="6"/>
        <v/>
      </c>
      <c r="BB34" s="40"/>
      <c r="BC34" s="40"/>
      <c r="BD34" s="40"/>
      <c r="BE34" s="40"/>
      <c r="BF34" s="90" t="str">
        <f t="shared" si="18"/>
        <v/>
      </c>
      <c r="BG34" s="90" t="str">
        <f t="shared" si="7"/>
        <v/>
      </c>
      <c r="BH34" s="40"/>
      <c r="BI34" s="40"/>
      <c r="BJ34" s="40"/>
      <c r="BK34" s="40"/>
      <c r="BL34" s="90" t="str">
        <f t="shared" si="19"/>
        <v/>
      </c>
      <c r="BM34" s="90" t="str">
        <f t="shared" si="8"/>
        <v/>
      </c>
    </row>
    <row r="35" spans="1:65">
      <c r="A35" s="90">
        <f>'DATA SISWA'!A35</f>
        <v>31</v>
      </c>
      <c r="B35" s="90" t="str">
        <f>'DATA SISWA'!B35</f>
        <v>7671</v>
      </c>
      <c r="C35" s="90" t="str">
        <f>'DATA SISWA'!C35</f>
        <v>SALILATUL HUSNA</v>
      </c>
      <c r="D35" s="90" t="str">
        <f>'DATA SISWA'!D35</f>
        <v>P</v>
      </c>
      <c r="E35" s="90" t="str">
        <f>'DATA SISWA'!E35</f>
        <v>VII-J</v>
      </c>
      <c r="F35" s="40"/>
      <c r="G35" s="40"/>
      <c r="H35" s="40"/>
      <c r="I35" s="40"/>
      <c r="J35" s="90" t="str">
        <f t="shared" si="9"/>
        <v/>
      </c>
      <c r="K35" s="90" t="str">
        <f t="shared" si="10"/>
        <v/>
      </c>
      <c r="L35" s="40"/>
      <c r="M35" s="40"/>
      <c r="N35" s="40"/>
      <c r="O35" s="40"/>
      <c r="P35" s="90" t="str">
        <f t="shared" si="11"/>
        <v/>
      </c>
      <c r="Q35" s="90" t="str">
        <f t="shared" si="0"/>
        <v/>
      </c>
      <c r="R35" s="40"/>
      <c r="S35" s="40"/>
      <c r="T35" s="40"/>
      <c r="U35" s="40"/>
      <c r="V35" s="90" t="str">
        <f t="shared" si="12"/>
        <v/>
      </c>
      <c r="W35" s="90" t="str">
        <f t="shared" si="1"/>
        <v/>
      </c>
      <c r="X35" s="40"/>
      <c r="Y35" s="40"/>
      <c r="Z35" s="40"/>
      <c r="AA35" s="40"/>
      <c r="AB35" s="90" t="str">
        <f t="shared" si="13"/>
        <v/>
      </c>
      <c r="AC35" s="90" t="str">
        <f t="shared" si="2"/>
        <v/>
      </c>
      <c r="AD35" s="40"/>
      <c r="AE35" s="40"/>
      <c r="AF35" s="40"/>
      <c r="AG35" s="40"/>
      <c r="AH35" s="90" t="str">
        <f t="shared" si="14"/>
        <v/>
      </c>
      <c r="AI35" s="90" t="str">
        <f t="shared" si="3"/>
        <v/>
      </c>
      <c r="AJ35" s="40"/>
      <c r="AK35" s="40"/>
      <c r="AL35" s="40"/>
      <c r="AM35" s="40"/>
      <c r="AN35" s="90" t="str">
        <f t="shared" si="15"/>
        <v/>
      </c>
      <c r="AO35" s="90" t="str">
        <f t="shared" si="4"/>
        <v/>
      </c>
      <c r="AP35" s="40"/>
      <c r="AQ35" s="40"/>
      <c r="AR35" s="40"/>
      <c r="AS35" s="40"/>
      <c r="AT35" s="90" t="str">
        <f t="shared" si="16"/>
        <v/>
      </c>
      <c r="AU35" s="90" t="str">
        <f t="shared" si="5"/>
        <v/>
      </c>
      <c r="AV35" s="40"/>
      <c r="AW35" s="40"/>
      <c r="AX35" s="40"/>
      <c r="AY35" s="40"/>
      <c r="AZ35" s="90" t="str">
        <f t="shared" si="17"/>
        <v/>
      </c>
      <c r="BA35" s="90" t="str">
        <f t="shared" si="6"/>
        <v/>
      </c>
      <c r="BB35" s="40"/>
      <c r="BC35" s="40"/>
      <c r="BD35" s="40"/>
      <c r="BE35" s="40"/>
      <c r="BF35" s="90" t="str">
        <f t="shared" si="18"/>
        <v/>
      </c>
      <c r="BG35" s="90" t="str">
        <f t="shared" si="7"/>
        <v/>
      </c>
      <c r="BH35" s="40"/>
      <c r="BI35" s="40"/>
      <c r="BJ35" s="40"/>
      <c r="BK35" s="40"/>
      <c r="BL35" s="90" t="str">
        <f t="shared" si="19"/>
        <v/>
      </c>
      <c r="BM35" s="90" t="str">
        <f t="shared" si="8"/>
        <v/>
      </c>
    </row>
    <row r="36" spans="1:65">
      <c r="A36" s="90">
        <f>'DATA SISWA'!A36</f>
        <v>32</v>
      </c>
      <c r="B36" s="90" t="str">
        <f>'DATA SISWA'!B36</f>
        <v>7672</v>
      </c>
      <c r="C36" s="90" t="str">
        <f>'DATA SISWA'!C36</f>
        <v>SALMA NABILA</v>
      </c>
      <c r="D36" s="90" t="str">
        <f>'DATA SISWA'!D36</f>
        <v>P</v>
      </c>
      <c r="E36" s="90" t="str">
        <f>'DATA SISWA'!E36</f>
        <v>VII-J</v>
      </c>
      <c r="F36" s="40"/>
      <c r="G36" s="40"/>
      <c r="H36" s="40"/>
      <c r="I36" s="40"/>
      <c r="J36" s="90" t="str">
        <f t="shared" si="9"/>
        <v/>
      </c>
      <c r="K36" s="90" t="str">
        <f t="shared" si="10"/>
        <v/>
      </c>
      <c r="L36" s="40"/>
      <c r="M36" s="40"/>
      <c r="N36" s="40"/>
      <c r="O36" s="40"/>
      <c r="P36" s="90" t="str">
        <f t="shared" si="11"/>
        <v/>
      </c>
      <c r="Q36" s="90" t="str">
        <f t="shared" si="0"/>
        <v/>
      </c>
      <c r="R36" s="40"/>
      <c r="S36" s="40"/>
      <c r="T36" s="40"/>
      <c r="U36" s="40"/>
      <c r="V36" s="90" t="str">
        <f t="shared" si="12"/>
        <v/>
      </c>
      <c r="W36" s="90" t="str">
        <f t="shared" si="1"/>
        <v/>
      </c>
      <c r="X36" s="40"/>
      <c r="Y36" s="40"/>
      <c r="Z36" s="40"/>
      <c r="AA36" s="40"/>
      <c r="AB36" s="90" t="str">
        <f t="shared" si="13"/>
        <v/>
      </c>
      <c r="AC36" s="90" t="str">
        <f t="shared" si="2"/>
        <v/>
      </c>
      <c r="AD36" s="40"/>
      <c r="AE36" s="40"/>
      <c r="AF36" s="40"/>
      <c r="AG36" s="40"/>
      <c r="AH36" s="90" t="str">
        <f t="shared" si="14"/>
        <v/>
      </c>
      <c r="AI36" s="90" t="str">
        <f t="shared" si="3"/>
        <v/>
      </c>
      <c r="AJ36" s="40"/>
      <c r="AK36" s="40"/>
      <c r="AL36" s="40"/>
      <c r="AM36" s="40"/>
      <c r="AN36" s="90" t="str">
        <f t="shared" si="15"/>
        <v/>
      </c>
      <c r="AO36" s="90" t="str">
        <f t="shared" si="4"/>
        <v/>
      </c>
      <c r="AP36" s="40"/>
      <c r="AQ36" s="40"/>
      <c r="AR36" s="40"/>
      <c r="AS36" s="40"/>
      <c r="AT36" s="90" t="str">
        <f t="shared" si="16"/>
        <v/>
      </c>
      <c r="AU36" s="90" t="str">
        <f t="shared" si="5"/>
        <v/>
      </c>
      <c r="AV36" s="40"/>
      <c r="AW36" s="40"/>
      <c r="AX36" s="40"/>
      <c r="AY36" s="40"/>
      <c r="AZ36" s="90" t="str">
        <f t="shared" si="17"/>
        <v/>
      </c>
      <c r="BA36" s="90" t="str">
        <f t="shared" si="6"/>
        <v/>
      </c>
      <c r="BB36" s="40"/>
      <c r="BC36" s="40"/>
      <c r="BD36" s="40"/>
      <c r="BE36" s="40"/>
      <c r="BF36" s="90" t="str">
        <f t="shared" si="18"/>
        <v/>
      </c>
      <c r="BG36" s="90" t="str">
        <f t="shared" si="7"/>
        <v/>
      </c>
      <c r="BH36" s="40"/>
      <c r="BI36" s="40"/>
      <c r="BJ36" s="40"/>
      <c r="BK36" s="40"/>
      <c r="BL36" s="90" t="str">
        <f t="shared" si="19"/>
        <v/>
      </c>
      <c r="BM36" s="90" t="str">
        <f t="shared" si="8"/>
        <v/>
      </c>
    </row>
    <row r="37" spans="1:65">
      <c r="A37" s="90">
        <f>'DATA SISWA'!A37</f>
        <v>33</v>
      </c>
      <c r="B37" s="90" t="str">
        <f>'DATA SISWA'!B37</f>
        <v>7673</v>
      </c>
      <c r="C37" s="90" t="str">
        <f>'DATA SISWA'!C37</f>
        <v>SITI AINUR ROHIMAH</v>
      </c>
      <c r="D37" s="90" t="str">
        <f>'DATA SISWA'!D37</f>
        <v>P</v>
      </c>
      <c r="E37" s="90" t="str">
        <f>'DATA SISWA'!E37</f>
        <v>VII-J</v>
      </c>
      <c r="F37" s="40"/>
      <c r="G37" s="40"/>
      <c r="H37" s="40"/>
      <c r="I37" s="40"/>
      <c r="J37" s="90" t="str">
        <f t="shared" si="9"/>
        <v/>
      </c>
      <c r="K37" s="90" t="str">
        <f t="shared" si="10"/>
        <v/>
      </c>
      <c r="L37" s="40"/>
      <c r="M37" s="40"/>
      <c r="N37" s="40"/>
      <c r="O37" s="40"/>
      <c r="P37" s="90" t="str">
        <f t="shared" si="11"/>
        <v/>
      </c>
      <c r="Q37" s="90" t="str">
        <f t="shared" si="0"/>
        <v/>
      </c>
      <c r="R37" s="40"/>
      <c r="S37" s="40"/>
      <c r="T37" s="40"/>
      <c r="U37" s="40"/>
      <c r="V37" s="90" t="str">
        <f t="shared" si="12"/>
        <v/>
      </c>
      <c r="W37" s="90" t="str">
        <f t="shared" si="1"/>
        <v/>
      </c>
      <c r="X37" s="40"/>
      <c r="Y37" s="40"/>
      <c r="Z37" s="40"/>
      <c r="AA37" s="40"/>
      <c r="AB37" s="90" t="str">
        <f t="shared" si="13"/>
        <v/>
      </c>
      <c r="AC37" s="90" t="str">
        <f t="shared" si="2"/>
        <v/>
      </c>
      <c r="AD37" s="40"/>
      <c r="AE37" s="40"/>
      <c r="AF37" s="40"/>
      <c r="AG37" s="40"/>
      <c r="AH37" s="90" t="str">
        <f t="shared" si="14"/>
        <v/>
      </c>
      <c r="AI37" s="90" t="str">
        <f t="shared" si="3"/>
        <v/>
      </c>
      <c r="AJ37" s="40"/>
      <c r="AK37" s="40"/>
      <c r="AL37" s="40"/>
      <c r="AM37" s="40"/>
      <c r="AN37" s="90" t="str">
        <f t="shared" si="15"/>
        <v/>
      </c>
      <c r="AO37" s="90" t="str">
        <f t="shared" si="4"/>
        <v/>
      </c>
      <c r="AP37" s="40"/>
      <c r="AQ37" s="40"/>
      <c r="AR37" s="40"/>
      <c r="AS37" s="40"/>
      <c r="AT37" s="90" t="str">
        <f t="shared" si="16"/>
        <v/>
      </c>
      <c r="AU37" s="90" t="str">
        <f t="shared" si="5"/>
        <v/>
      </c>
      <c r="AV37" s="40"/>
      <c r="AW37" s="40"/>
      <c r="AX37" s="40"/>
      <c r="AY37" s="40"/>
      <c r="AZ37" s="90" t="str">
        <f t="shared" si="17"/>
        <v/>
      </c>
      <c r="BA37" s="90" t="str">
        <f t="shared" si="6"/>
        <v/>
      </c>
      <c r="BB37" s="40"/>
      <c r="BC37" s="40"/>
      <c r="BD37" s="40"/>
      <c r="BE37" s="40"/>
      <c r="BF37" s="90" t="str">
        <f t="shared" si="18"/>
        <v/>
      </c>
      <c r="BG37" s="90" t="str">
        <f t="shared" si="7"/>
        <v/>
      </c>
      <c r="BH37" s="40"/>
      <c r="BI37" s="40"/>
      <c r="BJ37" s="40"/>
      <c r="BK37" s="40"/>
      <c r="BL37" s="90" t="str">
        <f t="shared" si="19"/>
        <v/>
      </c>
      <c r="BM37" s="90" t="str">
        <f t="shared" si="8"/>
        <v/>
      </c>
    </row>
    <row r="38" spans="1:65">
      <c r="A38" s="90">
        <f>'DATA SISWA'!A38</f>
        <v>34</v>
      </c>
      <c r="B38" s="90" t="str">
        <f>'DATA SISWA'!B38</f>
        <v>7675</v>
      </c>
      <c r="C38" s="90" t="str">
        <f>'DATA SISWA'!C38</f>
        <v>SYARIF HIDAYATULLOH</v>
      </c>
      <c r="D38" s="90" t="str">
        <f>'DATA SISWA'!D38</f>
        <v>L</v>
      </c>
      <c r="E38" s="90" t="str">
        <f>'DATA SISWA'!E38</f>
        <v>VII-J</v>
      </c>
      <c r="F38" s="40"/>
      <c r="G38" s="40"/>
      <c r="H38" s="40"/>
      <c r="I38" s="40"/>
      <c r="J38" s="90" t="str">
        <f t="shared" si="9"/>
        <v/>
      </c>
      <c r="K38" s="90" t="str">
        <f t="shared" si="10"/>
        <v/>
      </c>
      <c r="L38" s="40"/>
      <c r="M38" s="40"/>
      <c r="N38" s="40"/>
      <c r="O38" s="40"/>
      <c r="P38" s="90" t="str">
        <f t="shared" si="11"/>
        <v/>
      </c>
      <c r="Q38" s="90" t="str">
        <f t="shared" si="0"/>
        <v/>
      </c>
      <c r="R38" s="40"/>
      <c r="S38" s="40"/>
      <c r="T38" s="40"/>
      <c r="U38" s="40"/>
      <c r="V38" s="90" t="str">
        <f t="shared" si="12"/>
        <v/>
      </c>
      <c r="W38" s="90" t="str">
        <f t="shared" si="1"/>
        <v/>
      </c>
      <c r="X38" s="40"/>
      <c r="Y38" s="40"/>
      <c r="Z38" s="40"/>
      <c r="AA38" s="40"/>
      <c r="AB38" s="90" t="str">
        <f t="shared" si="13"/>
        <v/>
      </c>
      <c r="AC38" s="90" t="str">
        <f t="shared" si="2"/>
        <v/>
      </c>
      <c r="AD38" s="40"/>
      <c r="AE38" s="40"/>
      <c r="AF38" s="40"/>
      <c r="AG38" s="40"/>
      <c r="AH38" s="90" t="str">
        <f t="shared" si="14"/>
        <v/>
      </c>
      <c r="AI38" s="90" t="str">
        <f t="shared" si="3"/>
        <v/>
      </c>
      <c r="AJ38" s="40"/>
      <c r="AK38" s="40"/>
      <c r="AL38" s="40"/>
      <c r="AM38" s="40"/>
      <c r="AN38" s="90" t="str">
        <f t="shared" si="15"/>
        <v/>
      </c>
      <c r="AO38" s="90" t="str">
        <f t="shared" si="4"/>
        <v/>
      </c>
      <c r="AP38" s="40"/>
      <c r="AQ38" s="40"/>
      <c r="AR38" s="40"/>
      <c r="AS38" s="40"/>
      <c r="AT38" s="90" t="str">
        <f t="shared" si="16"/>
        <v/>
      </c>
      <c r="AU38" s="90" t="str">
        <f t="shared" si="5"/>
        <v/>
      </c>
      <c r="AV38" s="40"/>
      <c r="AW38" s="40"/>
      <c r="AX38" s="40"/>
      <c r="AY38" s="40"/>
      <c r="AZ38" s="90" t="str">
        <f t="shared" si="17"/>
        <v/>
      </c>
      <c r="BA38" s="90" t="str">
        <f t="shared" si="6"/>
        <v/>
      </c>
      <c r="BB38" s="40"/>
      <c r="BC38" s="40"/>
      <c r="BD38" s="40"/>
      <c r="BE38" s="40"/>
      <c r="BF38" s="90" t="str">
        <f t="shared" si="18"/>
        <v/>
      </c>
      <c r="BG38" s="90" t="str">
        <f t="shared" si="7"/>
        <v/>
      </c>
      <c r="BH38" s="40"/>
      <c r="BI38" s="40"/>
      <c r="BJ38" s="40"/>
      <c r="BK38" s="40"/>
      <c r="BL38" s="90" t="str">
        <f t="shared" si="19"/>
        <v/>
      </c>
      <c r="BM38" s="90" t="str">
        <f t="shared" si="8"/>
        <v/>
      </c>
    </row>
    <row r="39" spans="1:65">
      <c r="A39" s="90">
        <f>'DATA SISWA'!A39</f>
        <v>35</v>
      </c>
      <c r="B39" s="90" t="str">
        <f>'DATA SISWA'!B39</f>
        <v>7444</v>
      </c>
      <c r="C39" s="90" t="str">
        <f>'DATA SISWA'!C39</f>
        <v>URVIA ZAHNA ROHANDY</v>
      </c>
      <c r="D39" s="90" t="str">
        <f>'DATA SISWA'!D39</f>
        <v>P</v>
      </c>
      <c r="E39" s="90" t="str">
        <f>'DATA SISWA'!E39</f>
        <v>VII-J</v>
      </c>
      <c r="F39" s="40"/>
      <c r="G39" s="40"/>
      <c r="H39" s="40"/>
      <c r="I39" s="40"/>
      <c r="J39" s="90" t="str">
        <f t="shared" si="9"/>
        <v/>
      </c>
      <c r="K39" s="90" t="str">
        <f t="shared" si="10"/>
        <v/>
      </c>
      <c r="L39" s="40"/>
      <c r="M39" s="40"/>
      <c r="N39" s="40"/>
      <c r="O39" s="40"/>
      <c r="P39" s="90" t="str">
        <f t="shared" si="11"/>
        <v/>
      </c>
      <c r="Q39" s="90" t="str">
        <f t="shared" si="0"/>
        <v/>
      </c>
      <c r="R39" s="40"/>
      <c r="S39" s="40"/>
      <c r="T39" s="40"/>
      <c r="U39" s="40"/>
      <c r="V39" s="90" t="str">
        <f t="shared" si="12"/>
        <v/>
      </c>
      <c r="W39" s="90" t="str">
        <f t="shared" si="1"/>
        <v/>
      </c>
      <c r="X39" s="40"/>
      <c r="Y39" s="40"/>
      <c r="Z39" s="40"/>
      <c r="AA39" s="40"/>
      <c r="AB39" s="90" t="str">
        <f t="shared" si="13"/>
        <v/>
      </c>
      <c r="AC39" s="90" t="str">
        <f t="shared" si="2"/>
        <v/>
      </c>
      <c r="AD39" s="40"/>
      <c r="AE39" s="40"/>
      <c r="AF39" s="40"/>
      <c r="AG39" s="40"/>
      <c r="AH39" s="90" t="str">
        <f t="shared" si="14"/>
        <v/>
      </c>
      <c r="AI39" s="90" t="str">
        <f t="shared" si="3"/>
        <v/>
      </c>
      <c r="AJ39" s="40"/>
      <c r="AK39" s="40"/>
      <c r="AL39" s="40"/>
      <c r="AM39" s="40"/>
      <c r="AN39" s="90" t="str">
        <f t="shared" si="15"/>
        <v/>
      </c>
      <c r="AO39" s="90" t="str">
        <f t="shared" si="4"/>
        <v/>
      </c>
      <c r="AP39" s="40"/>
      <c r="AQ39" s="40"/>
      <c r="AR39" s="40"/>
      <c r="AS39" s="40"/>
      <c r="AT39" s="90" t="str">
        <f t="shared" si="16"/>
        <v/>
      </c>
      <c r="AU39" s="90" t="str">
        <f t="shared" si="5"/>
        <v/>
      </c>
      <c r="AV39" s="40"/>
      <c r="AW39" s="40"/>
      <c r="AX39" s="40"/>
      <c r="AY39" s="40"/>
      <c r="AZ39" s="90" t="str">
        <f t="shared" si="17"/>
        <v/>
      </c>
      <c r="BA39" s="90" t="str">
        <f t="shared" si="6"/>
        <v/>
      </c>
      <c r="BB39" s="40"/>
      <c r="BC39" s="40"/>
      <c r="BD39" s="40"/>
      <c r="BE39" s="40"/>
      <c r="BF39" s="90" t="str">
        <f t="shared" si="18"/>
        <v/>
      </c>
      <c r="BG39" s="90" t="str">
        <f t="shared" si="7"/>
        <v/>
      </c>
      <c r="BH39" s="40"/>
      <c r="BI39" s="40"/>
      <c r="BJ39" s="40"/>
      <c r="BK39" s="40"/>
      <c r="BL39" s="90" t="str">
        <f t="shared" si="19"/>
        <v/>
      </c>
      <c r="BM39" s="90" t="str">
        <f t="shared" si="8"/>
        <v/>
      </c>
    </row>
    <row r="40" spans="1:65">
      <c r="A40" s="90">
        <f>'DATA SISWA'!A40</f>
        <v>36</v>
      </c>
      <c r="B40" s="90">
        <f>'DATA SISWA'!B40</f>
        <v>0</v>
      </c>
      <c r="C40" s="90">
        <f>'DATA SISWA'!C40</f>
        <v>0</v>
      </c>
      <c r="D40" s="90">
        <f>'DATA SISWA'!D40</f>
        <v>0</v>
      </c>
      <c r="E40" s="90" t="str">
        <f>'DATA SISWA'!E40</f>
        <v>VII-J</v>
      </c>
      <c r="F40" s="40"/>
      <c r="G40" s="40"/>
      <c r="H40" s="40"/>
      <c r="I40" s="40"/>
      <c r="J40" s="90" t="str">
        <f t="shared" si="9"/>
        <v/>
      </c>
      <c r="K40" s="90" t="str">
        <f t="shared" si="10"/>
        <v/>
      </c>
      <c r="L40" s="40"/>
      <c r="M40" s="40"/>
      <c r="N40" s="40"/>
      <c r="O40" s="40"/>
      <c r="P40" s="90" t="str">
        <f t="shared" si="11"/>
        <v/>
      </c>
      <c r="Q40" s="90" t="str">
        <f t="shared" si="0"/>
        <v/>
      </c>
      <c r="R40" s="40"/>
      <c r="S40" s="40"/>
      <c r="T40" s="40"/>
      <c r="U40" s="40"/>
      <c r="V40" s="90" t="str">
        <f t="shared" si="12"/>
        <v/>
      </c>
      <c r="W40" s="90" t="str">
        <f t="shared" si="1"/>
        <v/>
      </c>
      <c r="X40" s="40"/>
      <c r="Y40" s="40"/>
      <c r="Z40" s="40"/>
      <c r="AA40" s="40"/>
      <c r="AB40" s="90" t="str">
        <f t="shared" si="13"/>
        <v/>
      </c>
      <c r="AC40" s="90" t="str">
        <f t="shared" si="2"/>
        <v/>
      </c>
      <c r="AD40" s="40"/>
      <c r="AE40" s="40"/>
      <c r="AF40" s="40"/>
      <c r="AG40" s="40"/>
      <c r="AH40" s="90" t="str">
        <f t="shared" si="14"/>
        <v/>
      </c>
      <c r="AI40" s="90" t="str">
        <f t="shared" si="3"/>
        <v/>
      </c>
      <c r="AJ40" s="40"/>
      <c r="AK40" s="40"/>
      <c r="AL40" s="40"/>
      <c r="AM40" s="40"/>
      <c r="AN40" s="90" t="str">
        <f t="shared" si="15"/>
        <v/>
      </c>
      <c r="AO40" s="90" t="str">
        <f t="shared" si="4"/>
        <v/>
      </c>
      <c r="AP40" s="40"/>
      <c r="AQ40" s="40"/>
      <c r="AR40" s="40"/>
      <c r="AS40" s="40"/>
      <c r="AT40" s="90" t="str">
        <f t="shared" si="16"/>
        <v/>
      </c>
      <c r="AU40" s="90" t="str">
        <f t="shared" si="5"/>
        <v/>
      </c>
      <c r="AV40" s="40"/>
      <c r="AW40" s="40"/>
      <c r="AX40" s="40"/>
      <c r="AY40" s="40"/>
      <c r="AZ40" s="90" t="str">
        <f t="shared" si="17"/>
        <v/>
      </c>
      <c r="BA40" s="90" t="str">
        <f t="shared" si="6"/>
        <v/>
      </c>
      <c r="BB40" s="40"/>
      <c r="BC40" s="40"/>
      <c r="BD40" s="40"/>
      <c r="BE40" s="40"/>
      <c r="BF40" s="90" t="str">
        <f t="shared" si="18"/>
        <v/>
      </c>
      <c r="BG40" s="90" t="str">
        <f t="shared" si="7"/>
        <v/>
      </c>
      <c r="BH40" s="40"/>
      <c r="BI40" s="40"/>
      <c r="BJ40" s="40"/>
      <c r="BK40" s="40"/>
      <c r="BL40" s="90" t="str">
        <f t="shared" si="19"/>
        <v/>
      </c>
      <c r="BM40" s="90" t="str">
        <f t="shared" si="8"/>
        <v/>
      </c>
    </row>
    <row r="41" spans="1:65">
      <c r="A41" s="90">
        <f>'DATA SISWA'!A41</f>
        <v>37</v>
      </c>
      <c r="B41" s="90">
        <f>'DATA SISWA'!B41</f>
        <v>0</v>
      </c>
      <c r="C41" s="90">
        <f>'DATA SISWA'!C41</f>
        <v>0</v>
      </c>
      <c r="D41" s="90">
        <f>'DATA SISWA'!D41</f>
        <v>0</v>
      </c>
      <c r="E41" s="90" t="str">
        <f>'DATA SISWA'!E41</f>
        <v>VII-J</v>
      </c>
      <c r="F41" s="40"/>
      <c r="G41" s="40"/>
      <c r="H41" s="40"/>
      <c r="I41" s="40"/>
      <c r="J41" s="90" t="str">
        <f t="shared" si="9"/>
        <v/>
      </c>
      <c r="K41" s="90" t="str">
        <f t="shared" si="10"/>
        <v/>
      </c>
      <c r="L41" s="40"/>
      <c r="M41" s="40"/>
      <c r="N41" s="40"/>
      <c r="O41" s="40"/>
      <c r="P41" s="90" t="str">
        <f t="shared" si="11"/>
        <v/>
      </c>
      <c r="Q41" s="90" t="str">
        <f t="shared" si="0"/>
        <v/>
      </c>
      <c r="R41" s="40"/>
      <c r="S41" s="40"/>
      <c r="T41" s="40"/>
      <c r="U41" s="40"/>
      <c r="V41" s="90" t="str">
        <f t="shared" si="12"/>
        <v/>
      </c>
      <c r="W41" s="90" t="str">
        <f t="shared" si="1"/>
        <v/>
      </c>
      <c r="X41" s="40"/>
      <c r="Y41" s="40"/>
      <c r="Z41" s="40"/>
      <c r="AA41" s="40"/>
      <c r="AB41" s="90" t="str">
        <f t="shared" si="13"/>
        <v/>
      </c>
      <c r="AC41" s="90" t="str">
        <f t="shared" si="2"/>
        <v/>
      </c>
      <c r="AD41" s="40"/>
      <c r="AE41" s="40"/>
      <c r="AF41" s="40"/>
      <c r="AG41" s="40"/>
      <c r="AH41" s="90" t="str">
        <f t="shared" si="14"/>
        <v/>
      </c>
      <c r="AI41" s="90" t="str">
        <f t="shared" si="3"/>
        <v/>
      </c>
      <c r="AJ41" s="40"/>
      <c r="AK41" s="40"/>
      <c r="AL41" s="40"/>
      <c r="AM41" s="40"/>
      <c r="AN41" s="90" t="str">
        <f t="shared" si="15"/>
        <v/>
      </c>
      <c r="AO41" s="90" t="str">
        <f t="shared" si="4"/>
        <v/>
      </c>
      <c r="AP41" s="40"/>
      <c r="AQ41" s="40"/>
      <c r="AR41" s="40"/>
      <c r="AS41" s="40"/>
      <c r="AT41" s="90" t="str">
        <f t="shared" si="16"/>
        <v/>
      </c>
      <c r="AU41" s="90" t="str">
        <f t="shared" si="5"/>
        <v/>
      </c>
      <c r="AV41" s="40"/>
      <c r="AW41" s="40"/>
      <c r="AX41" s="40"/>
      <c r="AY41" s="40"/>
      <c r="AZ41" s="90" t="str">
        <f t="shared" si="17"/>
        <v/>
      </c>
      <c r="BA41" s="90" t="str">
        <f t="shared" si="6"/>
        <v/>
      </c>
      <c r="BB41" s="40"/>
      <c r="BC41" s="40"/>
      <c r="BD41" s="40"/>
      <c r="BE41" s="40"/>
      <c r="BF41" s="90" t="str">
        <f t="shared" si="18"/>
        <v/>
      </c>
      <c r="BG41" s="90" t="str">
        <f t="shared" si="7"/>
        <v/>
      </c>
      <c r="BH41" s="40"/>
      <c r="BI41" s="40"/>
      <c r="BJ41" s="40"/>
      <c r="BK41" s="40"/>
      <c r="BL41" s="90" t="str">
        <f t="shared" si="19"/>
        <v/>
      </c>
      <c r="BM41" s="90" t="str">
        <f t="shared" si="8"/>
        <v/>
      </c>
    </row>
    <row r="42" spans="1:65">
      <c r="A42" s="90">
        <f>'DATA SISWA'!A42</f>
        <v>38</v>
      </c>
      <c r="B42" s="90">
        <f>'DATA SISWA'!B42</f>
        <v>0</v>
      </c>
      <c r="C42" s="90">
        <f>'DATA SISWA'!C42</f>
        <v>0</v>
      </c>
      <c r="D42" s="90">
        <f>'DATA SISWA'!D42</f>
        <v>0</v>
      </c>
      <c r="E42" s="90" t="str">
        <f>'DATA SISWA'!E42</f>
        <v>VII-J</v>
      </c>
      <c r="F42" s="40"/>
      <c r="G42" s="40"/>
      <c r="H42" s="40"/>
      <c r="I42" s="40"/>
      <c r="J42" s="90" t="str">
        <f t="shared" si="9"/>
        <v/>
      </c>
      <c r="K42" s="90" t="str">
        <f t="shared" si="10"/>
        <v/>
      </c>
      <c r="L42" s="40"/>
      <c r="M42" s="40"/>
      <c r="N42" s="40"/>
      <c r="O42" s="40"/>
      <c r="P42" s="90" t="str">
        <f t="shared" si="11"/>
        <v/>
      </c>
      <c r="Q42" s="90" t="str">
        <f t="shared" si="0"/>
        <v/>
      </c>
      <c r="R42" s="40"/>
      <c r="S42" s="40"/>
      <c r="T42" s="40"/>
      <c r="U42" s="40"/>
      <c r="V42" s="90" t="str">
        <f t="shared" si="12"/>
        <v/>
      </c>
      <c r="W42" s="90" t="str">
        <f t="shared" si="1"/>
        <v/>
      </c>
      <c r="X42" s="40"/>
      <c r="Y42" s="40"/>
      <c r="Z42" s="40"/>
      <c r="AA42" s="40"/>
      <c r="AB42" s="90" t="str">
        <f t="shared" si="13"/>
        <v/>
      </c>
      <c r="AC42" s="90" t="str">
        <f t="shared" si="2"/>
        <v/>
      </c>
      <c r="AD42" s="40"/>
      <c r="AE42" s="40"/>
      <c r="AF42" s="40"/>
      <c r="AG42" s="40"/>
      <c r="AH42" s="90" t="str">
        <f t="shared" si="14"/>
        <v/>
      </c>
      <c r="AI42" s="90" t="str">
        <f t="shared" si="3"/>
        <v/>
      </c>
      <c r="AJ42" s="40"/>
      <c r="AK42" s="40"/>
      <c r="AL42" s="40"/>
      <c r="AM42" s="40"/>
      <c r="AN42" s="90" t="str">
        <f t="shared" si="15"/>
        <v/>
      </c>
      <c r="AO42" s="90" t="str">
        <f t="shared" si="4"/>
        <v/>
      </c>
      <c r="AP42" s="40"/>
      <c r="AQ42" s="40"/>
      <c r="AR42" s="40"/>
      <c r="AS42" s="40"/>
      <c r="AT42" s="90" t="str">
        <f t="shared" si="16"/>
        <v/>
      </c>
      <c r="AU42" s="90" t="str">
        <f t="shared" si="5"/>
        <v/>
      </c>
      <c r="AV42" s="40"/>
      <c r="AW42" s="40"/>
      <c r="AX42" s="40"/>
      <c r="AY42" s="40"/>
      <c r="AZ42" s="90" t="str">
        <f t="shared" si="17"/>
        <v/>
      </c>
      <c r="BA42" s="90" t="str">
        <f t="shared" si="6"/>
        <v/>
      </c>
      <c r="BB42" s="40"/>
      <c r="BC42" s="40"/>
      <c r="BD42" s="40"/>
      <c r="BE42" s="40"/>
      <c r="BF42" s="90" t="str">
        <f t="shared" si="18"/>
        <v/>
      </c>
      <c r="BG42" s="90" t="str">
        <f t="shared" si="7"/>
        <v/>
      </c>
      <c r="BH42" s="40"/>
      <c r="BI42" s="40"/>
      <c r="BJ42" s="40"/>
      <c r="BK42" s="40"/>
      <c r="BL42" s="90" t="str">
        <f t="shared" si="19"/>
        <v/>
      </c>
      <c r="BM42" s="90" t="str">
        <f t="shared" si="8"/>
        <v/>
      </c>
    </row>
    <row r="43" spans="1:65">
      <c r="A43" s="90">
        <f>'DATA SISWA'!A43</f>
        <v>39</v>
      </c>
      <c r="B43" s="90">
        <f>'DATA SISWA'!B43</f>
        <v>0</v>
      </c>
      <c r="C43" s="90">
        <f>'DATA SISWA'!C43</f>
        <v>0</v>
      </c>
      <c r="D43" s="90">
        <f>'DATA SISWA'!D43</f>
        <v>0</v>
      </c>
      <c r="E43" s="90" t="str">
        <f>'DATA SISWA'!E43</f>
        <v>VII-J</v>
      </c>
      <c r="F43" s="40"/>
      <c r="G43" s="40"/>
      <c r="H43" s="40"/>
      <c r="I43" s="40"/>
      <c r="J43" s="90" t="str">
        <f t="shared" si="9"/>
        <v/>
      </c>
      <c r="K43" s="90" t="str">
        <f t="shared" si="10"/>
        <v/>
      </c>
      <c r="L43" s="40"/>
      <c r="M43" s="40"/>
      <c r="N43" s="40"/>
      <c r="O43" s="40"/>
      <c r="P43" s="90" t="str">
        <f t="shared" si="11"/>
        <v/>
      </c>
      <c r="Q43" s="90" t="str">
        <f t="shared" si="0"/>
        <v/>
      </c>
      <c r="R43" s="40"/>
      <c r="S43" s="40"/>
      <c r="T43" s="40"/>
      <c r="U43" s="40"/>
      <c r="V43" s="90" t="str">
        <f t="shared" si="12"/>
        <v/>
      </c>
      <c r="W43" s="90" t="str">
        <f t="shared" si="1"/>
        <v/>
      </c>
      <c r="X43" s="40"/>
      <c r="Y43" s="40"/>
      <c r="Z43" s="40"/>
      <c r="AA43" s="40"/>
      <c r="AB43" s="90" t="str">
        <f t="shared" si="13"/>
        <v/>
      </c>
      <c r="AC43" s="90" t="str">
        <f t="shared" si="2"/>
        <v/>
      </c>
      <c r="AD43" s="40"/>
      <c r="AE43" s="40"/>
      <c r="AF43" s="40"/>
      <c r="AG43" s="40"/>
      <c r="AH43" s="90" t="str">
        <f t="shared" si="14"/>
        <v/>
      </c>
      <c r="AI43" s="90" t="str">
        <f t="shared" si="3"/>
        <v/>
      </c>
      <c r="AJ43" s="40"/>
      <c r="AK43" s="40"/>
      <c r="AL43" s="40"/>
      <c r="AM43" s="40"/>
      <c r="AN43" s="90" t="str">
        <f t="shared" si="15"/>
        <v/>
      </c>
      <c r="AO43" s="90" t="str">
        <f t="shared" si="4"/>
        <v/>
      </c>
      <c r="AP43" s="40"/>
      <c r="AQ43" s="40"/>
      <c r="AR43" s="40"/>
      <c r="AS43" s="40"/>
      <c r="AT43" s="90" t="str">
        <f t="shared" si="16"/>
        <v/>
      </c>
      <c r="AU43" s="90" t="str">
        <f t="shared" si="5"/>
        <v/>
      </c>
      <c r="AV43" s="40"/>
      <c r="AW43" s="40"/>
      <c r="AX43" s="40"/>
      <c r="AY43" s="40"/>
      <c r="AZ43" s="90" t="str">
        <f t="shared" si="17"/>
        <v/>
      </c>
      <c r="BA43" s="90" t="str">
        <f t="shared" si="6"/>
        <v/>
      </c>
      <c r="BB43" s="40"/>
      <c r="BC43" s="40"/>
      <c r="BD43" s="40"/>
      <c r="BE43" s="40"/>
      <c r="BF43" s="90" t="str">
        <f t="shared" si="18"/>
        <v/>
      </c>
      <c r="BG43" s="90" t="str">
        <f t="shared" si="7"/>
        <v/>
      </c>
      <c r="BH43" s="40"/>
      <c r="BI43" s="40"/>
      <c r="BJ43" s="40"/>
      <c r="BK43" s="40"/>
      <c r="BL43" s="90" t="str">
        <f t="shared" si="19"/>
        <v/>
      </c>
      <c r="BM43" s="90" t="str">
        <f t="shared" si="8"/>
        <v/>
      </c>
    </row>
    <row r="44" spans="1:65">
      <c r="A44" s="90">
        <f>'DATA SISWA'!A44</f>
        <v>40</v>
      </c>
      <c r="B44" s="90">
        <f>'DATA SISWA'!B44</f>
        <v>0</v>
      </c>
      <c r="C44" s="90">
        <f>'DATA SISWA'!C44</f>
        <v>0</v>
      </c>
      <c r="D44" s="90">
        <f>'DATA SISWA'!D44</f>
        <v>0</v>
      </c>
      <c r="E44" s="90" t="str">
        <f>'DATA SISWA'!E44</f>
        <v>VII-J</v>
      </c>
      <c r="F44" s="40"/>
      <c r="G44" s="40"/>
      <c r="H44" s="40"/>
      <c r="I44" s="40"/>
      <c r="J44" s="90" t="str">
        <f t="shared" si="9"/>
        <v/>
      </c>
      <c r="K44" s="90" t="str">
        <f t="shared" si="10"/>
        <v/>
      </c>
      <c r="L44" s="40"/>
      <c r="M44" s="40"/>
      <c r="N44" s="40"/>
      <c r="O44" s="40"/>
      <c r="P44" s="90" t="str">
        <f t="shared" si="11"/>
        <v/>
      </c>
      <c r="Q44" s="90" t="str">
        <f t="shared" si="0"/>
        <v/>
      </c>
      <c r="R44" s="40"/>
      <c r="S44" s="40"/>
      <c r="T44" s="40"/>
      <c r="U44" s="40"/>
      <c r="V44" s="90" t="str">
        <f t="shared" si="12"/>
        <v/>
      </c>
      <c r="W44" s="90" t="str">
        <f t="shared" si="1"/>
        <v/>
      </c>
      <c r="X44" s="40"/>
      <c r="Y44" s="40"/>
      <c r="Z44" s="40"/>
      <c r="AA44" s="40"/>
      <c r="AB44" s="90" t="str">
        <f t="shared" si="13"/>
        <v/>
      </c>
      <c r="AC44" s="90" t="str">
        <f t="shared" si="2"/>
        <v/>
      </c>
      <c r="AD44" s="40"/>
      <c r="AE44" s="40"/>
      <c r="AF44" s="40"/>
      <c r="AG44" s="40"/>
      <c r="AH44" s="90" t="str">
        <f t="shared" si="14"/>
        <v/>
      </c>
      <c r="AI44" s="90" t="str">
        <f t="shared" si="3"/>
        <v/>
      </c>
      <c r="AJ44" s="40"/>
      <c r="AK44" s="40"/>
      <c r="AL44" s="40"/>
      <c r="AM44" s="40"/>
      <c r="AN44" s="90" t="str">
        <f t="shared" si="15"/>
        <v/>
      </c>
      <c r="AO44" s="90" t="str">
        <f t="shared" si="4"/>
        <v/>
      </c>
      <c r="AP44" s="40"/>
      <c r="AQ44" s="40"/>
      <c r="AR44" s="40"/>
      <c r="AS44" s="40"/>
      <c r="AT44" s="90" t="str">
        <f t="shared" si="16"/>
        <v/>
      </c>
      <c r="AU44" s="90" t="str">
        <f t="shared" si="5"/>
        <v/>
      </c>
      <c r="AV44" s="40"/>
      <c r="AW44" s="40"/>
      <c r="AX44" s="40"/>
      <c r="AY44" s="40"/>
      <c r="AZ44" s="90" t="str">
        <f t="shared" si="17"/>
        <v/>
      </c>
      <c r="BA44" s="90" t="str">
        <f t="shared" si="6"/>
        <v/>
      </c>
      <c r="BB44" s="40"/>
      <c r="BC44" s="40"/>
      <c r="BD44" s="40"/>
      <c r="BE44" s="40"/>
      <c r="BF44" s="90" t="str">
        <f t="shared" si="18"/>
        <v/>
      </c>
      <c r="BG44" s="90" t="str">
        <f t="shared" si="7"/>
        <v/>
      </c>
      <c r="BH44" s="40"/>
      <c r="BI44" s="40"/>
      <c r="BJ44" s="40"/>
      <c r="BK44" s="40"/>
      <c r="BL44" s="90" t="str">
        <f t="shared" si="19"/>
        <v/>
      </c>
      <c r="BM44" s="90" t="str">
        <f t="shared" si="8"/>
        <v/>
      </c>
    </row>
    <row r="45" spans="1:65">
      <c r="A45" s="90">
        <f>'DATA SISWA'!A45</f>
        <v>41</v>
      </c>
      <c r="B45" s="90">
        <f>'DATA SISWA'!B45</f>
        <v>0</v>
      </c>
      <c r="C45" s="90">
        <f>'DATA SISWA'!C45</f>
        <v>0</v>
      </c>
      <c r="D45" s="90">
        <f>'DATA SISWA'!D45</f>
        <v>0</v>
      </c>
      <c r="E45" s="90" t="str">
        <f>'DATA SISWA'!E45</f>
        <v>VII-J</v>
      </c>
      <c r="F45" s="40"/>
      <c r="G45" s="40"/>
      <c r="H45" s="40"/>
      <c r="I45" s="40"/>
      <c r="J45" s="90" t="str">
        <f t="shared" ref="J45:J53" si="20">IF(F45&gt;0,SUM(F45:I45),"")</f>
        <v/>
      </c>
      <c r="K45" s="90" t="str">
        <f t="shared" ref="K45:K53" si="21">IF(J45="","",((J45/16)*100))</f>
        <v/>
      </c>
      <c r="L45" s="40"/>
      <c r="M45" s="40"/>
      <c r="N45" s="40"/>
      <c r="O45" s="40"/>
      <c r="P45" s="90" t="str">
        <f t="shared" ref="P45:P53" si="22">IF(L45&gt;0,SUM(L45:O45),"")</f>
        <v/>
      </c>
      <c r="Q45" s="90" t="str">
        <f t="shared" ref="Q45:Q53" si="23">IF(P45="","",((P45/16)*100))</f>
        <v/>
      </c>
      <c r="R45" s="40"/>
      <c r="S45" s="40"/>
      <c r="T45" s="40"/>
      <c r="U45" s="40"/>
      <c r="V45" s="90" t="str">
        <f t="shared" ref="V45:V53" si="24">IF(R45&gt;0,SUM(R45:U45),"")</f>
        <v/>
      </c>
      <c r="W45" s="90" t="str">
        <f t="shared" ref="W45:W53" si="25">IF(V45="","",((V45/16)*100))</f>
        <v/>
      </c>
      <c r="X45" s="40"/>
      <c r="Y45" s="40"/>
      <c r="Z45" s="40"/>
      <c r="AA45" s="40"/>
      <c r="AB45" s="90" t="str">
        <f t="shared" ref="AB45:AB53" si="26">IF(X45&gt;0,SUM(X45:AA45),"")</f>
        <v/>
      </c>
      <c r="AC45" s="90" t="str">
        <f t="shared" ref="AC45:AC53" si="27">IF(AB45="","",((AB45/16)*100))</f>
        <v/>
      </c>
      <c r="AD45" s="40"/>
      <c r="AE45" s="40"/>
      <c r="AF45" s="40"/>
      <c r="AG45" s="40"/>
      <c r="AH45" s="90" t="str">
        <f t="shared" ref="AH45:AH53" si="28">IF(AD45&gt;0,SUM(AD45:AG45),"")</f>
        <v/>
      </c>
      <c r="AI45" s="90" t="str">
        <f t="shared" ref="AI45:AI53" si="29">IF(AH45="","",((AH45/16)*100))</f>
        <v/>
      </c>
      <c r="AJ45" s="40"/>
      <c r="AK45" s="40"/>
      <c r="AL45" s="40"/>
      <c r="AM45" s="40"/>
      <c r="AN45" s="90" t="str">
        <f t="shared" ref="AN45:AN53" si="30">IF(AJ45&gt;0,SUM(AJ45:AM45),"")</f>
        <v/>
      </c>
      <c r="AO45" s="90" t="str">
        <f t="shared" ref="AO45:AO53" si="31">IF(AN45="","",((AN45/16)*100))</f>
        <v/>
      </c>
      <c r="AP45" s="40"/>
      <c r="AQ45" s="40"/>
      <c r="AR45" s="40"/>
      <c r="AS45" s="40"/>
      <c r="AT45" s="90" t="str">
        <f t="shared" ref="AT45:AT53" si="32">IF(AP45&gt;0,SUM(AP45:AS45),"")</f>
        <v/>
      </c>
      <c r="AU45" s="90" t="str">
        <f t="shared" ref="AU45:AU53" si="33">IF(AT45="","",((AT45/16)*100))</f>
        <v/>
      </c>
      <c r="AV45" s="40"/>
      <c r="AW45" s="40"/>
      <c r="AX45" s="40"/>
      <c r="AY45" s="40"/>
      <c r="AZ45" s="90" t="str">
        <f t="shared" ref="AZ45:AZ53" si="34">IF(AV45&gt;0,SUM(AV45:AY45),"")</f>
        <v/>
      </c>
      <c r="BA45" s="90" t="str">
        <f t="shared" ref="BA45:BA53" si="35">IF(AZ45="","",((AZ45/16)*100))</f>
        <v/>
      </c>
      <c r="BB45" s="40"/>
      <c r="BC45" s="40"/>
      <c r="BD45" s="40"/>
      <c r="BE45" s="40"/>
      <c r="BF45" s="90" t="str">
        <f t="shared" ref="BF45:BF53" si="36">IF(BB45&gt;0,SUM(BB45:BE45),"")</f>
        <v/>
      </c>
      <c r="BG45" s="90" t="str">
        <f t="shared" ref="BG45:BG53" si="37">IF(BF45="","",((BF45/16)*100))</f>
        <v/>
      </c>
      <c r="BH45" s="40"/>
      <c r="BI45" s="40"/>
      <c r="BJ45" s="40"/>
      <c r="BK45" s="40"/>
      <c r="BL45" s="90" t="str">
        <f t="shared" ref="BL45:BL53" si="38">IF(BH45&gt;0,SUM(BH45:BK45),"")</f>
        <v/>
      </c>
      <c r="BM45" s="90" t="str">
        <f t="shared" ref="BM45:BM53" si="39">IF(BL45="","",((BL45/16)*100))</f>
        <v/>
      </c>
    </row>
    <row r="46" spans="1:65">
      <c r="A46" s="90">
        <f>'DATA SISWA'!A46</f>
        <v>42</v>
      </c>
      <c r="B46" s="90">
        <f>'DATA SISWA'!B46</f>
        <v>0</v>
      </c>
      <c r="C46" s="90">
        <f>'DATA SISWA'!C46</f>
        <v>0</v>
      </c>
      <c r="D46" s="90">
        <f>'DATA SISWA'!D46</f>
        <v>0</v>
      </c>
      <c r="E46" s="90" t="str">
        <f>'DATA SISWA'!E46</f>
        <v>VII-J</v>
      </c>
      <c r="F46" s="40"/>
      <c r="G46" s="40"/>
      <c r="H46" s="40"/>
      <c r="I46" s="40"/>
      <c r="J46" s="90" t="str">
        <f t="shared" si="20"/>
        <v/>
      </c>
      <c r="K46" s="90" t="str">
        <f t="shared" si="21"/>
        <v/>
      </c>
      <c r="L46" s="40"/>
      <c r="M46" s="40"/>
      <c r="N46" s="40"/>
      <c r="O46" s="40"/>
      <c r="P46" s="90" t="str">
        <f t="shared" si="22"/>
        <v/>
      </c>
      <c r="Q46" s="90" t="str">
        <f t="shared" si="23"/>
        <v/>
      </c>
      <c r="R46" s="40"/>
      <c r="S46" s="40"/>
      <c r="T46" s="40"/>
      <c r="U46" s="40"/>
      <c r="V46" s="90" t="str">
        <f t="shared" si="24"/>
        <v/>
      </c>
      <c r="W46" s="90" t="str">
        <f t="shared" si="25"/>
        <v/>
      </c>
      <c r="X46" s="40"/>
      <c r="Y46" s="40"/>
      <c r="Z46" s="40"/>
      <c r="AA46" s="40"/>
      <c r="AB46" s="90" t="str">
        <f t="shared" si="26"/>
        <v/>
      </c>
      <c r="AC46" s="90" t="str">
        <f t="shared" si="27"/>
        <v/>
      </c>
      <c r="AD46" s="40"/>
      <c r="AE46" s="40"/>
      <c r="AF46" s="40"/>
      <c r="AG46" s="40"/>
      <c r="AH46" s="90" t="str">
        <f t="shared" si="28"/>
        <v/>
      </c>
      <c r="AI46" s="90" t="str">
        <f t="shared" si="29"/>
        <v/>
      </c>
      <c r="AJ46" s="40"/>
      <c r="AK46" s="40"/>
      <c r="AL46" s="40"/>
      <c r="AM46" s="40"/>
      <c r="AN46" s="90" t="str">
        <f t="shared" si="30"/>
        <v/>
      </c>
      <c r="AO46" s="90" t="str">
        <f t="shared" si="31"/>
        <v/>
      </c>
      <c r="AP46" s="40"/>
      <c r="AQ46" s="40"/>
      <c r="AR46" s="40"/>
      <c r="AS46" s="40"/>
      <c r="AT46" s="90" t="str">
        <f t="shared" si="32"/>
        <v/>
      </c>
      <c r="AU46" s="90" t="str">
        <f t="shared" si="33"/>
        <v/>
      </c>
      <c r="AV46" s="40"/>
      <c r="AW46" s="40"/>
      <c r="AX46" s="40"/>
      <c r="AY46" s="40"/>
      <c r="AZ46" s="90" t="str">
        <f t="shared" si="34"/>
        <v/>
      </c>
      <c r="BA46" s="90" t="str">
        <f t="shared" si="35"/>
        <v/>
      </c>
      <c r="BB46" s="40"/>
      <c r="BC46" s="40"/>
      <c r="BD46" s="40"/>
      <c r="BE46" s="40"/>
      <c r="BF46" s="90" t="str">
        <f t="shared" si="36"/>
        <v/>
      </c>
      <c r="BG46" s="90" t="str">
        <f t="shared" si="37"/>
        <v/>
      </c>
      <c r="BH46" s="40"/>
      <c r="BI46" s="40"/>
      <c r="BJ46" s="40"/>
      <c r="BK46" s="40"/>
      <c r="BL46" s="90" t="str">
        <f t="shared" si="38"/>
        <v/>
      </c>
      <c r="BM46" s="90" t="str">
        <f t="shared" si="39"/>
        <v/>
      </c>
    </row>
    <row r="47" spans="1:65">
      <c r="A47" s="90">
        <f>'DATA SISWA'!A47</f>
        <v>43</v>
      </c>
      <c r="B47" s="90">
        <f>'DATA SISWA'!B47</f>
        <v>0</v>
      </c>
      <c r="C47" s="90">
        <f>'DATA SISWA'!C47</f>
        <v>0</v>
      </c>
      <c r="D47" s="90">
        <f>'DATA SISWA'!D47</f>
        <v>0</v>
      </c>
      <c r="E47" s="90" t="str">
        <f>'DATA SISWA'!E47</f>
        <v>VII-J</v>
      </c>
      <c r="F47" s="40"/>
      <c r="G47" s="40"/>
      <c r="H47" s="40"/>
      <c r="I47" s="40"/>
      <c r="J47" s="90" t="str">
        <f t="shared" si="20"/>
        <v/>
      </c>
      <c r="K47" s="90" t="str">
        <f t="shared" si="21"/>
        <v/>
      </c>
      <c r="L47" s="40"/>
      <c r="M47" s="40"/>
      <c r="N47" s="40"/>
      <c r="O47" s="40"/>
      <c r="P47" s="90" t="str">
        <f t="shared" si="22"/>
        <v/>
      </c>
      <c r="Q47" s="90" t="str">
        <f t="shared" si="23"/>
        <v/>
      </c>
      <c r="R47" s="40"/>
      <c r="S47" s="40"/>
      <c r="T47" s="40"/>
      <c r="U47" s="40"/>
      <c r="V47" s="90" t="str">
        <f t="shared" si="24"/>
        <v/>
      </c>
      <c r="W47" s="90" t="str">
        <f t="shared" si="25"/>
        <v/>
      </c>
      <c r="X47" s="40"/>
      <c r="Y47" s="40"/>
      <c r="Z47" s="40"/>
      <c r="AA47" s="40"/>
      <c r="AB47" s="90" t="str">
        <f t="shared" si="26"/>
        <v/>
      </c>
      <c r="AC47" s="90" t="str">
        <f t="shared" si="27"/>
        <v/>
      </c>
      <c r="AD47" s="40"/>
      <c r="AE47" s="40"/>
      <c r="AF47" s="40"/>
      <c r="AG47" s="40"/>
      <c r="AH47" s="90" t="str">
        <f t="shared" si="28"/>
        <v/>
      </c>
      <c r="AI47" s="90" t="str">
        <f t="shared" si="29"/>
        <v/>
      </c>
      <c r="AJ47" s="40"/>
      <c r="AK47" s="40"/>
      <c r="AL47" s="40"/>
      <c r="AM47" s="40"/>
      <c r="AN47" s="90" t="str">
        <f t="shared" si="30"/>
        <v/>
      </c>
      <c r="AO47" s="90" t="str">
        <f t="shared" si="31"/>
        <v/>
      </c>
      <c r="AP47" s="40"/>
      <c r="AQ47" s="40"/>
      <c r="AR47" s="40"/>
      <c r="AS47" s="40"/>
      <c r="AT47" s="90" t="str">
        <f t="shared" si="32"/>
        <v/>
      </c>
      <c r="AU47" s="90" t="str">
        <f t="shared" si="33"/>
        <v/>
      </c>
      <c r="AV47" s="40"/>
      <c r="AW47" s="40"/>
      <c r="AX47" s="40"/>
      <c r="AY47" s="40"/>
      <c r="AZ47" s="90" t="str">
        <f t="shared" si="34"/>
        <v/>
      </c>
      <c r="BA47" s="90" t="str">
        <f t="shared" si="35"/>
        <v/>
      </c>
      <c r="BB47" s="40"/>
      <c r="BC47" s="40"/>
      <c r="BD47" s="40"/>
      <c r="BE47" s="40"/>
      <c r="BF47" s="90" t="str">
        <f t="shared" si="36"/>
        <v/>
      </c>
      <c r="BG47" s="90" t="str">
        <f t="shared" si="37"/>
        <v/>
      </c>
      <c r="BH47" s="40"/>
      <c r="BI47" s="40"/>
      <c r="BJ47" s="40"/>
      <c r="BK47" s="40"/>
      <c r="BL47" s="90" t="str">
        <f t="shared" si="38"/>
        <v/>
      </c>
      <c r="BM47" s="90" t="str">
        <f t="shared" si="39"/>
        <v/>
      </c>
    </row>
    <row r="48" spans="1:65">
      <c r="A48" s="90">
        <f>'DATA SISWA'!A48</f>
        <v>44</v>
      </c>
      <c r="B48" s="90">
        <f>'DATA SISWA'!B48</f>
        <v>0</v>
      </c>
      <c r="C48" s="90">
        <f>'DATA SISWA'!C48</f>
        <v>0</v>
      </c>
      <c r="D48" s="90">
        <f>'DATA SISWA'!D48</f>
        <v>0</v>
      </c>
      <c r="E48" s="90" t="str">
        <f>'DATA SISWA'!E48</f>
        <v>VII-J</v>
      </c>
      <c r="F48" s="40"/>
      <c r="G48" s="40"/>
      <c r="H48" s="40"/>
      <c r="I48" s="40"/>
      <c r="J48" s="90" t="str">
        <f t="shared" si="20"/>
        <v/>
      </c>
      <c r="K48" s="90" t="str">
        <f t="shared" si="21"/>
        <v/>
      </c>
      <c r="L48" s="40"/>
      <c r="M48" s="40"/>
      <c r="N48" s="40"/>
      <c r="O48" s="40"/>
      <c r="P48" s="90" t="str">
        <f t="shared" si="22"/>
        <v/>
      </c>
      <c r="Q48" s="90" t="str">
        <f t="shared" si="23"/>
        <v/>
      </c>
      <c r="R48" s="40"/>
      <c r="S48" s="40"/>
      <c r="T48" s="40"/>
      <c r="U48" s="40"/>
      <c r="V48" s="90" t="str">
        <f t="shared" si="24"/>
        <v/>
      </c>
      <c r="W48" s="90" t="str">
        <f t="shared" si="25"/>
        <v/>
      </c>
      <c r="X48" s="40"/>
      <c r="Y48" s="40"/>
      <c r="Z48" s="40"/>
      <c r="AA48" s="40"/>
      <c r="AB48" s="90" t="str">
        <f t="shared" si="26"/>
        <v/>
      </c>
      <c r="AC48" s="90" t="str">
        <f t="shared" si="27"/>
        <v/>
      </c>
      <c r="AD48" s="40"/>
      <c r="AE48" s="40"/>
      <c r="AF48" s="40"/>
      <c r="AG48" s="40"/>
      <c r="AH48" s="90" t="str">
        <f t="shared" si="28"/>
        <v/>
      </c>
      <c r="AI48" s="90" t="str">
        <f t="shared" si="29"/>
        <v/>
      </c>
      <c r="AJ48" s="40"/>
      <c r="AK48" s="40"/>
      <c r="AL48" s="40"/>
      <c r="AM48" s="40"/>
      <c r="AN48" s="90" t="str">
        <f t="shared" si="30"/>
        <v/>
      </c>
      <c r="AO48" s="90" t="str">
        <f t="shared" si="31"/>
        <v/>
      </c>
      <c r="AP48" s="40"/>
      <c r="AQ48" s="40"/>
      <c r="AR48" s="40"/>
      <c r="AS48" s="40"/>
      <c r="AT48" s="90" t="str">
        <f t="shared" si="32"/>
        <v/>
      </c>
      <c r="AU48" s="90" t="str">
        <f t="shared" si="33"/>
        <v/>
      </c>
      <c r="AV48" s="40"/>
      <c r="AW48" s="40"/>
      <c r="AX48" s="40"/>
      <c r="AY48" s="40"/>
      <c r="AZ48" s="90" t="str">
        <f t="shared" si="34"/>
        <v/>
      </c>
      <c r="BA48" s="90" t="str">
        <f t="shared" si="35"/>
        <v/>
      </c>
      <c r="BB48" s="40"/>
      <c r="BC48" s="40"/>
      <c r="BD48" s="40"/>
      <c r="BE48" s="40"/>
      <c r="BF48" s="90" t="str">
        <f t="shared" si="36"/>
        <v/>
      </c>
      <c r="BG48" s="90" t="str">
        <f t="shared" si="37"/>
        <v/>
      </c>
      <c r="BH48" s="40"/>
      <c r="BI48" s="40"/>
      <c r="BJ48" s="40"/>
      <c r="BK48" s="40"/>
      <c r="BL48" s="90" t="str">
        <f t="shared" si="38"/>
        <v/>
      </c>
      <c r="BM48" s="90" t="str">
        <f t="shared" si="39"/>
        <v/>
      </c>
    </row>
    <row r="49" spans="1:65">
      <c r="A49" s="90">
        <f>'DATA SISWA'!A49</f>
        <v>45</v>
      </c>
      <c r="B49" s="90">
        <f>'DATA SISWA'!B49</f>
        <v>0</v>
      </c>
      <c r="C49" s="90">
        <f>'DATA SISWA'!C49</f>
        <v>0</v>
      </c>
      <c r="D49" s="90">
        <f>'DATA SISWA'!D49</f>
        <v>0</v>
      </c>
      <c r="E49" s="90" t="str">
        <f>'DATA SISWA'!E49</f>
        <v>VII-J</v>
      </c>
      <c r="F49" s="40"/>
      <c r="G49" s="40"/>
      <c r="H49" s="40"/>
      <c r="I49" s="40"/>
      <c r="J49" s="90" t="str">
        <f t="shared" si="20"/>
        <v/>
      </c>
      <c r="K49" s="90" t="str">
        <f t="shared" si="21"/>
        <v/>
      </c>
      <c r="L49" s="40"/>
      <c r="M49" s="40"/>
      <c r="N49" s="40"/>
      <c r="O49" s="40"/>
      <c r="P49" s="90" t="str">
        <f t="shared" si="22"/>
        <v/>
      </c>
      <c r="Q49" s="90" t="str">
        <f t="shared" si="23"/>
        <v/>
      </c>
      <c r="R49" s="40"/>
      <c r="S49" s="40"/>
      <c r="T49" s="40"/>
      <c r="U49" s="40"/>
      <c r="V49" s="90" t="str">
        <f t="shared" si="24"/>
        <v/>
      </c>
      <c r="W49" s="90" t="str">
        <f t="shared" si="25"/>
        <v/>
      </c>
      <c r="X49" s="40"/>
      <c r="Y49" s="40"/>
      <c r="Z49" s="40"/>
      <c r="AA49" s="40"/>
      <c r="AB49" s="90" t="str">
        <f t="shared" si="26"/>
        <v/>
      </c>
      <c r="AC49" s="90" t="str">
        <f t="shared" si="27"/>
        <v/>
      </c>
      <c r="AD49" s="40"/>
      <c r="AE49" s="40"/>
      <c r="AF49" s="40"/>
      <c r="AG49" s="40"/>
      <c r="AH49" s="90" t="str">
        <f t="shared" si="28"/>
        <v/>
      </c>
      <c r="AI49" s="90" t="str">
        <f t="shared" si="29"/>
        <v/>
      </c>
      <c r="AJ49" s="40"/>
      <c r="AK49" s="40"/>
      <c r="AL49" s="40"/>
      <c r="AM49" s="40"/>
      <c r="AN49" s="90" t="str">
        <f t="shared" si="30"/>
        <v/>
      </c>
      <c r="AO49" s="90" t="str">
        <f t="shared" si="31"/>
        <v/>
      </c>
      <c r="AP49" s="40"/>
      <c r="AQ49" s="40"/>
      <c r="AR49" s="40"/>
      <c r="AS49" s="40"/>
      <c r="AT49" s="90" t="str">
        <f t="shared" si="32"/>
        <v/>
      </c>
      <c r="AU49" s="90" t="str">
        <f t="shared" si="33"/>
        <v/>
      </c>
      <c r="AV49" s="40"/>
      <c r="AW49" s="40"/>
      <c r="AX49" s="40"/>
      <c r="AY49" s="40"/>
      <c r="AZ49" s="90" t="str">
        <f t="shared" si="34"/>
        <v/>
      </c>
      <c r="BA49" s="90" t="str">
        <f t="shared" si="35"/>
        <v/>
      </c>
      <c r="BB49" s="40"/>
      <c r="BC49" s="40"/>
      <c r="BD49" s="40"/>
      <c r="BE49" s="40"/>
      <c r="BF49" s="90" t="str">
        <f t="shared" si="36"/>
        <v/>
      </c>
      <c r="BG49" s="90" t="str">
        <f t="shared" si="37"/>
        <v/>
      </c>
      <c r="BH49" s="40"/>
      <c r="BI49" s="40"/>
      <c r="BJ49" s="40"/>
      <c r="BK49" s="40"/>
      <c r="BL49" s="90" t="str">
        <f t="shared" si="38"/>
        <v/>
      </c>
      <c r="BM49" s="90" t="str">
        <f t="shared" si="39"/>
        <v/>
      </c>
    </row>
    <row r="50" spans="1:65">
      <c r="A50" s="90">
        <f>'DATA SISWA'!A50</f>
        <v>46</v>
      </c>
      <c r="B50" s="90">
        <f>'DATA SISWA'!B50</f>
        <v>0</v>
      </c>
      <c r="C50" s="90">
        <f>'DATA SISWA'!C50</f>
        <v>0</v>
      </c>
      <c r="D50" s="90">
        <f>'DATA SISWA'!D50</f>
        <v>0</v>
      </c>
      <c r="E50" s="90" t="str">
        <f>'DATA SISWA'!E50</f>
        <v>VII-J</v>
      </c>
      <c r="F50" s="40"/>
      <c r="G50" s="40"/>
      <c r="H50" s="40"/>
      <c r="I50" s="40"/>
      <c r="J50" s="90" t="str">
        <f t="shared" si="20"/>
        <v/>
      </c>
      <c r="K50" s="90" t="str">
        <f t="shared" si="21"/>
        <v/>
      </c>
      <c r="L50" s="40"/>
      <c r="M50" s="40"/>
      <c r="N50" s="40"/>
      <c r="O50" s="40"/>
      <c r="P50" s="90" t="str">
        <f t="shared" si="22"/>
        <v/>
      </c>
      <c r="Q50" s="90" t="str">
        <f t="shared" si="23"/>
        <v/>
      </c>
      <c r="R50" s="40"/>
      <c r="S50" s="40"/>
      <c r="T50" s="40"/>
      <c r="U50" s="40"/>
      <c r="V50" s="90" t="str">
        <f t="shared" si="24"/>
        <v/>
      </c>
      <c r="W50" s="90" t="str">
        <f t="shared" si="25"/>
        <v/>
      </c>
      <c r="X50" s="40"/>
      <c r="Y50" s="40"/>
      <c r="Z50" s="40"/>
      <c r="AA50" s="40"/>
      <c r="AB50" s="90" t="str">
        <f t="shared" si="26"/>
        <v/>
      </c>
      <c r="AC50" s="90" t="str">
        <f t="shared" si="27"/>
        <v/>
      </c>
      <c r="AD50" s="40"/>
      <c r="AE50" s="40"/>
      <c r="AF50" s="40"/>
      <c r="AG50" s="40"/>
      <c r="AH50" s="90" t="str">
        <f t="shared" si="28"/>
        <v/>
      </c>
      <c r="AI50" s="90" t="str">
        <f t="shared" si="29"/>
        <v/>
      </c>
      <c r="AJ50" s="40"/>
      <c r="AK50" s="40"/>
      <c r="AL50" s="40"/>
      <c r="AM50" s="40"/>
      <c r="AN50" s="90" t="str">
        <f t="shared" si="30"/>
        <v/>
      </c>
      <c r="AO50" s="90" t="str">
        <f t="shared" si="31"/>
        <v/>
      </c>
      <c r="AP50" s="40"/>
      <c r="AQ50" s="40"/>
      <c r="AR50" s="40"/>
      <c r="AS50" s="40"/>
      <c r="AT50" s="90" t="str">
        <f t="shared" si="32"/>
        <v/>
      </c>
      <c r="AU50" s="90" t="str">
        <f t="shared" si="33"/>
        <v/>
      </c>
      <c r="AV50" s="40"/>
      <c r="AW50" s="40"/>
      <c r="AX50" s="40"/>
      <c r="AY50" s="40"/>
      <c r="AZ50" s="90" t="str">
        <f t="shared" si="34"/>
        <v/>
      </c>
      <c r="BA50" s="90" t="str">
        <f t="shared" si="35"/>
        <v/>
      </c>
      <c r="BB50" s="40"/>
      <c r="BC50" s="40"/>
      <c r="BD50" s="40"/>
      <c r="BE50" s="40"/>
      <c r="BF50" s="90" t="str">
        <f t="shared" si="36"/>
        <v/>
      </c>
      <c r="BG50" s="90" t="str">
        <f t="shared" si="37"/>
        <v/>
      </c>
      <c r="BH50" s="40"/>
      <c r="BI50" s="40"/>
      <c r="BJ50" s="40"/>
      <c r="BK50" s="40"/>
      <c r="BL50" s="90" t="str">
        <f t="shared" si="38"/>
        <v/>
      </c>
      <c r="BM50" s="90" t="str">
        <f t="shared" si="39"/>
        <v/>
      </c>
    </row>
    <row r="51" spans="1:65">
      <c r="A51" s="90">
        <f>'DATA SISWA'!A51</f>
        <v>47</v>
      </c>
      <c r="B51" s="90">
        <f>'DATA SISWA'!B51</f>
        <v>0</v>
      </c>
      <c r="C51" s="90">
        <f>'DATA SISWA'!C51</f>
        <v>0</v>
      </c>
      <c r="D51" s="90">
        <f>'DATA SISWA'!D51</f>
        <v>0</v>
      </c>
      <c r="E51" s="90" t="str">
        <f>'DATA SISWA'!E51</f>
        <v>VII-J</v>
      </c>
      <c r="F51" s="40"/>
      <c r="G51" s="40"/>
      <c r="H51" s="40"/>
      <c r="I51" s="40"/>
      <c r="J51" s="90" t="str">
        <f t="shared" si="20"/>
        <v/>
      </c>
      <c r="K51" s="90" t="str">
        <f t="shared" si="21"/>
        <v/>
      </c>
      <c r="L51" s="40"/>
      <c r="M51" s="40"/>
      <c r="N51" s="40"/>
      <c r="O51" s="40"/>
      <c r="P51" s="90" t="str">
        <f t="shared" si="22"/>
        <v/>
      </c>
      <c r="Q51" s="90" t="str">
        <f t="shared" si="23"/>
        <v/>
      </c>
      <c r="R51" s="40"/>
      <c r="S51" s="40"/>
      <c r="T51" s="40"/>
      <c r="U51" s="40"/>
      <c r="V51" s="90" t="str">
        <f t="shared" si="24"/>
        <v/>
      </c>
      <c r="W51" s="90" t="str">
        <f t="shared" si="25"/>
        <v/>
      </c>
      <c r="X51" s="40"/>
      <c r="Y51" s="40"/>
      <c r="Z51" s="40"/>
      <c r="AA51" s="40"/>
      <c r="AB51" s="90" t="str">
        <f t="shared" si="26"/>
        <v/>
      </c>
      <c r="AC51" s="90" t="str">
        <f t="shared" si="27"/>
        <v/>
      </c>
      <c r="AD51" s="40"/>
      <c r="AE51" s="40"/>
      <c r="AF51" s="40"/>
      <c r="AG51" s="40"/>
      <c r="AH51" s="90" t="str">
        <f t="shared" si="28"/>
        <v/>
      </c>
      <c r="AI51" s="90" t="str">
        <f t="shared" si="29"/>
        <v/>
      </c>
      <c r="AJ51" s="40"/>
      <c r="AK51" s="40"/>
      <c r="AL51" s="40"/>
      <c r="AM51" s="40"/>
      <c r="AN51" s="90" t="str">
        <f t="shared" si="30"/>
        <v/>
      </c>
      <c r="AO51" s="90" t="str">
        <f t="shared" si="31"/>
        <v/>
      </c>
      <c r="AP51" s="40"/>
      <c r="AQ51" s="40"/>
      <c r="AR51" s="40"/>
      <c r="AS51" s="40"/>
      <c r="AT51" s="90" t="str">
        <f t="shared" si="32"/>
        <v/>
      </c>
      <c r="AU51" s="90" t="str">
        <f t="shared" si="33"/>
        <v/>
      </c>
      <c r="AV51" s="40"/>
      <c r="AW51" s="40"/>
      <c r="AX51" s="40"/>
      <c r="AY51" s="40"/>
      <c r="AZ51" s="90" t="str">
        <f t="shared" si="34"/>
        <v/>
      </c>
      <c r="BA51" s="90" t="str">
        <f t="shared" si="35"/>
        <v/>
      </c>
      <c r="BB51" s="40"/>
      <c r="BC51" s="40"/>
      <c r="BD51" s="40"/>
      <c r="BE51" s="40"/>
      <c r="BF51" s="90" t="str">
        <f t="shared" si="36"/>
        <v/>
      </c>
      <c r="BG51" s="90" t="str">
        <f t="shared" si="37"/>
        <v/>
      </c>
      <c r="BH51" s="40"/>
      <c r="BI51" s="40"/>
      <c r="BJ51" s="40"/>
      <c r="BK51" s="40"/>
      <c r="BL51" s="90" t="str">
        <f t="shared" si="38"/>
        <v/>
      </c>
      <c r="BM51" s="90" t="str">
        <f t="shared" si="39"/>
        <v/>
      </c>
    </row>
    <row r="52" spans="1:65">
      <c r="A52" s="90">
        <f>'DATA SISWA'!A52</f>
        <v>48</v>
      </c>
      <c r="B52" s="90">
        <f>'DATA SISWA'!B52</f>
        <v>0</v>
      </c>
      <c r="C52" s="90">
        <f>'DATA SISWA'!C52</f>
        <v>0</v>
      </c>
      <c r="D52" s="90">
        <f>'DATA SISWA'!D52</f>
        <v>0</v>
      </c>
      <c r="E52" s="90" t="str">
        <f>'DATA SISWA'!E52</f>
        <v>VII-J</v>
      </c>
      <c r="F52" s="40"/>
      <c r="G52" s="40"/>
      <c r="H52" s="40"/>
      <c r="I52" s="40"/>
      <c r="J52" s="90" t="str">
        <f t="shared" si="20"/>
        <v/>
      </c>
      <c r="K52" s="90" t="str">
        <f t="shared" si="21"/>
        <v/>
      </c>
      <c r="L52" s="40"/>
      <c r="M52" s="40"/>
      <c r="N52" s="40"/>
      <c r="O52" s="40"/>
      <c r="P52" s="90" t="str">
        <f t="shared" si="22"/>
        <v/>
      </c>
      <c r="Q52" s="90" t="str">
        <f t="shared" si="23"/>
        <v/>
      </c>
      <c r="R52" s="40"/>
      <c r="S52" s="40"/>
      <c r="T52" s="40"/>
      <c r="U52" s="40"/>
      <c r="V52" s="90" t="str">
        <f t="shared" si="24"/>
        <v/>
      </c>
      <c r="W52" s="90" t="str">
        <f t="shared" si="25"/>
        <v/>
      </c>
      <c r="X52" s="40"/>
      <c r="Y52" s="40"/>
      <c r="Z52" s="40"/>
      <c r="AA52" s="40"/>
      <c r="AB52" s="90" t="str">
        <f t="shared" si="26"/>
        <v/>
      </c>
      <c r="AC52" s="90" t="str">
        <f t="shared" si="27"/>
        <v/>
      </c>
      <c r="AD52" s="40"/>
      <c r="AE52" s="40"/>
      <c r="AF52" s="40"/>
      <c r="AG52" s="40"/>
      <c r="AH52" s="90" t="str">
        <f t="shared" si="28"/>
        <v/>
      </c>
      <c r="AI52" s="90" t="str">
        <f t="shared" si="29"/>
        <v/>
      </c>
      <c r="AJ52" s="40"/>
      <c r="AK52" s="40"/>
      <c r="AL52" s="40"/>
      <c r="AM52" s="40"/>
      <c r="AN52" s="90" t="str">
        <f t="shared" si="30"/>
        <v/>
      </c>
      <c r="AO52" s="90" t="str">
        <f t="shared" si="31"/>
        <v/>
      </c>
      <c r="AP52" s="40"/>
      <c r="AQ52" s="40"/>
      <c r="AR52" s="40"/>
      <c r="AS52" s="40"/>
      <c r="AT52" s="90" t="str">
        <f t="shared" si="32"/>
        <v/>
      </c>
      <c r="AU52" s="90" t="str">
        <f t="shared" si="33"/>
        <v/>
      </c>
      <c r="AV52" s="40"/>
      <c r="AW52" s="40"/>
      <c r="AX52" s="40"/>
      <c r="AY52" s="40"/>
      <c r="AZ52" s="90" t="str">
        <f t="shared" si="34"/>
        <v/>
      </c>
      <c r="BA52" s="90" t="str">
        <f t="shared" si="35"/>
        <v/>
      </c>
      <c r="BB52" s="40"/>
      <c r="BC52" s="40"/>
      <c r="BD52" s="40"/>
      <c r="BE52" s="40"/>
      <c r="BF52" s="90" t="str">
        <f t="shared" si="36"/>
        <v/>
      </c>
      <c r="BG52" s="90" t="str">
        <f t="shared" si="37"/>
        <v/>
      </c>
      <c r="BH52" s="40"/>
      <c r="BI52" s="40"/>
      <c r="BJ52" s="40"/>
      <c r="BK52" s="40"/>
      <c r="BL52" s="90" t="str">
        <f t="shared" si="38"/>
        <v/>
      </c>
      <c r="BM52" s="90" t="str">
        <f t="shared" si="39"/>
        <v/>
      </c>
    </row>
    <row r="53" spans="1:65">
      <c r="A53" s="90">
        <f>'DATA SISWA'!A53</f>
        <v>0</v>
      </c>
      <c r="B53" s="90">
        <f>'DATA SISWA'!B53</f>
        <v>0</v>
      </c>
      <c r="C53" s="90">
        <f>'DATA SISWA'!C53</f>
        <v>0</v>
      </c>
      <c r="D53" s="90">
        <f>'DATA SISWA'!D53</f>
        <v>0</v>
      </c>
      <c r="E53" s="90">
        <f>'DATA SISWA'!E53</f>
        <v>0</v>
      </c>
      <c r="F53" s="40"/>
      <c r="G53" s="40"/>
      <c r="H53" s="40"/>
      <c r="I53" s="40"/>
      <c r="J53" s="90" t="str">
        <f t="shared" si="20"/>
        <v/>
      </c>
      <c r="K53" s="90" t="str">
        <f t="shared" si="21"/>
        <v/>
      </c>
      <c r="L53" s="40"/>
      <c r="M53" s="40"/>
      <c r="N53" s="40"/>
      <c r="O53" s="40"/>
      <c r="P53" s="90" t="str">
        <f t="shared" si="22"/>
        <v/>
      </c>
      <c r="Q53" s="90" t="str">
        <f t="shared" si="23"/>
        <v/>
      </c>
      <c r="R53" s="40"/>
      <c r="S53" s="40"/>
      <c r="T53" s="40"/>
      <c r="U53" s="40"/>
      <c r="V53" s="90" t="str">
        <f t="shared" si="24"/>
        <v/>
      </c>
      <c r="W53" s="90" t="str">
        <f t="shared" si="25"/>
        <v/>
      </c>
      <c r="X53" s="40"/>
      <c r="Y53" s="40"/>
      <c r="Z53" s="40"/>
      <c r="AA53" s="40"/>
      <c r="AB53" s="90" t="str">
        <f t="shared" si="26"/>
        <v/>
      </c>
      <c r="AC53" s="90" t="str">
        <f t="shared" si="27"/>
        <v/>
      </c>
      <c r="AD53" s="40"/>
      <c r="AE53" s="40"/>
      <c r="AF53" s="40"/>
      <c r="AG53" s="40"/>
      <c r="AH53" s="90" t="str">
        <f t="shared" si="28"/>
        <v/>
      </c>
      <c r="AI53" s="90" t="str">
        <f t="shared" si="29"/>
        <v/>
      </c>
      <c r="AJ53" s="40"/>
      <c r="AK53" s="40"/>
      <c r="AL53" s="40"/>
      <c r="AM53" s="40"/>
      <c r="AN53" s="90" t="str">
        <f t="shared" si="30"/>
        <v/>
      </c>
      <c r="AO53" s="90" t="str">
        <f t="shared" si="31"/>
        <v/>
      </c>
      <c r="AP53" s="40"/>
      <c r="AQ53" s="40"/>
      <c r="AR53" s="40"/>
      <c r="AS53" s="40"/>
      <c r="AT53" s="90" t="str">
        <f t="shared" si="32"/>
        <v/>
      </c>
      <c r="AU53" s="90" t="str">
        <f t="shared" si="33"/>
        <v/>
      </c>
      <c r="AV53" s="40"/>
      <c r="AW53" s="40"/>
      <c r="AX53" s="40"/>
      <c r="AY53" s="40"/>
      <c r="AZ53" s="90" t="str">
        <f t="shared" si="34"/>
        <v/>
      </c>
      <c r="BA53" s="90" t="str">
        <f t="shared" si="35"/>
        <v/>
      </c>
      <c r="BB53" s="40"/>
      <c r="BC53" s="40"/>
      <c r="BD53" s="40"/>
      <c r="BE53" s="40"/>
      <c r="BF53" s="90" t="str">
        <f t="shared" si="36"/>
        <v/>
      </c>
      <c r="BG53" s="90" t="str">
        <f t="shared" si="37"/>
        <v/>
      </c>
      <c r="BH53" s="40"/>
      <c r="BI53" s="40"/>
      <c r="BJ53" s="40"/>
      <c r="BK53" s="40"/>
      <c r="BL53" s="90" t="str">
        <f t="shared" si="38"/>
        <v/>
      </c>
      <c r="BM53" s="90" t="str">
        <f t="shared" si="39"/>
        <v/>
      </c>
    </row>
  </sheetData>
  <sheetProtection password="C522" sheet="1" objects="1" scenarios="1" formatCells="0" formatColumns="0" formatRows="0" insertColumns="0" insertRows="0" insertHyperlinks="0" deleteColumns="0" deleteRows="0"/>
  <mergeCells count="35">
    <mergeCell ref="AP1:AT1"/>
    <mergeCell ref="AU1:AU3"/>
    <mergeCell ref="AP2:AT2"/>
    <mergeCell ref="AV1:AZ1"/>
    <mergeCell ref="BA1:BA3"/>
    <mergeCell ref="AV2:AZ2"/>
    <mergeCell ref="BB1:BF1"/>
    <mergeCell ref="BG1:BG3"/>
    <mergeCell ref="BB2:BF2"/>
    <mergeCell ref="BH1:BL1"/>
    <mergeCell ref="BM1:BM3"/>
    <mergeCell ref="BH2:BL2"/>
    <mergeCell ref="AO1:AO3"/>
    <mergeCell ref="AJ2:AN2"/>
    <mergeCell ref="L1:P1"/>
    <mergeCell ref="Q1:Q3"/>
    <mergeCell ref="L2:P2"/>
    <mergeCell ref="R1:V1"/>
    <mergeCell ref="R2:V2"/>
    <mergeCell ref="X1:AB1"/>
    <mergeCell ref="AC1:AC3"/>
    <mergeCell ref="X2:AB2"/>
    <mergeCell ref="AD1:AH1"/>
    <mergeCell ref="AD2:AH2"/>
    <mergeCell ref="AJ1:AN1"/>
    <mergeCell ref="F2:J2"/>
    <mergeCell ref="AI1:AI3"/>
    <mergeCell ref="W1:W3"/>
    <mergeCell ref="K1:K3"/>
    <mergeCell ref="A1:A3"/>
    <mergeCell ref="B1:B3"/>
    <mergeCell ref="C1:C3"/>
    <mergeCell ref="D1:D3"/>
    <mergeCell ref="E1:E3"/>
    <mergeCell ref="F1:J1"/>
  </mergeCells>
  <conditionalFormatting sqref="F26">
    <cfRule type="expression" dxfId="677" priority="79">
      <formula>MOD(COLUMN(),2)=1</formula>
    </cfRule>
  </conditionalFormatting>
  <conditionalFormatting sqref="F26">
    <cfRule type="expression" dxfId="676" priority="78">
      <formula>MOD(COLUMN(),2)=1</formula>
    </cfRule>
  </conditionalFormatting>
  <conditionalFormatting sqref="F5">
    <cfRule type="expression" dxfId="675" priority="77">
      <formula>MOD(COLUMN(),2)=1</formula>
    </cfRule>
  </conditionalFormatting>
  <conditionalFormatting sqref="G5:I5 G29:I29 G33:I33 G37:I37 G41:I41 G45:I45 G49:I49 G53:I53 G9:I9 G13:I13 G17:I17 G21:I21 G25:I25">
    <cfRule type="expression" dxfId="674" priority="76">
      <formula>MOD(COLUMN(),2)=1</formula>
    </cfRule>
  </conditionalFormatting>
  <conditionalFormatting sqref="F6:F53">
    <cfRule type="expression" dxfId="673" priority="75">
      <formula>MOD(COLUMN(),2)=1</formula>
    </cfRule>
  </conditionalFormatting>
  <conditionalFormatting sqref="G6:I53">
    <cfRule type="expression" dxfId="672" priority="74">
      <formula>MOD(COLUMN(),2)=1</formula>
    </cfRule>
  </conditionalFormatting>
  <conditionalFormatting sqref="L26">
    <cfRule type="expression" dxfId="671" priority="73">
      <formula>MOD(COLUMN(),2)=1</formula>
    </cfRule>
  </conditionalFormatting>
  <conditionalFormatting sqref="L26">
    <cfRule type="expression" dxfId="670" priority="72">
      <formula>MOD(COLUMN(),2)=1</formula>
    </cfRule>
  </conditionalFormatting>
  <conditionalFormatting sqref="L5">
    <cfRule type="expression" dxfId="669" priority="71">
      <formula>MOD(COLUMN(),2)=1</formula>
    </cfRule>
  </conditionalFormatting>
  <conditionalFormatting sqref="M5:O5">
    <cfRule type="expression" dxfId="668" priority="70">
      <formula>MOD(COLUMN(),2)=1</formula>
    </cfRule>
  </conditionalFormatting>
  <conditionalFormatting sqref="L6:L53">
    <cfRule type="expression" dxfId="667" priority="69">
      <formula>MOD(COLUMN(),2)=1</formula>
    </cfRule>
  </conditionalFormatting>
  <conditionalFormatting sqref="M6:O53">
    <cfRule type="expression" dxfId="666" priority="68">
      <formula>MOD(COLUMN(),2)=1</formula>
    </cfRule>
  </conditionalFormatting>
  <conditionalFormatting sqref="R26">
    <cfRule type="expression" dxfId="665" priority="67">
      <formula>MOD(COLUMN(),2)=1</formula>
    </cfRule>
  </conditionalFormatting>
  <conditionalFormatting sqref="R26">
    <cfRule type="expression" dxfId="664" priority="66">
      <formula>MOD(COLUMN(),2)=1</formula>
    </cfRule>
  </conditionalFormatting>
  <conditionalFormatting sqref="R5">
    <cfRule type="expression" dxfId="663" priority="65">
      <formula>MOD(COLUMN(),2)=1</formula>
    </cfRule>
  </conditionalFormatting>
  <conditionalFormatting sqref="S5:U5">
    <cfRule type="expression" dxfId="662" priority="64">
      <formula>MOD(COLUMN(),2)=1</formula>
    </cfRule>
  </conditionalFormatting>
  <conditionalFormatting sqref="R6:R53">
    <cfRule type="expression" dxfId="661" priority="63">
      <formula>MOD(COLUMN(),2)=1</formula>
    </cfRule>
  </conditionalFormatting>
  <conditionalFormatting sqref="S6:U53">
    <cfRule type="expression" dxfId="660" priority="62">
      <formula>MOD(COLUMN(),2)=1</formula>
    </cfRule>
  </conditionalFormatting>
  <conditionalFormatting sqref="X26">
    <cfRule type="expression" dxfId="659" priority="61">
      <formula>MOD(COLUMN(),2)=1</formula>
    </cfRule>
  </conditionalFormatting>
  <conditionalFormatting sqref="X26">
    <cfRule type="expression" dxfId="658" priority="60">
      <formula>MOD(COLUMN(),2)=1</formula>
    </cfRule>
  </conditionalFormatting>
  <conditionalFormatting sqref="X5">
    <cfRule type="expression" dxfId="657" priority="59">
      <formula>MOD(COLUMN(),2)=1</formula>
    </cfRule>
  </conditionalFormatting>
  <conditionalFormatting sqref="Y5:AA5">
    <cfRule type="expression" dxfId="656" priority="58">
      <formula>MOD(COLUMN(),2)=1</formula>
    </cfRule>
  </conditionalFormatting>
  <conditionalFormatting sqref="X6:X53">
    <cfRule type="expression" dxfId="655" priority="57">
      <formula>MOD(COLUMN(),2)=1</formula>
    </cfRule>
  </conditionalFormatting>
  <conditionalFormatting sqref="Y6:AA53">
    <cfRule type="expression" dxfId="654" priority="56">
      <formula>MOD(COLUMN(),2)=1</formula>
    </cfRule>
  </conditionalFormatting>
  <conditionalFormatting sqref="AD26">
    <cfRule type="expression" dxfId="653" priority="55">
      <formula>MOD(COLUMN(),2)=1</formula>
    </cfRule>
  </conditionalFormatting>
  <conditionalFormatting sqref="AD26">
    <cfRule type="expression" dxfId="652" priority="54">
      <formula>MOD(COLUMN(),2)=1</formula>
    </cfRule>
  </conditionalFormatting>
  <conditionalFormatting sqref="AD5">
    <cfRule type="expression" dxfId="651" priority="53">
      <formula>MOD(COLUMN(),2)=1</formula>
    </cfRule>
  </conditionalFormatting>
  <conditionalFormatting sqref="AE5:AG5">
    <cfRule type="expression" dxfId="650" priority="52">
      <formula>MOD(COLUMN(),2)=1</formula>
    </cfRule>
  </conditionalFormatting>
  <conditionalFormatting sqref="AD6:AD53">
    <cfRule type="expression" dxfId="649" priority="51">
      <formula>MOD(COLUMN(),2)=1</formula>
    </cfRule>
  </conditionalFormatting>
  <conditionalFormatting sqref="AE6:AG53">
    <cfRule type="expression" dxfId="648" priority="50">
      <formula>MOD(COLUMN(),2)=1</formula>
    </cfRule>
  </conditionalFormatting>
  <conditionalFormatting sqref="AJ26">
    <cfRule type="expression" dxfId="647" priority="49">
      <formula>MOD(COLUMN(),2)=1</formula>
    </cfRule>
  </conditionalFormatting>
  <conditionalFormatting sqref="AJ26">
    <cfRule type="expression" dxfId="646" priority="48">
      <formula>MOD(COLUMN(),2)=1</formula>
    </cfRule>
  </conditionalFormatting>
  <conditionalFormatting sqref="AJ5">
    <cfRule type="expression" dxfId="645" priority="47">
      <formula>MOD(COLUMN(),2)=1</formula>
    </cfRule>
  </conditionalFormatting>
  <conditionalFormatting sqref="AK5:AM5">
    <cfRule type="expression" dxfId="644" priority="46">
      <formula>MOD(COLUMN(),2)=1</formula>
    </cfRule>
  </conditionalFormatting>
  <conditionalFormatting sqref="AJ6:AJ53">
    <cfRule type="expression" dxfId="643" priority="45">
      <formula>MOD(COLUMN(),2)=1</formula>
    </cfRule>
  </conditionalFormatting>
  <conditionalFormatting sqref="AK6:AM53">
    <cfRule type="expression" dxfId="642" priority="44">
      <formula>MOD(COLUMN(),2)=1</formula>
    </cfRule>
  </conditionalFormatting>
  <conditionalFormatting sqref="AP26">
    <cfRule type="expression" dxfId="641" priority="43">
      <formula>MOD(COLUMN(),2)=1</formula>
    </cfRule>
  </conditionalFormatting>
  <conditionalFormatting sqref="AP26">
    <cfRule type="expression" dxfId="640" priority="42">
      <formula>MOD(COLUMN(),2)=1</formula>
    </cfRule>
  </conditionalFormatting>
  <conditionalFormatting sqref="AP5">
    <cfRule type="expression" dxfId="639" priority="41">
      <formula>MOD(COLUMN(),2)=1</formula>
    </cfRule>
  </conditionalFormatting>
  <conditionalFormatting sqref="AQ5:AS5">
    <cfRule type="expression" dxfId="638" priority="40">
      <formula>MOD(COLUMN(),2)=1</formula>
    </cfRule>
  </conditionalFormatting>
  <conditionalFormatting sqref="AP6:AP53">
    <cfRule type="expression" dxfId="637" priority="39">
      <formula>MOD(COLUMN(),2)=1</formula>
    </cfRule>
  </conditionalFormatting>
  <conditionalFormatting sqref="AQ6:AS53">
    <cfRule type="expression" dxfId="636" priority="38">
      <formula>MOD(COLUMN(),2)=1</formula>
    </cfRule>
  </conditionalFormatting>
  <conditionalFormatting sqref="AV26">
    <cfRule type="expression" dxfId="635" priority="37">
      <formula>MOD(COLUMN(),2)=1</formula>
    </cfRule>
  </conditionalFormatting>
  <conditionalFormatting sqref="AV26">
    <cfRule type="expression" dxfId="634" priority="36">
      <formula>MOD(COLUMN(),2)=1</formula>
    </cfRule>
  </conditionalFormatting>
  <conditionalFormatting sqref="AV5">
    <cfRule type="expression" dxfId="633" priority="35">
      <formula>MOD(COLUMN(),2)=1</formula>
    </cfRule>
  </conditionalFormatting>
  <conditionalFormatting sqref="AW5:AY5">
    <cfRule type="expression" dxfId="632" priority="34">
      <formula>MOD(COLUMN(),2)=1</formula>
    </cfRule>
  </conditionalFormatting>
  <conditionalFormatting sqref="AV6:AV53">
    <cfRule type="expression" dxfId="631" priority="33">
      <formula>MOD(COLUMN(),2)=1</formula>
    </cfRule>
  </conditionalFormatting>
  <conditionalFormatting sqref="AW6:AY53">
    <cfRule type="expression" dxfId="630" priority="32">
      <formula>MOD(COLUMN(),2)=1</formula>
    </cfRule>
  </conditionalFormatting>
  <conditionalFormatting sqref="BB26">
    <cfRule type="expression" dxfId="629" priority="31">
      <formula>MOD(COLUMN(),2)=1</formula>
    </cfRule>
  </conditionalFormatting>
  <conditionalFormatting sqref="BB26">
    <cfRule type="expression" dxfId="628" priority="30">
      <formula>MOD(COLUMN(),2)=1</formula>
    </cfRule>
  </conditionalFormatting>
  <conditionalFormatting sqref="BB5">
    <cfRule type="expression" dxfId="627" priority="29">
      <formula>MOD(COLUMN(),2)=1</formula>
    </cfRule>
  </conditionalFormatting>
  <conditionalFormatting sqref="BC5:BE5">
    <cfRule type="expression" dxfId="626" priority="28">
      <formula>MOD(COLUMN(),2)=1</formula>
    </cfRule>
  </conditionalFormatting>
  <conditionalFormatting sqref="BB6:BB53">
    <cfRule type="expression" dxfId="625" priority="27">
      <formula>MOD(COLUMN(),2)=1</formula>
    </cfRule>
  </conditionalFormatting>
  <conditionalFormatting sqref="BC6:BE53">
    <cfRule type="expression" dxfId="624" priority="26">
      <formula>MOD(COLUMN(),2)=1</formula>
    </cfRule>
  </conditionalFormatting>
  <conditionalFormatting sqref="BH26">
    <cfRule type="expression" dxfId="623" priority="25">
      <formula>MOD(COLUMN(),2)=1</formula>
    </cfRule>
  </conditionalFormatting>
  <conditionalFormatting sqref="BH26">
    <cfRule type="expression" dxfId="622" priority="24">
      <formula>MOD(COLUMN(),2)=1</formula>
    </cfRule>
  </conditionalFormatting>
  <conditionalFormatting sqref="BH5">
    <cfRule type="expression" dxfId="621" priority="23">
      <formula>MOD(COLUMN(),2)=1</formula>
    </cfRule>
  </conditionalFormatting>
  <conditionalFormatting sqref="BI5:BK5">
    <cfRule type="expression" dxfId="620" priority="22">
      <formula>MOD(COLUMN(),2)=1</formula>
    </cfRule>
  </conditionalFormatting>
  <conditionalFormatting sqref="BH6:BH53">
    <cfRule type="expression" dxfId="619" priority="21">
      <formula>MOD(COLUMN(),2)=1</formula>
    </cfRule>
  </conditionalFormatting>
  <conditionalFormatting sqref="BI6:BK53">
    <cfRule type="expression" dxfId="618" priority="20">
      <formula>MOD(COLUMN(),2)=1</formula>
    </cfRule>
  </conditionalFormatting>
  <conditionalFormatting sqref="X5">
    <cfRule type="expression" dxfId="617" priority="19">
      <formula>MOD(COLUMN(),2)=1</formula>
    </cfRule>
  </conditionalFormatting>
  <conditionalFormatting sqref="Y5:AA5">
    <cfRule type="expression" dxfId="616" priority="18">
      <formula>MOD(COLUMN(),2)=1</formula>
    </cfRule>
  </conditionalFormatting>
  <conditionalFormatting sqref="AD5">
    <cfRule type="expression" dxfId="615" priority="17">
      <formula>MOD(COLUMN(),2)=1</formula>
    </cfRule>
  </conditionalFormatting>
  <conditionalFormatting sqref="AE5:AG5">
    <cfRule type="expression" dxfId="614" priority="16">
      <formula>MOD(COLUMN(),2)=1</formula>
    </cfRule>
  </conditionalFormatting>
  <conditionalFormatting sqref="AJ5">
    <cfRule type="expression" dxfId="613" priority="15">
      <formula>MOD(COLUMN(),2)=1</formula>
    </cfRule>
  </conditionalFormatting>
  <conditionalFormatting sqref="AK5:AM5">
    <cfRule type="expression" dxfId="612" priority="14">
      <formula>MOD(COLUMN(),2)=1</formula>
    </cfRule>
  </conditionalFormatting>
  <conditionalFormatting sqref="AP5">
    <cfRule type="expression" dxfId="611" priority="13">
      <formula>MOD(COLUMN(),2)=1</formula>
    </cfRule>
  </conditionalFormatting>
  <conditionalFormatting sqref="AQ5:AS5">
    <cfRule type="expression" dxfId="610" priority="12">
      <formula>MOD(COLUMN(),2)=1</formula>
    </cfRule>
  </conditionalFormatting>
  <conditionalFormatting sqref="AV5">
    <cfRule type="expression" dxfId="609" priority="11">
      <formula>MOD(COLUMN(),2)=1</formula>
    </cfRule>
  </conditionalFormatting>
  <conditionalFormatting sqref="AW5:AY5">
    <cfRule type="expression" dxfId="608" priority="10">
      <formula>MOD(COLUMN(),2)=1</formula>
    </cfRule>
  </conditionalFormatting>
  <conditionalFormatting sqref="BB5">
    <cfRule type="expression" dxfId="607" priority="9">
      <formula>MOD(COLUMN(),2)=1</formula>
    </cfRule>
  </conditionalFormatting>
  <conditionalFormatting sqref="BC5:BE5">
    <cfRule type="expression" dxfId="606" priority="8">
      <formula>MOD(COLUMN(),2)=1</formula>
    </cfRule>
  </conditionalFormatting>
  <conditionalFormatting sqref="BH5">
    <cfRule type="expression" dxfId="605" priority="7">
      <formula>MOD(COLUMN(),2)=1</formula>
    </cfRule>
  </conditionalFormatting>
  <conditionalFormatting sqref="BI5:BK5">
    <cfRule type="expression" dxfId="604" priority="6">
      <formula>MOD(COLUMN(),2)=1</formula>
    </cfRule>
  </conditionalFormatting>
  <conditionalFormatting sqref="F9">
    <cfRule type="expression" dxfId="603" priority="5">
      <formula>MOD(COLUMN(),2)=1</formula>
    </cfRule>
  </conditionalFormatting>
  <conditionalFormatting sqref="F13">
    <cfRule type="expression" dxfId="602" priority="4">
      <formula>MOD(COLUMN(),2)=1</formula>
    </cfRule>
  </conditionalFormatting>
  <conditionalFormatting sqref="F17">
    <cfRule type="expression" dxfId="601" priority="3">
      <formula>MOD(COLUMN(),2)=1</formula>
    </cfRule>
  </conditionalFormatting>
  <conditionalFormatting sqref="F21">
    <cfRule type="expression" dxfId="600" priority="2">
      <formula>MOD(COLUMN(),2)=1</formula>
    </cfRule>
  </conditionalFormatting>
  <conditionalFormatting sqref="F25">
    <cfRule type="expression" dxfId="599" priority="1">
      <formula>MOD(COLUMN(),2)=1</formula>
    </cfRule>
  </conditionalFormatting>
  <dataValidations count="1">
    <dataValidation type="whole" allowBlank="1" showInputMessage="1" showErrorMessage="1" errorTitle="STOP" error="ANGKA YANG DIMASUKAN MELEBIHI 4" prompt="4 =  Selalu&#10;3 = Sering&#10;2 = Kadang2&#10;1 = Tidak Pernah" sqref="F5:I53 L5:O53 R5:U53 X5:AA53 AD5:AG53 AJ5:AM53 AP5:AS53 AV5:AY53 BB5:BE53 BH5:BK53">
      <formula1>1</formula1>
      <formula2>4</formula2>
    </dataValidation>
  </dataValidations>
  <pageMargins left="0.7" right="0.7" top="0.75" bottom="0.75" header="0.3" footer="0.3"/>
  <drawing r:id="rId1"/>
  <legacyDrawing r:id="rId2"/>
</worksheet>
</file>

<file path=xl/worksheets/sheet17.xml><?xml version="1.0" encoding="utf-8"?>
<worksheet xmlns="http://schemas.openxmlformats.org/spreadsheetml/2006/main" xmlns:r="http://schemas.openxmlformats.org/officeDocument/2006/relationships">
  <sheetPr codeName="Sheet11"/>
  <dimension ref="A1:F55"/>
  <sheetViews>
    <sheetView workbookViewId="0">
      <selection activeCell="I13" sqref="I13"/>
    </sheetView>
  </sheetViews>
  <sheetFormatPr defaultRowHeight="15"/>
  <cols>
    <col min="1" max="1" width="5.28515625" customWidth="1"/>
    <col min="2" max="2" width="69.28515625" customWidth="1"/>
    <col min="3" max="6" width="5.28515625" customWidth="1"/>
  </cols>
  <sheetData>
    <row r="1" spans="1:6" ht="22.5">
      <c r="A1" s="2" t="s">
        <v>52</v>
      </c>
      <c r="B1" s="3"/>
      <c r="C1" s="3"/>
      <c r="D1" s="3"/>
      <c r="E1" s="3"/>
      <c r="F1" s="3"/>
    </row>
    <row r="2" spans="1:6" ht="15.75">
      <c r="A2" s="4"/>
      <c r="B2" s="5"/>
      <c r="C2" s="5"/>
      <c r="D2" s="5"/>
      <c r="E2" s="5"/>
      <c r="F2" s="5"/>
    </row>
    <row r="3" spans="1:6" ht="15.75">
      <c r="A3" s="5"/>
      <c r="B3" s="5"/>
      <c r="C3" s="6"/>
      <c r="D3" s="5" t="s">
        <v>53</v>
      </c>
      <c r="E3" s="5"/>
      <c r="F3" s="5"/>
    </row>
    <row r="4" spans="1:6" ht="15.75">
      <c r="A4" s="5"/>
      <c r="B4" s="5"/>
      <c r="C4" s="6"/>
      <c r="D4" s="5" t="s">
        <v>54</v>
      </c>
      <c r="E4" s="5"/>
      <c r="F4" s="5"/>
    </row>
    <row r="5" spans="1:6" ht="15.75">
      <c r="A5" s="5"/>
      <c r="B5" s="5"/>
      <c r="C5" s="6"/>
      <c r="D5" s="5" t="s">
        <v>55</v>
      </c>
      <c r="E5" s="5"/>
      <c r="F5" s="5"/>
    </row>
    <row r="6" spans="1:6" ht="15.75">
      <c r="A6" s="5"/>
      <c r="B6" s="5"/>
      <c r="C6" s="6"/>
      <c r="D6" s="5" t="s">
        <v>56</v>
      </c>
      <c r="E6" s="5"/>
      <c r="F6" s="5"/>
    </row>
    <row r="7" spans="1:6" ht="15.75">
      <c r="A7" s="5"/>
      <c r="B7" s="5"/>
      <c r="C7" s="6"/>
      <c r="D7" s="5"/>
      <c r="E7" s="5"/>
      <c r="F7" s="5"/>
    </row>
    <row r="8" spans="1:6" ht="15.75">
      <c r="A8" s="7" t="s">
        <v>57</v>
      </c>
      <c r="B8" s="7"/>
      <c r="C8" s="7"/>
      <c r="D8" s="7"/>
      <c r="E8" s="7"/>
      <c r="F8" s="7"/>
    </row>
    <row r="9" spans="1:6" ht="15.75">
      <c r="A9" s="616" t="s">
        <v>58</v>
      </c>
      <c r="B9" s="616" t="s">
        <v>59</v>
      </c>
      <c r="C9" s="616" t="s">
        <v>60</v>
      </c>
      <c r="D9" s="616"/>
      <c r="E9" s="616"/>
      <c r="F9" s="616"/>
    </row>
    <row r="10" spans="1:6" ht="15.75">
      <c r="A10" s="616"/>
      <c r="B10" s="616"/>
      <c r="C10" s="8">
        <v>1</v>
      </c>
      <c r="D10" s="8">
        <v>2</v>
      </c>
      <c r="E10" s="8">
        <v>3</v>
      </c>
      <c r="F10" s="8">
        <v>4</v>
      </c>
    </row>
    <row r="11" spans="1:6" ht="15.75">
      <c r="A11" s="9"/>
      <c r="B11" s="10"/>
      <c r="C11" s="9"/>
      <c r="D11" s="9"/>
      <c r="E11" s="9"/>
      <c r="F11" s="9"/>
    </row>
    <row r="12" spans="1:6" ht="15.75">
      <c r="A12" s="11">
        <v>1</v>
      </c>
      <c r="B12" s="12" t="s">
        <v>61</v>
      </c>
      <c r="C12" s="11"/>
      <c r="D12" s="11"/>
      <c r="E12" s="11"/>
      <c r="F12" s="11"/>
    </row>
    <row r="13" spans="1:6" ht="31.5">
      <c r="A13" s="11">
        <v>2</v>
      </c>
      <c r="B13" s="13" t="s">
        <v>62</v>
      </c>
      <c r="C13" s="11"/>
      <c r="D13" s="11"/>
      <c r="E13" s="11"/>
      <c r="F13" s="11"/>
    </row>
    <row r="14" spans="1:6" ht="15.75">
      <c r="A14" s="11">
        <v>3</v>
      </c>
      <c r="B14" s="12" t="s">
        <v>63</v>
      </c>
      <c r="C14" s="11"/>
      <c r="D14" s="11"/>
      <c r="E14" s="11"/>
      <c r="F14" s="11"/>
    </row>
    <row r="15" spans="1:6" ht="15.75">
      <c r="A15" s="11">
        <v>4</v>
      </c>
      <c r="B15" s="12" t="s">
        <v>64</v>
      </c>
      <c r="C15" s="11"/>
      <c r="D15" s="11"/>
      <c r="E15" s="11"/>
      <c r="F15" s="11"/>
    </row>
    <row r="16" spans="1:6" ht="15.75">
      <c r="A16" s="11">
        <v>5</v>
      </c>
      <c r="B16" s="12" t="s">
        <v>65</v>
      </c>
      <c r="C16" s="11"/>
      <c r="D16" s="11"/>
      <c r="E16" s="11"/>
      <c r="F16" s="11"/>
    </row>
    <row r="17" spans="1:6" ht="15.75">
      <c r="A17" s="9"/>
      <c r="B17" s="14"/>
      <c r="C17" s="9"/>
      <c r="D17" s="9"/>
      <c r="E17" s="9"/>
      <c r="F17" s="9"/>
    </row>
    <row r="18" spans="1:6" ht="15.75">
      <c r="A18" s="15">
        <v>1</v>
      </c>
      <c r="B18" s="16" t="s">
        <v>66</v>
      </c>
      <c r="C18" s="15"/>
      <c r="D18" s="15"/>
      <c r="E18" s="15"/>
      <c r="F18" s="15"/>
    </row>
    <row r="19" spans="1:6" ht="15.75">
      <c r="A19" s="15">
        <v>2</v>
      </c>
      <c r="B19" s="16" t="s">
        <v>67</v>
      </c>
      <c r="C19" s="15"/>
      <c r="D19" s="15"/>
      <c r="E19" s="15"/>
      <c r="F19" s="15"/>
    </row>
    <row r="20" spans="1:6" ht="15.75">
      <c r="A20" s="15">
        <v>3</v>
      </c>
      <c r="B20" s="16" t="s">
        <v>68</v>
      </c>
      <c r="C20" s="15"/>
      <c r="D20" s="15"/>
      <c r="E20" s="15"/>
      <c r="F20" s="15"/>
    </row>
    <row r="21" spans="1:6" ht="15.75">
      <c r="A21" s="15">
        <v>4</v>
      </c>
      <c r="B21" s="16" t="s">
        <v>69</v>
      </c>
      <c r="C21" s="15"/>
      <c r="D21" s="15"/>
      <c r="E21" s="15"/>
      <c r="F21" s="15"/>
    </row>
    <row r="22" spans="1:6" ht="15.75">
      <c r="A22" s="15">
        <v>5</v>
      </c>
      <c r="B22" s="16" t="s">
        <v>70</v>
      </c>
      <c r="C22" s="15"/>
      <c r="D22" s="15"/>
      <c r="E22" s="15"/>
      <c r="F22" s="15"/>
    </row>
    <row r="23" spans="1:6" ht="15.75">
      <c r="A23" s="15">
        <v>6</v>
      </c>
      <c r="B23" s="16" t="s">
        <v>71</v>
      </c>
      <c r="C23" s="15"/>
      <c r="D23" s="15"/>
      <c r="E23" s="15"/>
      <c r="F23" s="15"/>
    </row>
    <row r="24" spans="1:6" ht="15.75">
      <c r="A24" s="15">
        <v>7</v>
      </c>
      <c r="B24" s="16" t="s">
        <v>72</v>
      </c>
      <c r="C24" s="15"/>
      <c r="D24" s="15"/>
      <c r="E24" s="15"/>
      <c r="F24" s="15"/>
    </row>
    <row r="25" spans="1:6" ht="15.75">
      <c r="A25" s="15">
        <v>8</v>
      </c>
      <c r="B25" s="16" t="s">
        <v>73</v>
      </c>
      <c r="C25" s="15"/>
      <c r="D25" s="15"/>
      <c r="E25" s="15"/>
      <c r="F25" s="15"/>
    </row>
    <row r="26" spans="1:6" ht="15.75">
      <c r="A26" s="9"/>
      <c r="B26" s="14"/>
      <c r="C26" s="9"/>
      <c r="D26" s="9"/>
      <c r="E26" s="9"/>
      <c r="F26" s="9"/>
    </row>
    <row r="27" spans="1:6" ht="15.75">
      <c r="A27" s="11">
        <v>1</v>
      </c>
      <c r="B27" s="12" t="s">
        <v>74</v>
      </c>
      <c r="C27" s="11"/>
      <c r="D27" s="11"/>
      <c r="E27" s="11"/>
      <c r="F27" s="11"/>
    </row>
    <row r="28" spans="1:6" ht="15.75">
      <c r="A28" s="11">
        <v>2</v>
      </c>
      <c r="B28" s="12" t="s">
        <v>75</v>
      </c>
      <c r="C28" s="11"/>
      <c r="D28" s="11"/>
      <c r="E28" s="11"/>
      <c r="F28" s="11"/>
    </row>
    <row r="29" spans="1:6" ht="15.75">
      <c r="A29" s="11">
        <v>3</v>
      </c>
      <c r="B29" s="12" t="s">
        <v>76</v>
      </c>
      <c r="C29" s="11"/>
      <c r="D29" s="11"/>
      <c r="E29" s="11"/>
      <c r="F29" s="11"/>
    </row>
    <row r="30" spans="1:6" ht="15.75">
      <c r="A30" s="11">
        <v>4</v>
      </c>
      <c r="B30" s="12" t="s">
        <v>77</v>
      </c>
      <c r="C30" s="11"/>
      <c r="D30" s="11"/>
      <c r="E30" s="11"/>
      <c r="F30" s="11"/>
    </row>
    <row r="31" spans="1:6" ht="15.75">
      <c r="A31" s="11">
        <v>5</v>
      </c>
      <c r="B31" s="12" t="s">
        <v>78</v>
      </c>
      <c r="C31" s="11"/>
      <c r="D31" s="11"/>
      <c r="E31" s="11"/>
      <c r="F31" s="11"/>
    </row>
    <row r="32" spans="1:6" ht="15.75">
      <c r="A32" s="9"/>
      <c r="B32" s="14"/>
      <c r="C32" s="9"/>
      <c r="D32" s="9"/>
      <c r="E32" s="9"/>
      <c r="F32" s="9"/>
    </row>
    <row r="33" spans="1:6" ht="15.75">
      <c r="A33" s="15">
        <v>1</v>
      </c>
      <c r="B33" s="16" t="s">
        <v>79</v>
      </c>
      <c r="C33" s="15"/>
      <c r="D33" s="15"/>
      <c r="E33" s="15"/>
      <c r="F33" s="15"/>
    </row>
    <row r="34" spans="1:6" ht="15.75">
      <c r="A34" s="15">
        <v>2</v>
      </c>
      <c r="B34" s="16" t="s">
        <v>80</v>
      </c>
      <c r="C34" s="15"/>
      <c r="D34" s="15"/>
      <c r="E34" s="15"/>
      <c r="F34" s="15"/>
    </row>
    <row r="35" spans="1:6" ht="15.75">
      <c r="A35" s="15">
        <v>3</v>
      </c>
      <c r="B35" s="16" t="s">
        <v>81</v>
      </c>
      <c r="C35" s="15"/>
      <c r="D35" s="15"/>
      <c r="E35" s="15"/>
      <c r="F35" s="15"/>
    </row>
    <row r="36" spans="1:6" ht="15.75">
      <c r="A36" s="15">
        <v>4</v>
      </c>
      <c r="B36" s="16" t="s">
        <v>82</v>
      </c>
      <c r="C36" s="15"/>
      <c r="D36" s="15"/>
      <c r="E36" s="15"/>
      <c r="F36" s="15"/>
    </row>
    <row r="37" spans="1:6" ht="15.75">
      <c r="A37" s="15">
        <v>5</v>
      </c>
      <c r="B37" s="16" t="s">
        <v>83</v>
      </c>
      <c r="C37" s="15"/>
      <c r="D37" s="15"/>
      <c r="E37" s="15"/>
      <c r="F37" s="15"/>
    </row>
    <row r="38" spans="1:6" ht="15.75">
      <c r="A38" s="9"/>
      <c r="B38" s="14"/>
      <c r="C38" s="9"/>
      <c r="D38" s="9"/>
      <c r="E38" s="9"/>
      <c r="F38" s="9"/>
    </row>
    <row r="39" spans="1:6" ht="15.75">
      <c r="A39" s="11">
        <v>1</v>
      </c>
      <c r="B39" s="12" t="s">
        <v>84</v>
      </c>
      <c r="C39" s="11"/>
      <c r="D39" s="11"/>
      <c r="E39" s="11"/>
      <c r="F39" s="11"/>
    </row>
    <row r="40" spans="1:6" ht="15.75">
      <c r="A40" s="11">
        <v>2</v>
      </c>
      <c r="B40" s="12" t="s">
        <v>85</v>
      </c>
      <c r="C40" s="11"/>
      <c r="D40" s="11"/>
      <c r="E40" s="11"/>
      <c r="F40" s="11"/>
    </row>
    <row r="41" spans="1:6" ht="15.75">
      <c r="A41" s="11">
        <v>3</v>
      </c>
      <c r="B41" s="12" t="s">
        <v>86</v>
      </c>
      <c r="C41" s="11"/>
      <c r="D41" s="11"/>
      <c r="E41" s="11"/>
      <c r="F41" s="11"/>
    </row>
    <row r="42" spans="1:6" ht="15.75">
      <c r="A42" s="11">
        <v>4</v>
      </c>
      <c r="B42" s="12" t="s">
        <v>87</v>
      </c>
      <c r="C42" s="11"/>
      <c r="D42" s="11"/>
      <c r="E42" s="11"/>
      <c r="F42" s="11"/>
    </row>
    <row r="43" spans="1:6" ht="15.75">
      <c r="A43" s="9"/>
      <c r="B43" s="14"/>
      <c r="C43" s="9"/>
      <c r="D43" s="9"/>
      <c r="E43" s="9"/>
      <c r="F43" s="9"/>
    </row>
    <row r="44" spans="1:6" ht="15.75">
      <c r="A44" s="15">
        <v>1</v>
      </c>
      <c r="B44" s="16" t="s">
        <v>88</v>
      </c>
      <c r="C44" s="15"/>
      <c r="D44" s="15"/>
      <c r="E44" s="15"/>
      <c r="F44" s="15"/>
    </row>
    <row r="45" spans="1:6" ht="15.75">
      <c r="A45" s="15">
        <v>2</v>
      </c>
      <c r="B45" s="16" t="s">
        <v>89</v>
      </c>
      <c r="C45" s="15"/>
      <c r="D45" s="15"/>
      <c r="E45" s="15"/>
      <c r="F45" s="15"/>
    </row>
    <row r="46" spans="1:6" ht="15.75">
      <c r="A46" s="15">
        <v>3</v>
      </c>
      <c r="B46" s="16" t="s">
        <v>90</v>
      </c>
      <c r="C46" s="15"/>
      <c r="D46" s="15"/>
      <c r="E46" s="15"/>
      <c r="F46" s="15"/>
    </row>
    <row r="47" spans="1:6" ht="15.75">
      <c r="A47" s="15">
        <v>4</v>
      </c>
      <c r="B47" s="16" t="s">
        <v>91</v>
      </c>
      <c r="C47" s="15"/>
      <c r="D47" s="15"/>
      <c r="E47" s="15"/>
      <c r="F47" s="15"/>
    </row>
    <row r="48" spans="1:6" ht="15.75">
      <c r="A48" s="15">
        <v>5</v>
      </c>
      <c r="B48" s="16" t="s">
        <v>92</v>
      </c>
      <c r="C48" s="15"/>
      <c r="D48" s="15"/>
      <c r="E48" s="15"/>
      <c r="F48" s="15"/>
    </row>
    <row r="49" spans="1:6" ht="15.75">
      <c r="A49" s="9"/>
      <c r="B49" s="14"/>
      <c r="C49" s="9"/>
      <c r="D49" s="9"/>
      <c r="E49" s="9"/>
      <c r="F49" s="9"/>
    </row>
    <row r="50" spans="1:6" ht="15.75">
      <c r="A50" s="11">
        <v>1</v>
      </c>
      <c r="B50" s="12" t="s">
        <v>93</v>
      </c>
      <c r="C50" s="11"/>
      <c r="D50" s="11"/>
      <c r="E50" s="11"/>
      <c r="F50" s="11"/>
    </row>
    <row r="51" spans="1:6" ht="15.75">
      <c r="A51" s="11">
        <v>2</v>
      </c>
      <c r="B51" s="12" t="s">
        <v>94</v>
      </c>
      <c r="C51" s="11"/>
      <c r="D51" s="11"/>
      <c r="E51" s="11"/>
      <c r="F51" s="11"/>
    </row>
    <row r="52" spans="1:6" ht="15.75">
      <c r="A52" s="11">
        <v>3</v>
      </c>
      <c r="B52" s="12" t="s">
        <v>95</v>
      </c>
      <c r="C52" s="11"/>
      <c r="D52" s="11"/>
      <c r="E52" s="11"/>
      <c r="F52" s="11"/>
    </row>
    <row r="53" spans="1:6" ht="15.75">
      <c r="A53" s="11">
        <v>4</v>
      </c>
      <c r="B53" s="12" t="s">
        <v>96</v>
      </c>
      <c r="C53" s="11"/>
      <c r="D53" s="11"/>
      <c r="E53" s="11"/>
      <c r="F53" s="11"/>
    </row>
    <row r="54" spans="1:6" ht="15.75">
      <c r="A54" s="11">
        <v>5</v>
      </c>
      <c r="B54" s="12" t="s">
        <v>97</v>
      </c>
      <c r="C54" s="11"/>
      <c r="D54" s="11"/>
      <c r="E54" s="11"/>
      <c r="F54" s="11"/>
    </row>
    <row r="55" spans="1:6" ht="15.75">
      <c r="A55" s="17"/>
      <c r="B55" s="17" t="s">
        <v>98</v>
      </c>
      <c r="C55" s="17"/>
      <c r="D55" s="17"/>
      <c r="E55" s="17"/>
      <c r="F55" s="17"/>
    </row>
  </sheetData>
  <mergeCells count="3">
    <mergeCell ref="A9:A10"/>
    <mergeCell ref="B9:B10"/>
    <mergeCell ref="C9:F9"/>
  </mergeCells>
  <pageMargins left="0.7" right="0.7" top="0.75" bottom="0.75" header="0.3" footer="0.3"/>
  <pageSetup paperSize="14" orientation="portrait" r:id="rId1"/>
  <drawing r:id="rId2"/>
</worksheet>
</file>

<file path=xl/worksheets/sheet18.xml><?xml version="1.0" encoding="utf-8"?>
<worksheet xmlns="http://schemas.openxmlformats.org/spreadsheetml/2006/main" xmlns:r="http://schemas.openxmlformats.org/officeDocument/2006/relationships">
  <sheetPr codeName="Sheet12"/>
  <dimension ref="A1:I70"/>
  <sheetViews>
    <sheetView zoomScale="120" zoomScaleNormal="120" workbookViewId="0"/>
  </sheetViews>
  <sheetFormatPr defaultRowHeight="15"/>
  <cols>
    <col min="1" max="1" width="2.85546875" bestFit="1" customWidth="1"/>
    <col min="2" max="2" width="4.85546875" customWidth="1"/>
    <col min="3" max="3" width="62.85546875" customWidth="1"/>
    <col min="4" max="7" width="7.28515625" customWidth="1"/>
  </cols>
  <sheetData>
    <row r="1" spans="1:9" ht="23.25">
      <c r="A1" s="18"/>
      <c r="B1" s="19" t="s">
        <v>99</v>
      </c>
      <c r="C1" s="20"/>
      <c r="D1" s="20"/>
      <c r="E1" s="20"/>
      <c r="F1" s="20"/>
      <c r="G1" s="20"/>
    </row>
    <row r="2" spans="1:9" ht="23.25">
      <c r="A2" s="18"/>
      <c r="B2" s="19"/>
      <c r="C2" s="20"/>
      <c r="D2" s="20"/>
      <c r="E2" s="20"/>
      <c r="F2" s="20"/>
      <c r="G2" s="20"/>
    </row>
    <row r="3" spans="1:9">
      <c r="A3" s="18"/>
      <c r="B3" s="18"/>
      <c r="C3" s="18"/>
      <c r="D3" s="18"/>
      <c r="E3" s="18"/>
      <c r="F3" s="18"/>
      <c r="G3" s="18"/>
    </row>
    <row r="4" spans="1:9">
      <c r="A4" s="18"/>
      <c r="B4" s="18"/>
      <c r="C4" s="18"/>
      <c r="D4" s="18"/>
      <c r="E4" s="18"/>
      <c r="F4" s="18"/>
      <c r="G4" s="18"/>
    </row>
    <row r="5" spans="1:9">
      <c r="A5" s="18"/>
      <c r="B5" s="18"/>
      <c r="C5" s="18"/>
      <c r="D5" s="18"/>
      <c r="E5" s="18"/>
      <c r="F5" s="18"/>
      <c r="G5" s="18"/>
    </row>
    <row r="6" spans="1:9">
      <c r="A6" s="18"/>
      <c r="B6" s="18"/>
      <c r="C6" s="18"/>
      <c r="D6" s="18"/>
      <c r="E6" s="18"/>
      <c r="F6" s="18"/>
      <c r="G6" s="18"/>
    </row>
    <row r="7" spans="1:9">
      <c r="A7" s="18"/>
      <c r="B7" s="18"/>
      <c r="C7" s="18"/>
      <c r="D7" s="18"/>
      <c r="E7" s="18"/>
      <c r="F7" s="18"/>
      <c r="G7" s="18"/>
    </row>
    <row r="8" spans="1:9" ht="15.75" thickBot="1">
      <c r="A8" s="161" t="s">
        <v>14</v>
      </c>
      <c r="B8" s="161" t="s">
        <v>34</v>
      </c>
      <c r="C8" s="161" t="s">
        <v>114</v>
      </c>
      <c r="D8" s="210" t="s">
        <v>100</v>
      </c>
      <c r="E8" s="210" t="s">
        <v>101</v>
      </c>
      <c r="F8" s="210" t="s">
        <v>102</v>
      </c>
      <c r="G8" s="210" t="s">
        <v>103</v>
      </c>
      <c r="I8" s="202"/>
    </row>
    <row r="9" spans="1:9" ht="15.75" thickTop="1">
      <c r="A9" s="619" t="s">
        <v>207</v>
      </c>
      <c r="B9" s="173" t="s">
        <v>208</v>
      </c>
      <c r="C9" s="174" t="s">
        <v>209</v>
      </c>
      <c r="D9" s="211">
        <v>1</v>
      </c>
      <c r="E9" s="211">
        <v>2</v>
      </c>
      <c r="F9" s="211">
        <v>3</v>
      </c>
      <c r="G9" s="211">
        <v>4</v>
      </c>
      <c r="I9" s="203"/>
    </row>
    <row r="10" spans="1:9">
      <c r="A10" s="617"/>
      <c r="B10" s="164" t="s">
        <v>210</v>
      </c>
      <c r="C10" s="165" t="s">
        <v>211</v>
      </c>
      <c r="D10" s="211">
        <v>1</v>
      </c>
      <c r="E10" s="211">
        <v>2</v>
      </c>
      <c r="F10" s="211">
        <v>3</v>
      </c>
      <c r="G10" s="211">
        <v>4</v>
      </c>
      <c r="I10" s="203"/>
    </row>
    <row r="11" spans="1:9">
      <c r="A11" s="617"/>
      <c r="B11" s="164" t="s">
        <v>212</v>
      </c>
      <c r="C11" s="165" t="s">
        <v>213</v>
      </c>
      <c r="D11" s="211">
        <v>1</v>
      </c>
      <c r="E11" s="211">
        <v>2</v>
      </c>
      <c r="F11" s="211">
        <v>3</v>
      </c>
      <c r="G11" s="211">
        <v>4</v>
      </c>
      <c r="I11" s="203"/>
    </row>
    <row r="12" spans="1:9">
      <c r="A12" s="617"/>
      <c r="B12" s="164" t="s">
        <v>214</v>
      </c>
      <c r="C12" s="165" t="s">
        <v>215</v>
      </c>
      <c r="D12" s="211">
        <v>1</v>
      </c>
      <c r="E12" s="211">
        <v>2</v>
      </c>
      <c r="F12" s="211">
        <v>3</v>
      </c>
      <c r="G12" s="211">
        <v>4</v>
      </c>
      <c r="I12" s="203"/>
    </row>
    <row r="13" spans="1:9">
      <c r="A13" s="617"/>
      <c r="B13" s="164" t="s">
        <v>216</v>
      </c>
      <c r="C13" s="165" t="s">
        <v>217</v>
      </c>
      <c r="D13" s="211">
        <v>1</v>
      </c>
      <c r="E13" s="211">
        <v>2</v>
      </c>
      <c r="F13" s="211">
        <v>3</v>
      </c>
      <c r="G13" s="211">
        <v>4</v>
      </c>
      <c r="I13" s="203"/>
    </row>
    <row r="14" spans="1:9">
      <c r="A14" s="617"/>
      <c r="B14" s="214"/>
      <c r="C14" s="215"/>
      <c r="D14" s="216"/>
      <c r="E14" s="216"/>
      <c r="F14" s="216"/>
      <c r="G14" s="216"/>
      <c r="I14" s="202"/>
    </row>
    <row r="15" spans="1:9">
      <c r="A15" s="618" t="s">
        <v>8</v>
      </c>
      <c r="B15" s="164" t="s">
        <v>149</v>
      </c>
      <c r="C15" s="165" t="s">
        <v>150</v>
      </c>
      <c r="D15" s="212">
        <v>1</v>
      </c>
      <c r="E15" s="212">
        <v>2</v>
      </c>
      <c r="F15" s="212">
        <v>3</v>
      </c>
      <c r="G15" s="212">
        <v>4</v>
      </c>
      <c r="I15" s="209"/>
    </row>
    <row r="16" spans="1:9">
      <c r="A16" s="618"/>
      <c r="B16" s="164" t="s">
        <v>151</v>
      </c>
      <c r="C16" s="165" t="s">
        <v>152</v>
      </c>
      <c r="D16" s="212">
        <v>1</v>
      </c>
      <c r="E16" s="212">
        <v>2</v>
      </c>
      <c r="F16" s="212">
        <v>3</v>
      </c>
      <c r="G16" s="212">
        <v>4</v>
      </c>
      <c r="I16" s="202"/>
    </row>
    <row r="17" spans="1:9">
      <c r="A17" s="618"/>
      <c r="B17" s="164" t="s">
        <v>153</v>
      </c>
      <c r="C17" s="165" t="s">
        <v>154</v>
      </c>
      <c r="D17" s="212">
        <v>1</v>
      </c>
      <c r="E17" s="212">
        <v>2</v>
      </c>
      <c r="F17" s="212">
        <v>3</v>
      </c>
      <c r="G17" s="212">
        <v>4</v>
      </c>
      <c r="I17" s="202"/>
    </row>
    <row r="18" spans="1:9">
      <c r="A18" s="618"/>
      <c r="B18" s="164" t="s">
        <v>155</v>
      </c>
      <c r="C18" s="165" t="s">
        <v>64</v>
      </c>
      <c r="D18" s="212">
        <v>1</v>
      </c>
      <c r="E18" s="212">
        <v>2</v>
      </c>
      <c r="F18" s="212">
        <v>3</v>
      </c>
      <c r="G18" s="212">
        <v>4</v>
      </c>
    </row>
    <row r="19" spans="1:9">
      <c r="A19" s="618"/>
      <c r="B19" s="164" t="s">
        <v>156</v>
      </c>
      <c r="C19" s="165" t="s">
        <v>65</v>
      </c>
      <c r="D19" s="213">
        <v>1</v>
      </c>
      <c r="E19" s="213">
        <v>2</v>
      </c>
      <c r="F19" s="213">
        <v>3</v>
      </c>
      <c r="G19" s="213">
        <v>4</v>
      </c>
    </row>
    <row r="20" spans="1:9">
      <c r="A20" s="618"/>
      <c r="B20" s="214"/>
      <c r="C20" s="217"/>
      <c r="D20" s="218"/>
      <c r="E20" s="218"/>
      <c r="F20" s="218"/>
      <c r="G20" s="218"/>
    </row>
    <row r="21" spans="1:9">
      <c r="A21" s="617" t="s">
        <v>9</v>
      </c>
      <c r="B21" s="164" t="s">
        <v>157</v>
      </c>
      <c r="C21" s="208" t="s">
        <v>158</v>
      </c>
      <c r="D21" s="212">
        <v>1</v>
      </c>
      <c r="E21" s="212">
        <v>2</v>
      </c>
      <c r="F21" s="212">
        <v>3</v>
      </c>
      <c r="G21" s="212">
        <v>4</v>
      </c>
    </row>
    <row r="22" spans="1:9" ht="15" customHeight="1">
      <c r="A22" s="617"/>
      <c r="B22" s="164" t="s">
        <v>159</v>
      </c>
      <c r="C22" s="208" t="s">
        <v>67</v>
      </c>
      <c r="D22" s="212">
        <v>1</v>
      </c>
      <c r="E22" s="212">
        <v>2</v>
      </c>
      <c r="F22" s="212">
        <v>3</v>
      </c>
      <c r="G22" s="212">
        <v>4</v>
      </c>
    </row>
    <row r="23" spans="1:9">
      <c r="A23" s="617"/>
      <c r="B23" s="164" t="s">
        <v>160</v>
      </c>
      <c r="C23" s="208" t="s">
        <v>68</v>
      </c>
      <c r="D23" s="212">
        <v>1</v>
      </c>
      <c r="E23" s="212">
        <v>2</v>
      </c>
      <c r="F23" s="212">
        <v>3</v>
      </c>
      <c r="G23" s="212">
        <v>4</v>
      </c>
    </row>
    <row r="24" spans="1:9">
      <c r="A24" s="617"/>
      <c r="B24" s="164" t="s">
        <v>161</v>
      </c>
      <c r="C24" s="208" t="s">
        <v>69</v>
      </c>
      <c r="D24" s="213">
        <v>1</v>
      </c>
      <c r="E24" s="213">
        <v>2</v>
      </c>
      <c r="F24" s="213">
        <v>3</v>
      </c>
      <c r="G24" s="213">
        <v>4</v>
      </c>
    </row>
    <row r="25" spans="1:9">
      <c r="A25" s="617"/>
      <c r="B25" s="164" t="s">
        <v>162</v>
      </c>
      <c r="C25" s="208" t="s">
        <v>70</v>
      </c>
      <c r="D25" s="212">
        <v>1</v>
      </c>
      <c r="E25" s="212">
        <v>2</v>
      </c>
      <c r="F25" s="212">
        <v>3</v>
      </c>
      <c r="G25" s="212">
        <v>4</v>
      </c>
    </row>
    <row r="26" spans="1:9">
      <c r="A26" s="617"/>
      <c r="B26" s="164" t="s">
        <v>163</v>
      </c>
      <c r="C26" s="208" t="s">
        <v>164</v>
      </c>
      <c r="D26" s="212">
        <v>1</v>
      </c>
      <c r="E26" s="212">
        <v>2</v>
      </c>
      <c r="F26" s="212">
        <v>3</v>
      </c>
      <c r="G26" s="212">
        <v>4</v>
      </c>
    </row>
    <row r="27" spans="1:9">
      <c r="A27" s="617"/>
      <c r="B27" s="164" t="s">
        <v>165</v>
      </c>
      <c r="C27" s="208" t="s">
        <v>166</v>
      </c>
      <c r="D27" s="212">
        <v>1</v>
      </c>
      <c r="E27" s="212">
        <v>2</v>
      </c>
      <c r="F27" s="212">
        <v>3</v>
      </c>
      <c r="G27" s="212">
        <v>4</v>
      </c>
    </row>
    <row r="28" spans="1:9">
      <c r="A28" s="617"/>
      <c r="B28" s="164" t="s">
        <v>167</v>
      </c>
      <c r="C28" s="208" t="s">
        <v>168</v>
      </c>
      <c r="D28" s="212">
        <v>1</v>
      </c>
      <c r="E28" s="212">
        <v>2</v>
      </c>
      <c r="F28" s="212">
        <v>3</v>
      </c>
      <c r="G28" s="212">
        <v>4</v>
      </c>
    </row>
    <row r="29" spans="1:9">
      <c r="A29" s="617"/>
      <c r="B29" s="214"/>
      <c r="C29" s="217"/>
      <c r="D29" s="219"/>
      <c r="E29" s="219"/>
      <c r="F29" s="219"/>
      <c r="G29" s="219"/>
    </row>
    <row r="30" spans="1:9">
      <c r="A30" s="618" t="s">
        <v>169</v>
      </c>
      <c r="B30" s="164" t="s">
        <v>170</v>
      </c>
      <c r="C30" s="208" t="s">
        <v>74</v>
      </c>
      <c r="D30" s="212">
        <v>1</v>
      </c>
      <c r="E30" s="212">
        <v>2</v>
      </c>
      <c r="F30" s="212">
        <v>3</v>
      </c>
      <c r="G30" s="212">
        <v>4</v>
      </c>
    </row>
    <row r="31" spans="1:9">
      <c r="A31" s="618"/>
      <c r="B31" s="164" t="s">
        <v>171</v>
      </c>
      <c r="C31" s="208" t="s">
        <v>75</v>
      </c>
      <c r="D31" s="212">
        <v>1</v>
      </c>
      <c r="E31" s="212">
        <v>2</v>
      </c>
      <c r="F31" s="212">
        <v>3</v>
      </c>
      <c r="G31" s="212">
        <v>4</v>
      </c>
    </row>
    <row r="32" spans="1:9">
      <c r="A32" s="618"/>
      <c r="B32" s="164" t="s">
        <v>172</v>
      </c>
      <c r="C32" s="208" t="s">
        <v>173</v>
      </c>
      <c r="D32" s="212">
        <v>1</v>
      </c>
      <c r="E32" s="212">
        <v>2</v>
      </c>
      <c r="F32" s="212">
        <v>3</v>
      </c>
      <c r="G32" s="212">
        <v>4</v>
      </c>
    </row>
    <row r="33" spans="1:7">
      <c r="A33" s="618"/>
      <c r="B33" s="164" t="s">
        <v>174</v>
      </c>
      <c r="C33" s="208" t="s">
        <v>77</v>
      </c>
      <c r="D33" s="212">
        <v>1</v>
      </c>
      <c r="E33" s="212">
        <v>2</v>
      </c>
      <c r="F33" s="212">
        <v>3</v>
      </c>
      <c r="G33" s="212">
        <v>4</v>
      </c>
    </row>
    <row r="34" spans="1:7">
      <c r="A34" s="618"/>
      <c r="B34" s="164" t="s">
        <v>175</v>
      </c>
      <c r="C34" s="208" t="s">
        <v>78</v>
      </c>
      <c r="D34" s="213">
        <v>1</v>
      </c>
      <c r="E34" s="213">
        <v>2</v>
      </c>
      <c r="F34" s="213">
        <v>3</v>
      </c>
      <c r="G34" s="213">
        <v>4</v>
      </c>
    </row>
    <row r="35" spans="1:7">
      <c r="A35" s="618"/>
      <c r="B35" s="214"/>
      <c r="C35" s="217"/>
      <c r="D35" s="218"/>
      <c r="E35" s="218"/>
      <c r="F35" s="218"/>
      <c r="G35" s="218"/>
    </row>
    <row r="36" spans="1:7">
      <c r="A36" s="617" t="s">
        <v>10</v>
      </c>
      <c r="B36" s="164" t="s">
        <v>176</v>
      </c>
      <c r="C36" s="208" t="s">
        <v>177</v>
      </c>
      <c r="D36" s="212">
        <v>1</v>
      </c>
      <c r="E36" s="212">
        <v>2</v>
      </c>
      <c r="F36" s="212">
        <v>3</v>
      </c>
      <c r="G36" s="212">
        <v>4</v>
      </c>
    </row>
    <row r="37" spans="1:7">
      <c r="A37" s="617"/>
      <c r="B37" s="164" t="s">
        <v>178</v>
      </c>
      <c r="C37" s="208" t="s">
        <v>179</v>
      </c>
      <c r="D37" s="212">
        <v>1</v>
      </c>
      <c r="E37" s="212">
        <v>2</v>
      </c>
      <c r="F37" s="212">
        <v>3</v>
      </c>
      <c r="G37" s="212">
        <v>4</v>
      </c>
    </row>
    <row r="38" spans="1:7">
      <c r="A38" s="617"/>
      <c r="B38" s="164" t="s">
        <v>180</v>
      </c>
      <c r="C38" s="208" t="s">
        <v>181</v>
      </c>
      <c r="D38" s="212">
        <v>1</v>
      </c>
      <c r="E38" s="212">
        <v>2</v>
      </c>
      <c r="F38" s="212">
        <v>3</v>
      </c>
      <c r="G38" s="212">
        <v>4</v>
      </c>
    </row>
    <row r="39" spans="1:7">
      <c r="A39" s="617"/>
      <c r="B39" s="164" t="s">
        <v>182</v>
      </c>
      <c r="C39" s="208" t="s">
        <v>82</v>
      </c>
      <c r="D39" s="213">
        <v>1</v>
      </c>
      <c r="E39" s="213">
        <v>2</v>
      </c>
      <c r="F39" s="213">
        <v>3</v>
      </c>
      <c r="G39" s="213">
        <v>4</v>
      </c>
    </row>
    <row r="40" spans="1:7">
      <c r="A40" s="617"/>
      <c r="B40" s="164" t="s">
        <v>183</v>
      </c>
      <c r="C40" s="208" t="s">
        <v>83</v>
      </c>
      <c r="D40" s="212">
        <v>1</v>
      </c>
      <c r="E40" s="212">
        <v>2</v>
      </c>
      <c r="F40" s="212">
        <v>3</v>
      </c>
      <c r="G40" s="212">
        <v>4</v>
      </c>
    </row>
    <row r="41" spans="1:7">
      <c r="A41" s="617"/>
      <c r="B41" s="214"/>
      <c r="C41" s="217"/>
      <c r="D41" s="218"/>
      <c r="E41" s="218"/>
      <c r="F41" s="218"/>
      <c r="G41" s="218"/>
    </row>
    <row r="42" spans="1:7">
      <c r="A42" s="618" t="s">
        <v>184</v>
      </c>
      <c r="B42" s="164" t="s">
        <v>185</v>
      </c>
      <c r="C42" s="208" t="s">
        <v>84</v>
      </c>
      <c r="D42" s="212">
        <v>1</v>
      </c>
      <c r="E42" s="212">
        <v>2</v>
      </c>
      <c r="F42" s="212">
        <v>3</v>
      </c>
      <c r="G42" s="212">
        <v>4</v>
      </c>
    </row>
    <row r="43" spans="1:7">
      <c r="A43" s="618"/>
      <c r="B43" s="164" t="s">
        <v>186</v>
      </c>
      <c r="C43" s="208" t="s">
        <v>187</v>
      </c>
      <c r="D43" s="212">
        <v>1</v>
      </c>
      <c r="E43" s="212">
        <v>2</v>
      </c>
      <c r="F43" s="212">
        <v>3</v>
      </c>
      <c r="G43" s="212">
        <v>4</v>
      </c>
    </row>
    <row r="44" spans="1:7">
      <c r="A44" s="618"/>
      <c r="B44" s="164" t="s">
        <v>188</v>
      </c>
      <c r="C44" s="208" t="s">
        <v>86</v>
      </c>
      <c r="D44" s="213">
        <v>1</v>
      </c>
      <c r="E44" s="213">
        <v>2</v>
      </c>
      <c r="F44" s="213">
        <v>3</v>
      </c>
      <c r="G44" s="213">
        <v>4</v>
      </c>
    </row>
    <row r="45" spans="1:7">
      <c r="A45" s="618"/>
      <c r="B45" s="164" t="s">
        <v>189</v>
      </c>
      <c r="C45" s="208" t="s">
        <v>190</v>
      </c>
      <c r="D45" s="212">
        <v>1</v>
      </c>
      <c r="E45" s="212">
        <v>2</v>
      </c>
      <c r="F45" s="212">
        <v>3</v>
      </c>
      <c r="G45" s="212">
        <v>4</v>
      </c>
    </row>
    <row r="46" spans="1:7">
      <c r="A46" s="618"/>
      <c r="B46" s="214"/>
      <c r="C46" s="217"/>
      <c r="D46" s="218"/>
      <c r="E46" s="218"/>
      <c r="F46" s="218"/>
      <c r="G46" s="218"/>
    </row>
    <row r="47" spans="1:7">
      <c r="A47" s="617" t="s">
        <v>12</v>
      </c>
      <c r="B47" s="164" t="s">
        <v>191</v>
      </c>
      <c r="C47" s="208" t="s">
        <v>88</v>
      </c>
      <c r="D47" s="212">
        <v>1</v>
      </c>
      <c r="E47" s="212">
        <v>2</v>
      </c>
      <c r="F47" s="212">
        <v>3</v>
      </c>
      <c r="G47" s="212">
        <v>4</v>
      </c>
    </row>
    <row r="48" spans="1:7">
      <c r="A48" s="617"/>
      <c r="B48" s="164" t="s">
        <v>192</v>
      </c>
      <c r="C48" s="208" t="s">
        <v>89</v>
      </c>
      <c r="D48" s="212">
        <v>1</v>
      </c>
      <c r="E48" s="212">
        <v>2</v>
      </c>
      <c r="F48" s="212">
        <v>3</v>
      </c>
      <c r="G48" s="212">
        <v>4</v>
      </c>
    </row>
    <row r="49" spans="1:7">
      <c r="A49" s="617"/>
      <c r="B49" s="164" t="s">
        <v>193</v>
      </c>
      <c r="C49" s="208" t="s">
        <v>90</v>
      </c>
      <c r="D49" s="213">
        <v>1</v>
      </c>
      <c r="E49" s="213">
        <v>2</v>
      </c>
      <c r="F49" s="213">
        <v>3</v>
      </c>
      <c r="G49" s="213">
        <v>4</v>
      </c>
    </row>
    <row r="50" spans="1:7">
      <c r="A50" s="617"/>
      <c r="B50" s="164" t="s">
        <v>194</v>
      </c>
      <c r="C50" s="208" t="s">
        <v>195</v>
      </c>
      <c r="D50" s="212">
        <v>1</v>
      </c>
      <c r="E50" s="212">
        <v>2</v>
      </c>
      <c r="F50" s="212">
        <v>3</v>
      </c>
      <c r="G50" s="212">
        <v>4</v>
      </c>
    </row>
    <row r="51" spans="1:7">
      <c r="A51" s="617"/>
      <c r="B51" s="164" t="s">
        <v>196</v>
      </c>
      <c r="C51" s="208" t="s">
        <v>197</v>
      </c>
      <c r="D51" s="212">
        <v>1</v>
      </c>
      <c r="E51" s="212">
        <v>2</v>
      </c>
      <c r="F51" s="212">
        <v>3</v>
      </c>
      <c r="G51" s="212">
        <v>4</v>
      </c>
    </row>
    <row r="52" spans="1:7">
      <c r="A52" s="617"/>
      <c r="B52" s="214"/>
      <c r="C52" s="217"/>
      <c r="D52" s="218"/>
      <c r="E52" s="218"/>
      <c r="F52" s="218"/>
      <c r="G52" s="218"/>
    </row>
    <row r="53" spans="1:7">
      <c r="A53" s="618" t="s">
        <v>13</v>
      </c>
      <c r="B53" s="164" t="s">
        <v>198</v>
      </c>
      <c r="C53" s="208" t="s">
        <v>93</v>
      </c>
      <c r="D53" s="212">
        <v>1</v>
      </c>
      <c r="E53" s="212">
        <v>2</v>
      </c>
      <c r="F53" s="212">
        <v>3</v>
      </c>
      <c r="G53" s="212">
        <v>4</v>
      </c>
    </row>
    <row r="54" spans="1:7">
      <c r="A54" s="618"/>
      <c r="B54" s="164" t="s">
        <v>199</v>
      </c>
      <c r="C54" s="208" t="s">
        <v>94</v>
      </c>
      <c r="D54" s="213">
        <v>1</v>
      </c>
      <c r="E54" s="213">
        <v>2</v>
      </c>
      <c r="F54" s="213">
        <v>3</v>
      </c>
      <c r="G54" s="213">
        <v>4</v>
      </c>
    </row>
    <row r="55" spans="1:7">
      <c r="A55" s="618"/>
      <c r="B55" s="164" t="s">
        <v>200</v>
      </c>
      <c r="C55" s="208" t="s">
        <v>201</v>
      </c>
      <c r="D55" s="212">
        <v>1</v>
      </c>
      <c r="E55" s="212">
        <v>2</v>
      </c>
      <c r="F55" s="212">
        <v>3</v>
      </c>
      <c r="G55" s="212">
        <v>4</v>
      </c>
    </row>
    <row r="56" spans="1:7">
      <c r="A56" s="618"/>
      <c r="B56" s="164" t="s">
        <v>202</v>
      </c>
      <c r="C56" s="208" t="s">
        <v>203</v>
      </c>
      <c r="D56" s="212">
        <v>1</v>
      </c>
      <c r="E56" s="212">
        <v>2</v>
      </c>
      <c r="F56" s="212">
        <v>3</v>
      </c>
      <c r="G56" s="212">
        <v>4</v>
      </c>
    </row>
    <row r="57" spans="1:7">
      <c r="A57" s="618"/>
      <c r="B57" s="164" t="s">
        <v>204</v>
      </c>
      <c r="C57" s="208" t="s">
        <v>205</v>
      </c>
      <c r="D57" s="212">
        <v>1</v>
      </c>
      <c r="E57" s="212">
        <v>2</v>
      </c>
      <c r="F57" s="212">
        <v>3</v>
      </c>
      <c r="G57" s="212">
        <v>4</v>
      </c>
    </row>
    <row r="58" spans="1:7">
      <c r="A58" s="618"/>
      <c r="B58" s="214"/>
      <c r="C58" s="217"/>
      <c r="D58" s="218"/>
      <c r="E58" s="218"/>
      <c r="F58" s="218"/>
      <c r="G58" s="218"/>
    </row>
    <row r="59" spans="1:7">
      <c r="A59" s="18"/>
      <c r="B59" s="22"/>
      <c r="C59" s="23"/>
      <c r="D59" s="22"/>
      <c r="E59" s="22"/>
      <c r="F59" s="22"/>
      <c r="G59" s="22"/>
    </row>
    <row r="60" spans="1:7">
      <c r="A60" s="18"/>
      <c r="B60" s="24" t="s">
        <v>105</v>
      </c>
      <c r="C60" s="18"/>
      <c r="D60" s="18"/>
      <c r="E60" s="18"/>
      <c r="F60" s="18"/>
      <c r="G60" s="18"/>
    </row>
    <row r="61" spans="1:7">
      <c r="A61" s="18"/>
      <c r="B61" s="25" t="s">
        <v>103</v>
      </c>
      <c r="C61" s="26" t="s">
        <v>106</v>
      </c>
      <c r="D61" s="18"/>
      <c r="E61" s="18"/>
      <c r="F61" s="18"/>
      <c r="G61" s="18"/>
    </row>
    <row r="62" spans="1:7">
      <c r="A62" s="18"/>
      <c r="B62" s="25" t="s">
        <v>107</v>
      </c>
      <c r="C62" s="26" t="s">
        <v>108</v>
      </c>
      <c r="D62" s="18"/>
      <c r="E62" s="18"/>
      <c r="F62" s="18"/>
      <c r="G62" s="18"/>
    </row>
    <row r="63" spans="1:7">
      <c r="A63" s="18"/>
      <c r="B63" s="25" t="s">
        <v>109</v>
      </c>
      <c r="C63" s="26" t="s">
        <v>110</v>
      </c>
      <c r="D63" s="18"/>
      <c r="E63" s="18"/>
      <c r="F63" s="18"/>
      <c r="G63" s="18"/>
    </row>
    <row r="64" spans="1:7">
      <c r="A64" s="18"/>
      <c r="B64" s="25" t="s">
        <v>111</v>
      </c>
      <c r="C64" s="26" t="s">
        <v>112</v>
      </c>
      <c r="D64" s="18"/>
      <c r="E64" s="18"/>
      <c r="F64" s="18"/>
      <c r="G64" s="18"/>
    </row>
    <row r="65" spans="1:7">
      <c r="A65" s="18"/>
      <c r="B65" s="18"/>
      <c r="C65" s="18"/>
      <c r="D65" s="18"/>
      <c r="E65" s="18"/>
      <c r="F65" s="18"/>
      <c r="G65" s="18"/>
    </row>
    <row r="66" spans="1:7">
      <c r="A66" s="18"/>
      <c r="B66" s="21"/>
      <c r="C66" s="27"/>
      <c r="D66" s="18"/>
      <c r="E66" s="18"/>
      <c r="F66" s="18"/>
      <c r="G66" s="18"/>
    </row>
    <row r="67" spans="1:7">
      <c r="A67" s="18"/>
      <c r="B67" s="21"/>
      <c r="C67" s="27"/>
      <c r="D67" s="18"/>
      <c r="E67" s="18"/>
      <c r="F67" s="18"/>
      <c r="G67" s="18"/>
    </row>
    <row r="68" spans="1:7">
      <c r="A68" s="18"/>
      <c r="B68" s="21"/>
      <c r="C68" s="27"/>
      <c r="D68" s="18"/>
      <c r="E68" s="18"/>
      <c r="F68" s="18"/>
      <c r="G68" s="18"/>
    </row>
    <row r="69" spans="1:7">
      <c r="A69" s="18"/>
      <c r="B69" s="21"/>
      <c r="C69" s="27"/>
      <c r="D69" s="18"/>
      <c r="E69" s="18"/>
      <c r="F69" s="18"/>
      <c r="G69" s="18"/>
    </row>
    <row r="70" spans="1:7">
      <c r="A70" s="18"/>
      <c r="B70" s="18"/>
      <c r="C70" s="18"/>
      <c r="D70" s="18"/>
      <c r="E70" s="18"/>
      <c r="F70" s="18"/>
      <c r="G70" s="18"/>
    </row>
  </sheetData>
  <mergeCells count="8">
    <mergeCell ref="A47:A52"/>
    <mergeCell ref="A53:A58"/>
    <mergeCell ref="A9:A14"/>
    <mergeCell ref="A21:A29"/>
    <mergeCell ref="A30:A35"/>
    <mergeCell ref="A36:A41"/>
    <mergeCell ref="A42:A46"/>
    <mergeCell ref="A15:A20"/>
  </mergeCells>
  <conditionalFormatting sqref="B14:C14 B20:C20 B52:C52 B58:C58 B41:C41 B35:C35 B29:C29 B46:C46">
    <cfRule type="cellIs" dxfId="598" priority="3" operator="notEqual">
      <formula>$B$2</formula>
    </cfRule>
  </conditionalFormatting>
  <pageMargins left="0.70866141732283472" right="0.6" top="0.39370078740157483" bottom="0.39370078740157483" header="0.31496062992125984" footer="0.31496062992125984"/>
  <pageSetup paperSize="256" scale="90" orientation="portrait" horizontalDpi="4294967294" r:id="rId1"/>
  <drawing r:id="rId2"/>
</worksheet>
</file>

<file path=xl/worksheets/sheet19.xml><?xml version="1.0" encoding="utf-8"?>
<worksheet xmlns="http://schemas.openxmlformats.org/spreadsheetml/2006/main" xmlns:r="http://schemas.openxmlformats.org/officeDocument/2006/relationships">
  <sheetPr codeName="Sheet13"/>
  <dimension ref="A1:BA54"/>
  <sheetViews>
    <sheetView workbookViewId="0">
      <pane xSplit="3" ySplit="2" topLeftCell="D3" activePane="bottomRight" state="frozen"/>
      <selection pane="topRight" activeCell="D1" sqref="D1"/>
      <selection pane="bottomLeft" activeCell="A3" sqref="A3"/>
      <selection pane="bottomRight"/>
    </sheetView>
  </sheetViews>
  <sheetFormatPr defaultColWidth="0" defaultRowHeight="20.100000000000001" customHeight="1" zeroHeight="1"/>
  <cols>
    <col min="1" max="1" width="5.85546875" style="160" customWidth="1"/>
    <col min="2" max="2" width="6.140625" style="160" customWidth="1"/>
    <col min="3" max="3" width="54.85546875" style="160" customWidth="1"/>
    <col min="4" max="34" width="6.42578125" style="169" customWidth="1"/>
    <col min="35" max="52" width="6.42578125" style="160" customWidth="1"/>
    <col min="53" max="53" width="5.28515625" style="160" customWidth="1"/>
    <col min="54" max="16384" width="10.28515625" style="160" hidden="1"/>
  </cols>
  <sheetData>
    <row r="1" spans="1:53" ht="108" customHeight="1">
      <c r="A1" s="157" t="s">
        <v>113</v>
      </c>
      <c r="B1" s="158"/>
      <c r="C1" s="158"/>
      <c r="D1" s="170" t="e">
        <f>#REF!</f>
        <v>#REF!</v>
      </c>
      <c r="E1" s="170" t="e">
        <f>#REF!</f>
        <v>#REF!</v>
      </c>
      <c r="F1" s="170" t="e">
        <f>#REF!</f>
        <v>#REF!</v>
      </c>
      <c r="G1" s="170" t="e">
        <f>#REF!</f>
        <v>#REF!</v>
      </c>
      <c r="H1" s="170" t="e">
        <f>#REF!</f>
        <v>#REF!</v>
      </c>
      <c r="I1" s="170" t="e">
        <f>#REF!</f>
        <v>#REF!</v>
      </c>
      <c r="J1" s="170" t="e">
        <f>#REF!</f>
        <v>#REF!</v>
      </c>
      <c r="K1" s="170" t="e">
        <f>#REF!</f>
        <v>#REF!</v>
      </c>
      <c r="L1" s="170" t="e">
        <f>#REF!</f>
        <v>#REF!</v>
      </c>
      <c r="M1" s="170" t="e">
        <f>#REF!</f>
        <v>#REF!</v>
      </c>
      <c r="N1" s="170" t="e">
        <f>#REF!</f>
        <v>#REF!</v>
      </c>
      <c r="O1" s="170" t="e">
        <f>#REF!</f>
        <v>#REF!</v>
      </c>
      <c r="P1" s="170" t="e">
        <f>#REF!</f>
        <v>#REF!</v>
      </c>
      <c r="Q1" s="170" t="e">
        <f>#REF!</f>
        <v>#REF!</v>
      </c>
      <c r="R1" s="170" t="e">
        <f>#REF!</f>
        <v>#REF!</v>
      </c>
      <c r="S1" s="170" t="e">
        <f>#REF!</f>
        <v>#REF!</v>
      </c>
      <c r="T1" s="170" t="e">
        <f>#REF!</f>
        <v>#REF!</v>
      </c>
      <c r="U1" s="170" t="e">
        <f>#REF!</f>
        <v>#REF!</v>
      </c>
      <c r="V1" s="170" t="e">
        <f>#REF!</f>
        <v>#REF!</v>
      </c>
      <c r="W1" s="170" t="e">
        <f>#REF!</f>
        <v>#REF!</v>
      </c>
      <c r="X1" s="170" t="e">
        <f>#REF!</f>
        <v>#REF!</v>
      </c>
      <c r="Y1" s="170" t="e">
        <f>#REF!</f>
        <v>#REF!</v>
      </c>
      <c r="Z1" s="170" t="e">
        <f>#REF!</f>
        <v>#REF!</v>
      </c>
      <c r="AA1" s="170" t="e">
        <f>#REF!</f>
        <v>#REF!</v>
      </c>
      <c r="AB1" s="170" t="e">
        <f>#REF!</f>
        <v>#REF!</v>
      </c>
      <c r="AC1" s="170" t="e">
        <f>#REF!</f>
        <v>#REF!</v>
      </c>
      <c r="AD1" s="170" t="e">
        <f>#REF!</f>
        <v>#REF!</v>
      </c>
      <c r="AE1" s="170" t="e">
        <f>#REF!</f>
        <v>#REF!</v>
      </c>
      <c r="AF1" s="170" t="e">
        <f>#REF!</f>
        <v>#REF!</v>
      </c>
      <c r="AG1" s="170" t="e">
        <f>#REF!</f>
        <v>#REF!</v>
      </c>
      <c r="AH1" s="170" t="e">
        <f>#REF!</f>
        <v>#REF!</v>
      </c>
      <c r="AI1" s="170" t="e">
        <f>#REF!</f>
        <v>#REF!</v>
      </c>
      <c r="AJ1" s="170" t="e">
        <f>#REF!</f>
        <v>#REF!</v>
      </c>
      <c r="AK1" s="170" t="e">
        <f>#REF!</f>
        <v>#REF!</v>
      </c>
      <c r="AL1" s="170" t="e">
        <f>#REF!</f>
        <v>#REF!</v>
      </c>
      <c r="AM1" s="170" t="e">
        <f>#REF!</f>
        <v>#REF!</v>
      </c>
      <c r="AN1" s="170" t="e">
        <f>#REF!</f>
        <v>#REF!</v>
      </c>
      <c r="AO1" s="170" t="e">
        <f>#REF!</f>
        <v>#REF!</v>
      </c>
      <c r="AP1" s="170" t="e">
        <f>#REF!</f>
        <v>#REF!</v>
      </c>
      <c r="AQ1" s="170" t="e">
        <f>#REF!</f>
        <v>#REF!</v>
      </c>
      <c r="AR1" s="170" t="e">
        <f>#REF!</f>
        <v>#REF!</v>
      </c>
      <c r="AS1" s="170" t="e">
        <f>#REF!</f>
        <v>#REF!</v>
      </c>
      <c r="AT1" s="170" t="e">
        <f>#REF!</f>
        <v>#REF!</v>
      </c>
      <c r="AU1" s="170" t="e">
        <f>#REF!</f>
        <v>#REF!</v>
      </c>
      <c r="AV1" s="170" t="e">
        <f>#REF!</f>
        <v>#REF!</v>
      </c>
      <c r="AW1" s="170" t="e">
        <f>#REF!</f>
        <v>#REF!</v>
      </c>
      <c r="AX1" s="170" t="e">
        <f>#REF!</f>
        <v>#REF!</v>
      </c>
      <c r="AY1" s="170" t="e">
        <f>#REF!</f>
        <v>#REF!</v>
      </c>
      <c r="AZ1" s="159"/>
      <c r="BA1" s="159"/>
    </row>
    <row r="2" spans="1:53" ht="20.100000000000001" customHeight="1" thickBot="1">
      <c r="A2" s="161" t="s">
        <v>14</v>
      </c>
      <c r="B2" s="161" t="s">
        <v>34</v>
      </c>
      <c r="C2" s="161" t="s">
        <v>114</v>
      </c>
      <c r="D2" s="162"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c r="AZ2" s="163"/>
    </row>
    <row r="3" spans="1:53" ht="20.100000000000001" customHeight="1" thickTop="1">
      <c r="A3" s="618" t="s">
        <v>8</v>
      </c>
      <c r="B3" s="164" t="s">
        <v>149</v>
      </c>
      <c r="C3" s="165" t="s">
        <v>150</v>
      </c>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c r="AW3" s="34"/>
      <c r="AX3" s="34"/>
      <c r="AY3" s="34"/>
      <c r="AZ3" s="130"/>
    </row>
    <row r="4" spans="1:53" ht="20.100000000000001" customHeight="1">
      <c r="A4" s="618"/>
      <c r="B4" s="164" t="s">
        <v>151</v>
      </c>
      <c r="C4" s="165" t="s">
        <v>152</v>
      </c>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130"/>
    </row>
    <row r="5" spans="1:53" ht="20.100000000000001" customHeight="1">
      <c r="A5" s="618"/>
      <c r="B5" s="164" t="s">
        <v>153</v>
      </c>
      <c r="C5" s="165" t="s">
        <v>154</v>
      </c>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130"/>
    </row>
    <row r="6" spans="1:53" ht="20.100000000000001" customHeight="1">
      <c r="A6" s="618"/>
      <c r="B6" s="164" t="s">
        <v>155</v>
      </c>
      <c r="C6" s="165" t="s">
        <v>64</v>
      </c>
      <c r="D6" s="34"/>
      <c r="E6" s="34"/>
      <c r="F6" s="34"/>
      <c r="G6" s="34"/>
      <c r="H6" s="34"/>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130"/>
    </row>
    <row r="7" spans="1:53" ht="20.100000000000001" customHeight="1">
      <c r="A7" s="618"/>
      <c r="B7" s="164" t="s">
        <v>156</v>
      </c>
      <c r="C7" s="165" t="s">
        <v>65</v>
      </c>
      <c r="D7" s="34"/>
      <c r="E7" s="34"/>
      <c r="F7" s="34"/>
      <c r="G7" s="34"/>
      <c r="H7" s="34"/>
      <c r="I7" s="34"/>
      <c r="J7" s="34"/>
      <c r="K7" s="34"/>
      <c r="L7" s="34"/>
      <c r="M7" s="34"/>
      <c r="N7" s="34"/>
      <c r="O7" s="34"/>
      <c r="P7" s="34"/>
      <c r="Q7" s="34"/>
      <c r="R7" s="34"/>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130"/>
    </row>
    <row r="8" spans="1:53" ht="20.100000000000001" customHeight="1">
      <c r="A8" s="618"/>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c r="AZ8" s="168"/>
    </row>
    <row r="9" spans="1:53" ht="20.100000000000001" customHeight="1">
      <c r="A9" s="617" t="s">
        <v>9</v>
      </c>
      <c r="B9" s="164" t="s">
        <v>157</v>
      </c>
      <c r="C9" s="165" t="s">
        <v>158</v>
      </c>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130"/>
    </row>
    <row r="10" spans="1:53" ht="20.100000000000001" customHeight="1">
      <c r="A10" s="617"/>
      <c r="B10" s="164" t="s">
        <v>159</v>
      </c>
      <c r="C10" s="165" t="s">
        <v>67</v>
      </c>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c r="AZ10" s="130"/>
    </row>
    <row r="11" spans="1:53" ht="15">
      <c r="A11" s="617"/>
      <c r="B11" s="164" t="s">
        <v>160</v>
      </c>
      <c r="C11" s="165" t="s">
        <v>68</v>
      </c>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c r="AZ11" s="130"/>
    </row>
    <row r="12" spans="1:53" ht="15">
      <c r="A12" s="617"/>
      <c r="B12" s="164" t="s">
        <v>161</v>
      </c>
      <c r="C12" s="165" t="s">
        <v>69</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c r="AZ12" s="130"/>
    </row>
    <row r="13" spans="1:53" ht="15">
      <c r="A13" s="617"/>
      <c r="B13" s="164" t="s">
        <v>162</v>
      </c>
      <c r="C13" s="165" t="s">
        <v>70</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c r="AZ13" s="130"/>
    </row>
    <row r="14" spans="1:53" ht="15">
      <c r="A14" s="617"/>
      <c r="B14" s="164" t="s">
        <v>163</v>
      </c>
      <c r="C14" s="165" t="s">
        <v>164</v>
      </c>
      <c r="D14" s="34"/>
      <c r="E14" s="34"/>
      <c r="F14" s="3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c r="AS14" s="34"/>
      <c r="AT14" s="34"/>
      <c r="AU14" s="34"/>
      <c r="AV14" s="34"/>
      <c r="AW14" s="34"/>
      <c r="AX14" s="34"/>
      <c r="AY14" s="34"/>
      <c r="AZ14" s="130"/>
    </row>
    <row r="15" spans="1:53" ht="15">
      <c r="A15" s="617"/>
      <c r="B15" s="164" t="s">
        <v>165</v>
      </c>
      <c r="C15" s="165" t="s">
        <v>166</v>
      </c>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c r="AZ15" s="130"/>
    </row>
    <row r="16" spans="1:53" ht="15">
      <c r="A16" s="617"/>
      <c r="B16" s="164" t="s">
        <v>167</v>
      </c>
      <c r="C16" s="165" t="s">
        <v>168</v>
      </c>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c r="AZ16" s="130"/>
    </row>
    <row r="17" spans="1:52" ht="15">
      <c r="A17" s="617"/>
      <c r="B17" s="166"/>
      <c r="C17" s="167"/>
      <c r="D17" s="171" t="str">
        <f>IF(AND(D10="",D10="",D11="",D12="",D13="",D14="",D15="",D16=""),"",AVERAGE(D9:D16))</f>
        <v/>
      </c>
      <c r="E17" s="171" t="str">
        <f t="shared" ref="E17:AY17" si="1">IF(AND(E10="",E10="",E11="",E12="",E13="",E14="",E15="",E16=""),"",AVERAGE(E9:E16))</f>
        <v/>
      </c>
      <c r="F17" s="171" t="str">
        <f t="shared" si="1"/>
        <v/>
      </c>
      <c r="G17" s="171" t="str">
        <f t="shared" si="1"/>
        <v/>
      </c>
      <c r="H17" s="171" t="str">
        <f t="shared" si="1"/>
        <v/>
      </c>
      <c r="I17" s="171" t="str">
        <f t="shared" si="1"/>
        <v/>
      </c>
      <c r="J17" s="171" t="str">
        <f t="shared" si="1"/>
        <v/>
      </c>
      <c r="K17" s="171" t="str">
        <f t="shared" si="1"/>
        <v/>
      </c>
      <c r="L17" s="171" t="str">
        <f t="shared" si="1"/>
        <v/>
      </c>
      <c r="M17" s="171" t="str">
        <f t="shared" si="1"/>
        <v/>
      </c>
      <c r="N17" s="171" t="str">
        <f t="shared" si="1"/>
        <v/>
      </c>
      <c r="O17" s="171" t="str">
        <f t="shared" si="1"/>
        <v/>
      </c>
      <c r="P17" s="171" t="str">
        <f t="shared" si="1"/>
        <v/>
      </c>
      <c r="Q17" s="171" t="str">
        <f t="shared" si="1"/>
        <v/>
      </c>
      <c r="R17" s="171" t="str">
        <f t="shared" si="1"/>
        <v/>
      </c>
      <c r="S17" s="171" t="str">
        <f t="shared" si="1"/>
        <v/>
      </c>
      <c r="T17" s="171" t="str">
        <f t="shared" si="1"/>
        <v/>
      </c>
      <c r="U17" s="171" t="str">
        <f t="shared" si="1"/>
        <v/>
      </c>
      <c r="V17" s="171" t="str">
        <f t="shared" si="1"/>
        <v/>
      </c>
      <c r="W17" s="171" t="str">
        <f t="shared" si="1"/>
        <v/>
      </c>
      <c r="X17" s="171" t="str">
        <f t="shared" si="1"/>
        <v/>
      </c>
      <c r="Y17" s="171" t="str">
        <f t="shared" si="1"/>
        <v/>
      </c>
      <c r="Z17" s="171" t="str">
        <f t="shared" si="1"/>
        <v/>
      </c>
      <c r="AA17" s="171" t="str">
        <f t="shared" si="1"/>
        <v/>
      </c>
      <c r="AB17" s="171" t="str">
        <f t="shared" si="1"/>
        <v/>
      </c>
      <c r="AC17" s="171" t="str">
        <f t="shared" si="1"/>
        <v/>
      </c>
      <c r="AD17" s="171" t="str">
        <f t="shared" si="1"/>
        <v/>
      </c>
      <c r="AE17" s="171" t="str">
        <f t="shared" si="1"/>
        <v/>
      </c>
      <c r="AF17" s="171" t="str">
        <f t="shared" si="1"/>
        <v/>
      </c>
      <c r="AG17" s="171" t="str">
        <f t="shared" si="1"/>
        <v/>
      </c>
      <c r="AH17" s="171" t="str">
        <f t="shared" si="1"/>
        <v/>
      </c>
      <c r="AI17" s="171" t="str">
        <f t="shared" si="1"/>
        <v/>
      </c>
      <c r="AJ17" s="171" t="str">
        <f t="shared" si="1"/>
        <v/>
      </c>
      <c r="AK17" s="171" t="str">
        <f t="shared" si="1"/>
        <v/>
      </c>
      <c r="AL17" s="171" t="str">
        <f t="shared" si="1"/>
        <v/>
      </c>
      <c r="AM17" s="171" t="str">
        <f t="shared" si="1"/>
        <v/>
      </c>
      <c r="AN17" s="171" t="str">
        <f t="shared" si="1"/>
        <v/>
      </c>
      <c r="AO17" s="171" t="str">
        <f t="shared" si="1"/>
        <v/>
      </c>
      <c r="AP17" s="171" t="str">
        <f t="shared" si="1"/>
        <v/>
      </c>
      <c r="AQ17" s="171" t="str">
        <f t="shared" si="1"/>
        <v/>
      </c>
      <c r="AR17" s="171" t="str">
        <f t="shared" si="1"/>
        <v/>
      </c>
      <c r="AS17" s="171" t="str">
        <f t="shared" si="1"/>
        <v/>
      </c>
      <c r="AT17" s="171" t="str">
        <f t="shared" si="1"/>
        <v/>
      </c>
      <c r="AU17" s="171" t="str">
        <f t="shared" si="1"/>
        <v/>
      </c>
      <c r="AV17" s="171" t="str">
        <f t="shared" si="1"/>
        <v/>
      </c>
      <c r="AW17" s="171" t="str">
        <f t="shared" si="1"/>
        <v/>
      </c>
      <c r="AX17" s="171" t="str">
        <f t="shared" si="1"/>
        <v/>
      </c>
      <c r="AY17" s="171" t="str">
        <f t="shared" si="1"/>
        <v/>
      </c>
      <c r="AZ17" s="168"/>
    </row>
    <row r="18" spans="1:52" ht="15">
      <c r="A18" s="618" t="s">
        <v>169</v>
      </c>
      <c r="B18" s="164" t="s">
        <v>170</v>
      </c>
      <c r="C18" s="165" t="s">
        <v>74</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c r="AZ18" s="130"/>
    </row>
    <row r="19" spans="1:52" ht="15">
      <c r="A19" s="618"/>
      <c r="B19" s="164" t="s">
        <v>171</v>
      </c>
      <c r="C19" s="165" t="s">
        <v>75</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c r="AZ19" s="130"/>
    </row>
    <row r="20" spans="1:52" ht="15">
      <c r="A20" s="618"/>
      <c r="B20" s="164" t="s">
        <v>172</v>
      </c>
      <c r="C20" s="165" t="s">
        <v>173</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c r="AZ20" s="130"/>
    </row>
    <row r="21" spans="1:52" ht="15">
      <c r="A21" s="618"/>
      <c r="B21" s="164" t="s">
        <v>174</v>
      </c>
      <c r="C21" s="165" t="s">
        <v>77</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c r="AZ21" s="130"/>
    </row>
    <row r="22" spans="1:52" ht="15">
      <c r="A22" s="618"/>
      <c r="B22" s="164" t="s">
        <v>175</v>
      </c>
      <c r="C22" s="165" t="s">
        <v>78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c r="AZ22" s="130"/>
    </row>
    <row r="23" spans="1:52" ht="15">
      <c r="A23" s="618"/>
      <c r="B23" s="166"/>
      <c r="C23" s="167"/>
      <c r="D23" s="171" t="str">
        <f>IF(AND(D18="",D19="",D20="",D21="",D22=""),"",AVERAGE(D18:D22))</f>
        <v/>
      </c>
      <c r="E23" s="171" t="str">
        <f t="shared" ref="E23:AY23" si="2">IF(AND(E18="",E19="",E20="",E21="",E22=""),"",AVERAGE(E18:E22))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c r="AZ23" s="168"/>
    </row>
    <row r="24" spans="1:52" ht="15">
      <c r="A24" s="617" t="s">
        <v>10</v>
      </c>
      <c r="B24" s="164" t="s">
        <v>176</v>
      </c>
      <c r="C24" s="165" t="s">
        <v>177</v>
      </c>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130"/>
    </row>
    <row r="25" spans="1:52" ht="15">
      <c r="A25" s="617"/>
      <c r="B25" s="164" t="s">
        <v>178</v>
      </c>
      <c r="C25" s="165" t="s">
        <v>179</v>
      </c>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c r="AZ25" s="130"/>
    </row>
    <row r="26" spans="1:52" ht="15">
      <c r="A26" s="617"/>
      <c r="B26" s="164" t="s">
        <v>180</v>
      </c>
      <c r="C26" s="165" t="s">
        <v>181</v>
      </c>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130"/>
    </row>
    <row r="27" spans="1:52" ht="15">
      <c r="A27" s="617"/>
      <c r="B27" s="164" t="s">
        <v>182</v>
      </c>
      <c r="C27" s="165" t="s">
        <v>82</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130"/>
    </row>
    <row r="28" spans="1:52" ht="15">
      <c r="A28" s="617"/>
      <c r="B28" s="164" t="s">
        <v>183</v>
      </c>
      <c r="C28" s="165" t="s">
        <v>83</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130"/>
    </row>
    <row r="29" spans="1:52" ht="15">
      <c r="A29" s="617"/>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c r="AZ29" s="168"/>
    </row>
    <row r="30" spans="1:52" ht="15">
      <c r="A30" s="618" t="s">
        <v>184</v>
      </c>
      <c r="B30" s="164" t="s">
        <v>185</v>
      </c>
      <c r="C30" s="165" t="s">
        <v>84</v>
      </c>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c r="AZ30" s="130"/>
    </row>
    <row r="31" spans="1:52" ht="15">
      <c r="A31" s="618"/>
      <c r="B31" s="164" t="s">
        <v>186</v>
      </c>
      <c r="C31" s="165" t="s">
        <v>187</v>
      </c>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c r="AZ31" s="130"/>
    </row>
    <row r="32" spans="1:52" ht="15">
      <c r="A32" s="618"/>
      <c r="B32" s="164" t="s">
        <v>188</v>
      </c>
      <c r="C32" s="165" t="s">
        <v>86</v>
      </c>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c r="AZ32" s="130"/>
    </row>
    <row r="33" spans="1:52" ht="15">
      <c r="A33" s="618"/>
      <c r="B33" s="164" t="s">
        <v>189</v>
      </c>
      <c r="C33" s="165" t="s">
        <v>190</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130"/>
    </row>
    <row r="34" spans="1:52" ht="15">
      <c r="A34" s="618"/>
      <c r="B34" s="166"/>
      <c r="C34" s="167"/>
      <c r="D34" s="171" t="str">
        <f>IF(AND(D30="",D31="",D32="",D33=""),"",AVERAGE(D30:D33))</f>
        <v/>
      </c>
      <c r="E34" s="171" t="str">
        <f t="shared" ref="E34:AY34" si="4">IF(AND(E30="",E31="",E32="",E33=""),"",AVERAGE(E30:E33))</f>
        <v/>
      </c>
      <c r="F34" s="171" t="str">
        <f t="shared" si="4"/>
        <v/>
      </c>
      <c r="G34" s="171" t="str">
        <f t="shared" si="4"/>
        <v/>
      </c>
      <c r="H34" s="171" t="str">
        <f t="shared" si="4"/>
        <v/>
      </c>
      <c r="I34" s="171" t="str">
        <f t="shared" si="4"/>
        <v/>
      </c>
      <c r="J34" s="171" t="str">
        <f t="shared" si="4"/>
        <v/>
      </c>
      <c r="K34" s="171" t="str">
        <f t="shared" si="4"/>
        <v/>
      </c>
      <c r="L34" s="171" t="str">
        <f t="shared" si="4"/>
        <v/>
      </c>
      <c r="M34" s="171" t="str">
        <f t="shared" si="4"/>
        <v/>
      </c>
      <c r="N34" s="171" t="str">
        <f t="shared" si="4"/>
        <v/>
      </c>
      <c r="O34" s="171" t="str">
        <f t="shared" si="4"/>
        <v/>
      </c>
      <c r="P34" s="171" t="str">
        <f t="shared" si="4"/>
        <v/>
      </c>
      <c r="Q34" s="171" t="str">
        <f t="shared" si="4"/>
        <v/>
      </c>
      <c r="R34" s="171" t="str">
        <f t="shared" si="4"/>
        <v/>
      </c>
      <c r="S34" s="171" t="str">
        <f t="shared" si="4"/>
        <v/>
      </c>
      <c r="T34" s="171" t="str">
        <f t="shared" si="4"/>
        <v/>
      </c>
      <c r="U34" s="171" t="str">
        <f t="shared" si="4"/>
        <v/>
      </c>
      <c r="V34" s="171" t="str">
        <f t="shared" si="4"/>
        <v/>
      </c>
      <c r="W34" s="171" t="str">
        <f t="shared" si="4"/>
        <v/>
      </c>
      <c r="X34" s="171" t="str">
        <f t="shared" si="4"/>
        <v/>
      </c>
      <c r="Y34" s="171" t="str">
        <f t="shared" si="4"/>
        <v/>
      </c>
      <c r="Z34" s="171" t="str">
        <f t="shared" si="4"/>
        <v/>
      </c>
      <c r="AA34" s="171" t="str">
        <f t="shared" si="4"/>
        <v/>
      </c>
      <c r="AB34" s="171" t="str">
        <f t="shared" si="4"/>
        <v/>
      </c>
      <c r="AC34" s="171" t="str">
        <f t="shared" si="4"/>
        <v/>
      </c>
      <c r="AD34" s="171" t="str">
        <f t="shared" si="4"/>
        <v/>
      </c>
      <c r="AE34" s="171" t="str">
        <f t="shared" si="4"/>
        <v/>
      </c>
      <c r="AF34" s="171" t="str">
        <f t="shared" si="4"/>
        <v/>
      </c>
      <c r="AG34" s="171" t="str">
        <f t="shared" si="4"/>
        <v/>
      </c>
      <c r="AH34" s="171" t="str">
        <f t="shared" si="4"/>
        <v/>
      </c>
      <c r="AI34" s="171" t="str">
        <f t="shared" si="4"/>
        <v/>
      </c>
      <c r="AJ34" s="171" t="str">
        <f t="shared" si="4"/>
        <v/>
      </c>
      <c r="AK34" s="171" t="str">
        <f t="shared" si="4"/>
        <v/>
      </c>
      <c r="AL34" s="171" t="str">
        <f t="shared" si="4"/>
        <v/>
      </c>
      <c r="AM34" s="171" t="str">
        <f t="shared" si="4"/>
        <v/>
      </c>
      <c r="AN34" s="171" t="str">
        <f t="shared" si="4"/>
        <v/>
      </c>
      <c r="AO34" s="171" t="str">
        <f t="shared" si="4"/>
        <v/>
      </c>
      <c r="AP34" s="171" t="str">
        <f t="shared" si="4"/>
        <v/>
      </c>
      <c r="AQ34" s="171" t="str">
        <f t="shared" si="4"/>
        <v/>
      </c>
      <c r="AR34" s="171" t="str">
        <f t="shared" si="4"/>
        <v/>
      </c>
      <c r="AS34" s="171" t="str">
        <f t="shared" si="4"/>
        <v/>
      </c>
      <c r="AT34" s="171" t="str">
        <f t="shared" si="4"/>
        <v/>
      </c>
      <c r="AU34" s="171" t="str">
        <f t="shared" si="4"/>
        <v/>
      </c>
      <c r="AV34" s="171" t="str">
        <f t="shared" si="4"/>
        <v/>
      </c>
      <c r="AW34" s="171" t="str">
        <f t="shared" si="4"/>
        <v/>
      </c>
      <c r="AX34" s="171" t="str">
        <f t="shared" si="4"/>
        <v/>
      </c>
      <c r="AY34" s="171" t="str">
        <f t="shared" si="4"/>
        <v/>
      </c>
      <c r="AZ34" s="168"/>
    </row>
    <row r="35" spans="1:52" ht="15">
      <c r="A35" s="617" t="s">
        <v>12</v>
      </c>
      <c r="B35" s="164" t="s">
        <v>191</v>
      </c>
      <c r="C35" s="165" t="s">
        <v>88</v>
      </c>
      <c r="D35" s="34"/>
      <c r="E35" s="34"/>
      <c r="F35" s="34"/>
      <c r="G35" s="34"/>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130"/>
    </row>
    <row r="36" spans="1:52" ht="15">
      <c r="A36" s="617"/>
      <c r="B36" s="164" t="s">
        <v>192</v>
      </c>
      <c r="C36" s="165" t="s">
        <v>89</v>
      </c>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130"/>
    </row>
    <row r="37" spans="1:52" ht="15">
      <c r="A37" s="617"/>
      <c r="B37" s="164" t="s">
        <v>193</v>
      </c>
      <c r="C37" s="165" t="s">
        <v>90</v>
      </c>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130"/>
    </row>
    <row r="38" spans="1:52" ht="15">
      <c r="A38" s="617"/>
      <c r="B38" s="164" t="s">
        <v>194</v>
      </c>
      <c r="C38" s="165" t="s">
        <v>195</v>
      </c>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130"/>
    </row>
    <row r="39" spans="1:52" ht="15">
      <c r="A39" s="617"/>
      <c r="B39" s="164" t="s">
        <v>196</v>
      </c>
      <c r="C39" s="165" t="s">
        <v>197</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130"/>
    </row>
    <row r="40" spans="1:52" ht="15">
      <c r="A40" s="617"/>
      <c r="B40" s="166"/>
      <c r="C40" s="167"/>
      <c r="D40" s="171" t="str">
        <f>IF(AND(D35="",D36="",D37="",D38="",D39=""),"",AVERAGE(D35:D39))</f>
        <v/>
      </c>
      <c r="E40" s="171" t="str">
        <f t="shared" ref="E40:AY40" si="5">IF(AND(E35="",E36="",E37="",E38="",E39=""),"",AVERAGE(E35:E39))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c r="AZ40" s="168"/>
    </row>
    <row r="41" spans="1:52" ht="15">
      <c r="A41" s="618" t="s">
        <v>13</v>
      </c>
      <c r="B41" s="164" t="s">
        <v>198</v>
      </c>
      <c r="C41" s="165" t="s">
        <v>93</v>
      </c>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130"/>
    </row>
    <row r="42" spans="1:52" ht="15">
      <c r="A42" s="618"/>
      <c r="B42" s="164" t="s">
        <v>199</v>
      </c>
      <c r="C42" s="165" t="s">
        <v>94</v>
      </c>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130"/>
    </row>
    <row r="43" spans="1:52" ht="15">
      <c r="A43" s="618"/>
      <c r="B43" s="164" t="s">
        <v>200</v>
      </c>
      <c r="C43" s="165" t="s">
        <v>201</v>
      </c>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130"/>
    </row>
    <row r="44" spans="1:52" ht="15">
      <c r="A44" s="618"/>
      <c r="B44" s="164" t="s">
        <v>202</v>
      </c>
      <c r="C44" s="165" t="s">
        <v>203</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130"/>
    </row>
    <row r="45" spans="1:52" ht="15">
      <c r="A45" s="618"/>
      <c r="B45" s="164" t="s">
        <v>204</v>
      </c>
      <c r="C45" s="165" t="s">
        <v>205</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130"/>
    </row>
    <row r="46" spans="1:52" ht="15">
      <c r="A46" s="618"/>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c r="AZ46" s="168"/>
    </row>
    <row r="47" spans="1:52" ht="15">
      <c r="AI47" s="169"/>
      <c r="AJ47" s="169"/>
      <c r="AK47" s="169"/>
      <c r="AL47" s="169"/>
      <c r="AM47" s="169"/>
      <c r="AN47" s="169"/>
      <c r="AO47" s="169"/>
      <c r="AP47" s="169"/>
      <c r="AQ47" s="169"/>
      <c r="AR47" s="169"/>
      <c r="AS47" s="169"/>
      <c r="AT47" s="169"/>
      <c r="AU47" s="169"/>
      <c r="AV47" s="169"/>
      <c r="AW47" s="169"/>
      <c r="AX47" s="169"/>
      <c r="AY47" s="169"/>
    </row>
    <row r="48" spans="1:52" ht="15">
      <c r="C48" s="169"/>
      <c r="D48" s="172" t="e">
        <f>AVERAGE(D46,D40,D34,D29,D23,D17,D8)</f>
        <v>#DIV/0!</v>
      </c>
      <c r="E48" s="172" t="e">
        <f t="shared" ref="E48:AY48" si="7">AVERAGE(E46,E40,E34,E29,E23,E17,E8)</f>
        <v>#DIV/0!</v>
      </c>
      <c r="F48" s="172" t="e">
        <f t="shared" si="7"/>
        <v>#DIV/0!</v>
      </c>
      <c r="G48" s="172" t="e">
        <f t="shared" si="7"/>
        <v>#DIV/0!</v>
      </c>
      <c r="H48" s="172" t="e">
        <f t="shared" si="7"/>
        <v>#DIV/0!</v>
      </c>
      <c r="I48" s="172" t="e">
        <f t="shared" si="7"/>
        <v>#DIV/0!</v>
      </c>
      <c r="J48" s="172" t="e">
        <f t="shared" si="7"/>
        <v>#DIV/0!</v>
      </c>
      <c r="K48" s="172" t="e">
        <f t="shared" si="7"/>
        <v>#DIV/0!</v>
      </c>
      <c r="L48" s="172" t="e">
        <f t="shared" si="7"/>
        <v>#DIV/0!</v>
      </c>
      <c r="M48" s="172" t="e">
        <f t="shared" si="7"/>
        <v>#DIV/0!</v>
      </c>
      <c r="N48" s="172" t="e">
        <f t="shared" si="7"/>
        <v>#DIV/0!</v>
      </c>
      <c r="O48" s="172" t="e">
        <f t="shared" si="7"/>
        <v>#DIV/0!</v>
      </c>
      <c r="P48" s="172" t="e">
        <f t="shared" si="7"/>
        <v>#DIV/0!</v>
      </c>
      <c r="Q48" s="172" t="e">
        <f t="shared" si="7"/>
        <v>#DIV/0!</v>
      </c>
      <c r="R48" s="172" t="e">
        <f t="shared" si="7"/>
        <v>#DIV/0!</v>
      </c>
      <c r="S48" s="172" t="e">
        <f t="shared" si="7"/>
        <v>#DIV/0!</v>
      </c>
      <c r="T48" s="172" t="e">
        <f t="shared" si="7"/>
        <v>#DIV/0!</v>
      </c>
      <c r="U48" s="172" t="e">
        <f t="shared" si="7"/>
        <v>#DIV/0!</v>
      </c>
      <c r="V48" s="172" t="e">
        <f t="shared" si="7"/>
        <v>#DIV/0!</v>
      </c>
      <c r="W48" s="172" t="e">
        <f t="shared" si="7"/>
        <v>#DIV/0!</v>
      </c>
      <c r="X48" s="172" t="e">
        <f t="shared" si="7"/>
        <v>#DIV/0!</v>
      </c>
      <c r="Y48" s="172" t="e">
        <f t="shared" si="7"/>
        <v>#DIV/0!</v>
      </c>
      <c r="Z48" s="172" t="e">
        <f t="shared" si="7"/>
        <v>#DIV/0!</v>
      </c>
      <c r="AA48" s="172" t="e">
        <f t="shared" si="7"/>
        <v>#DIV/0!</v>
      </c>
      <c r="AB48" s="172" t="e">
        <f t="shared" si="7"/>
        <v>#DIV/0!</v>
      </c>
      <c r="AC48" s="172" t="e">
        <f t="shared" si="7"/>
        <v>#DIV/0!</v>
      </c>
      <c r="AD48" s="172" t="e">
        <f t="shared" si="7"/>
        <v>#DIV/0!</v>
      </c>
      <c r="AE48" s="172" t="e">
        <f t="shared" si="7"/>
        <v>#DIV/0!</v>
      </c>
      <c r="AF48" s="172" t="e">
        <f t="shared" si="7"/>
        <v>#DIV/0!</v>
      </c>
      <c r="AG48" s="172" t="e">
        <f t="shared" si="7"/>
        <v>#DIV/0!</v>
      </c>
      <c r="AH48" s="172" t="e">
        <f t="shared" si="7"/>
        <v>#DIV/0!</v>
      </c>
      <c r="AI48" s="172" t="e">
        <f t="shared" si="7"/>
        <v>#DIV/0!</v>
      </c>
      <c r="AJ48" s="172" t="e">
        <f t="shared" si="7"/>
        <v>#DIV/0!</v>
      </c>
      <c r="AK48" s="172" t="e">
        <f t="shared" si="7"/>
        <v>#DIV/0!</v>
      </c>
      <c r="AL48" s="172" t="e">
        <f t="shared" si="7"/>
        <v>#DIV/0!</v>
      </c>
      <c r="AM48" s="172" t="e">
        <f t="shared" si="7"/>
        <v>#DIV/0!</v>
      </c>
      <c r="AN48" s="172" t="e">
        <f t="shared" si="7"/>
        <v>#DIV/0!</v>
      </c>
      <c r="AO48" s="172" t="e">
        <f t="shared" si="7"/>
        <v>#DIV/0!</v>
      </c>
      <c r="AP48" s="172" t="e">
        <f t="shared" si="7"/>
        <v>#DIV/0!</v>
      </c>
      <c r="AQ48" s="172" t="e">
        <f t="shared" si="7"/>
        <v>#DIV/0!</v>
      </c>
      <c r="AR48" s="172" t="e">
        <f t="shared" si="7"/>
        <v>#DIV/0!</v>
      </c>
      <c r="AS48" s="172" t="e">
        <f t="shared" si="7"/>
        <v>#DIV/0!</v>
      </c>
      <c r="AT48" s="172" t="e">
        <f t="shared" si="7"/>
        <v>#DIV/0!</v>
      </c>
      <c r="AU48" s="172" t="e">
        <f t="shared" si="7"/>
        <v>#DIV/0!</v>
      </c>
      <c r="AV48" s="172" t="e">
        <f t="shared" si="7"/>
        <v>#DIV/0!</v>
      </c>
      <c r="AW48" s="172" t="e">
        <f t="shared" si="7"/>
        <v>#DIV/0!</v>
      </c>
      <c r="AX48" s="172" t="e">
        <f t="shared" si="7"/>
        <v>#DIV/0!</v>
      </c>
      <c r="AY48" s="172" t="e">
        <f t="shared" si="7"/>
        <v>#DIV/0!</v>
      </c>
      <c r="AZ48" s="169"/>
    </row>
    <row r="49" ht="15"/>
    <row r="50" ht="15"/>
    <row r="51" ht="15"/>
    <row r="52" ht="15"/>
    <row r="53" ht="15"/>
    <row r="54" ht="15"/>
  </sheetData>
  <sheetProtection password="C522" sheet="1" objects="1" scenarios="1" formatCells="0" formatColumns="0" formatRows="0" insertColumns="0" insertRows="0" insertHyperlinks="0" deleteColumns="0" deleteRows="0" sort="0"/>
  <mergeCells count="7">
    <mergeCell ref="A41:A46"/>
    <mergeCell ref="A3:A8"/>
    <mergeCell ref="A9:A17"/>
    <mergeCell ref="A18:A23"/>
    <mergeCell ref="A24:A29"/>
    <mergeCell ref="A30:A34"/>
    <mergeCell ref="A35:A40"/>
  </mergeCells>
  <conditionalFormatting sqref="D1:BA1 D2:AZ7 D9:AZ16 AZ8 D18:AZ22 AZ17 D24:AZ28 AZ23 D30:AZ33 AZ29 D35:AZ39 AZ34 D41:AZ45 AZ40 AZ46">
    <cfRule type="expression" dxfId="597" priority="78">
      <formula>MOD(COLUMN(),2)=1</formula>
    </cfRule>
  </conditionalFormatting>
  <conditionalFormatting sqref="B8:C8 B23:C23 B29:C29 B40:C40 B46:C46 AZ8 AZ23 AZ29 AZ40 AZ46">
    <cfRule type="cellIs" dxfId="596" priority="77" operator="notEqual">
      <formula>$B$2</formula>
    </cfRule>
  </conditionalFormatting>
  <conditionalFormatting sqref="B17:C17 AZ17">
    <cfRule type="cellIs" dxfId="595" priority="76" operator="notEqual">
      <formula>$B$2</formula>
    </cfRule>
  </conditionalFormatting>
  <conditionalFormatting sqref="B34:C34 AZ34">
    <cfRule type="cellIs" dxfId="594" priority="75" operator="notEqual">
      <formula>$B$2</formula>
    </cfRule>
  </conditionalFormatting>
  <conditionalFormatting sqref="AZ8 AZ23 AZ29 AZ40 AZ46">
    <cfRule type="cellIs" dxfId="593" priority="74" operator="notEqual">
      <formula>$B$2</formula>
    </cfRule>
  </conditionalFormatting>
  <conditionalFormatting sqref="AZ17">
    <cfRule type="cellIs" dxfId="592" priority="73" operator="notEqual">
      <formula>$B$2</formula>
    </cfRule>
  </conditionalFormatting>
  <conditionalFormatting sqref="AZ34">
    <cfRule type="cellIs" dxfId="591" priority="72" operator="notEqual">
      <formula>$B$2</formula>
    </cfRule>
  </conditionalFormatting>
  <conditionalFormatting sqref="D8:AY8">
    <cfRule type="expression" dxfId="590" priority="64">
      <formula>MOD(COLUMN(),2)=1</formula>
    </cfRule>
  </conditionalFormatting>
  <conditionalFormatting sqref="D8:AY8">
    <cfRule type="cellIs" dxfId="589" priority="63" operator="notEqual">
      <formula>$B$2</formula>
    </cfRule>
  </conditionalFormatting>
  <conditionalFormatting sqref="D8:AY8">
    <cfRule type="expression" dxfId="588" priority="62">
      <formula>MOD(COLUMN(),2)=1</formula>
    </cfRule>
  </conditionalFormatting>
  <conditionalFormatting sqref="D8:AY8">
    <cfRule type="cellIs" dxfId="587" priority="61" operator="notEqual">
      <formula>$B$2</formula>
    </cfRule>
  </conditionalFormatting>
  <conditionalFormatting sqref="D8:AY8">
    <cfRule type="expression" dxfId="586" priority="60">
      <formula>MOD(COLUMN(),2)=1</formula>
    </cfRule>
  </conditionalFormatting>
  <conditionalFormatting sqref="D8:AY8">
    <cfRule type="cellIs" dxfId="585" priority="59" operator="notEqual">
      <formula>$B$2</formula>
    </cfRule>
  </conditionalFormatting>
  <conditionalFormatting sqref="D8:AY8">
    <cfRule type="expression" dxfId="584" priority="58">
      <formula>MOD(COLUMN(),2)=1</formula>
    </cfRule>
  </conditionalFormatting>
  <conditionalFormatting sqref="D8:AY8">
    <cfRule type="cellIs" dxfId="583" priority="57" operator="notEqual">
      <formula>$B$2</formula>
    </cfRule>
  </conditionalFormatting>
  <conditionalFormatting sqref="D17:AY17">
    <cfRule type="expression" dxfId="582" priority="56">
      <formula>MOD(COLUMN(),2)=1</formula>
    </cfRule>
  </conditionalFormatting>
  <conditionalFormatting sqref="D17:AY17">
    <cfRule type="cellIs" dxfId="581" priority="55" operator="notEqual">
      <formula>$B$2</formula>
    </cfRule>
  </conditionalFormatting>
  <conditionalFormatting sqref="D17:AY17">
    <cfRule type="expression" dxfId="580" priority="54">
      <formula>MOD(COLUMN(),2)=1</formula>
    </cfRule>
  </conditionalFormatting>
  <conditionalFormatting sqref="D17:AY17">
    <cfRule type="cellIs" dxfId="579" priority="53" operator="notEqual">
      <formula>$B$2</formula>
    </cfRule>
  </conditionalFormatting>
  <conditionalFormatting sqref="D17:AY17">
    <cfRule type="expression" dxfId="578" priority="52">
      <formula>MOD(COLUMN(),2)=1</formula>
    </cfRule>
  </conditionalFormatting>
  <conditionalFormatting sqref="D17:AY17">
    <cfRule type="cellIs" dxfId="577" priority="51" operator="notEqual">
      <formula>$B$2</formula>
    </cfRule>
  </conditionalFormatting>
  <conditionalFormatting sqref="D17:AY17">
    <cfRule type="expression" dxfId="576" priority="50">
      <formula>MOD(COLUMN(),2)=1</formula>
    </cfRule>
  </conditionalFormatting>
  <conditionalFormatting sqref="D17:AY17">
    <cfRule type="cellIs" dxfId="575" priority="49" operator="notEqual">
      <formula>$B$2</formula>
    </cfRule>
  </conditionalFormatting>
  <conditionalFormatting sqref="D23:AY23">
    <cfRule type="expression" dxfId="574" priority="40">
      <formula>MOD(COLUMN(),2)=1</formula>
    </cfRule>
  </conditionalFormatting>
  <conditionalFormatting sqref="D23:AY23">
    <cfRule type="cellIs" dxfId="573" priority="39" operator="notEqual">
      <formula>$B$2</formula>
    </cfRule>
  </conditionalFormatting>
  <conditionalFormatting sqref="D23:AY23">
    <cfRule type="expression" dxfId="572" priority="38">
      <formula>MOD(COLUMN(),2)=1</formula>
    </cfRule>
  </conditionalFormatting>
  <conditionalFormatting sqref="D23:AY23">
    <cfRule type="cellIs" dxfId="571" priority="37" operator="notEqual">
      <formula>$B$2</formula>
    </cfRule>
  </conditionalFormatting>
  <conditionalFormatting sqref="D23:AY23">
    <cfRule type="expression" dxfId="570" priority="36">
      <formula>MOD(COLUMN(),2)=1</formula>
    </cfRule>
  </conditionalFormatting>
  <conditionalFormatting sqref="D23:AY23">
    <cfRule type="cellIs" dxfId="569" priority="35" operator="notEqual">
      <formula>$B$2</formula>
    </cfRule>
  </conditionalFormatting>
  <conditionalFormatting sqref="D23:AY23">
    <cfRule type="expression" dxfId="568" priority="34">
      <formula>MOD(COLUMN(),2)=1</formula>
    </cfRule>
  </conditionalFormatting>
  <conditionalFormatting sqref="D23:AY23">
    <cfRule type="cellIs" dxfId="567" priority="33" operator="notEqual">
      <formula>$B$2</formula>
    </cfRule>
  </conditionalFormatting>
  <conditionalFormatting sqref="D29:AY29">
    <cfRule type="expression" dxfId="566" priority="32">
      <formula>MOD(COLUMN(),2)=1</formula>
    </cfRule>
  </conditionalFormatting>
  <conditionalFormatting sqref="D29:AY29">
    <cfRule type="cellIs" dxfId="565" priority="31" operator="notEqual">
      <formula>$B$2</formula>
    </cfRule>
  </conditionalFormatting>
  <conditionalFormatting sqref="D29:AY29">
    <cfRule type="expression" dxfId="564" priority="30">
      <formula>MOD(COLUMN(),2)=1</formula>
    </cfRule>
  </conditionalFormatting>
  <conditionalFormatting sqref="D29:AY29">
    <cfRule type="cellIs" dxfId="563" priority="29" operator="notEqual">
      <formula>$B$2</formula>
    </cfRule>
  </conditionalFormatting>
  <conditionalFormatting sqref="D29:AY29">
    <cfRule type="expression" dxfId="562" priority="28">
      <formula>MOD(COLUMN(),2)=1</formula>
    </cfRule>
  </conditionalFormatting>
  <conditionalFormatting sqref="D29:AY29">
    <cfRule type="cellIs" dxfId="561" priority="27" operator="notEqual">
      <formula>$B$2</formula>
    </cfRule>
  </conditionalFormatting>
  <conditionalFormatting sqref="D29:AY29">
    <cfRule type="expression" dxfId="560" priority="26">
      <formula>MOD(COLUMN(),2)=1</formula>
    </cfRule>
  </conditionalFormatting>
  <conditionalFormatting sqref="D29:AY29">
    <cfRule type="cellIs" dxfId="559" priority="25" operator="notEqual">
      <formula>$B$2</formula>
    </cfRule>
  </conditionalFormatting>
  <conditionalFormatting sqref="D34:AY34">
    <cfRule type="expression" dxfId="558" priority="24">
      <formula>MOD(COLUMN(),2)=1</formula>
    </cfRule>
  </conditionalFormatting>
  <conditionalFormatting sqref="D34:AY34">
    <cfRule type="cellIs" dxfId="557" priority="23" operator="notEqual">
      <formula>$B$2</formula>
    </cfRule>
  </conditionalFormatting>
  <conditionalFormatting sqref="D34:AY34">
    <cfRule type="expression" dxfId="556" priority="22">
      <formula>MOD(COLUMN(),2)=1</formula>
    </cfRule>
  </conditionalFormatting>
  <conditionalFormatting sqref="D34:AY34">
    <cfRule type="cellIs" dxfId="555" priority="21" operator="notEqual">
      <formula>$B$2</formula>
    </cfRule>
  </conditionalFormatting>
  <conditionalFormatting sqref="D34:AY34">
    <cfRule type="expression" dxfId="554" priority="20">
      <formula>MOD(COLUMN(),2)=1</formula>
    </cfRule>
  </conditionalFormatting>
  <conditionalFormatting sqref="D34:AY34">
    <cfRule type="cellIs" dxfId="553" priority="19" operator="notEqual">
      <formula>$B$2</formula>
    </cfRule>
  </conditionalFormatting>
  <conditionalFormatting sqref="D34:AY34">
    <cfRule type="expression" dxfId="552" priority="18">
      <formula>MOD(COLUMN(),2)=1</formula>
    </cfRule>
  </conditionalFormatting>
  <conditionalFormatting sqref="D34:AY34">
    <cfRule type="cellIs" dxfId="551" priority="17" operator="notEqual">
      <formula>$B$2</formula>
    </cfRule>
  </conditionalFormatting>
  <conditionalFormatting sqref="D40:AY40">
    <cfRule type="expression" dxfId="550" priority="16">
      <formula>MOD(COLUMN(),2)=1</formula>
    </cfRule>
  </conditionalFormatting>
  <conditionalFormatting sqref="D40:AY40">
    <cfRule type="cellIs" dxfId="549" priority="15" operator="notEqual">
      <formula>$B$2</formula>
    </cfRule>
  </conditionalFormatting>
  <conditionalFormatting sqref="D40:AY40">
    <cfRule type="expression" dxfId="548" priority="14">
      <formula>MOD(COLUMN(),2)=1</formula>
    </cfRule>
  </conditionalFormatting>
  <conditionalFormatting sqref="D40:AY40">
    <cfRule type="cellIs" dxfId="547" priority="13" operator="notEqual">
      <formula>$B$2</formula>
    </cfRule>
  </conditionalFormatting>
  <conditionalFormatting sqref="D40:AY40">
    <cfRule type="expression" dxfId="546" priority="12">
      <formula>MOD(COLUMN(),2)=1</formula>
    </cfRule>
  </conditionalFormatting>
  <conditionalFormatting sqref="D40:AY40">
    <cfRule type="cellIs" dxfId="545" priority="11" operator="notEqual">
      <formula>$B$2</formula>
    </cfRule>
  </conditionalFormatting>
  <conditionalFormatting sqref="D40:AY40">
    <cfRule type="expression" dxfId="544" priority="10">
      <formula>MOD(COLUMN(),2)=1</formula>
    </cfRule>
  </conditionalFormatting>
  <conditionalFormatting sqref="D40:AY40">
    <cfRule type="cellIs" dxfId="543" priority="9" operator="notEqual">
      <formula>$B$2</formula>
    </cfRule>
  </conditionalFormatting>
  <conditionalFormatting sqref="D46:AY46">
    <cfRule type="expression" dxfId="542" priority="8">
      <formula>MOD(COLUMN(),2)=1</formula>
    </cfRule>
  </conditionalFormatting>
  <conditionalFormatting sqref="D46:AY46">
    <cfRule type="cellIs" dxfId="541" priority="7" operator="notEqual">
      <formula>$B$2</formula>
    </cfRule>
  </conditionalFormatting>
  <conditionalFormatting sqref="D46:AY46">
    <cfRule type="expression" dxfId="540" priority="6">
      <formula>MOD(COLUMN(),2)=1</formula>
    </cfRule>
  </conditionalFormatting>
  <conditionalFormatting sqref="D46:AY46">
    <cfRule type="cellIs" dxfId="539" priority="5" operator="notEqual">
      <formula>$B$2</formula>
    </cfRule>
  </conditionalFormatting>
  <conditionalFormatting sqref="D46:AY46">
    <cfRule type="expression" dxfId="538" priority="4">
      <formula>MOD(COLUMN(),2)=1</formula>
    </cfRule>
  </conditionalFormatting>
  <conditionalFormatting sqref="D46:AY46">
    <cfRule type="cellIs" dxfId="537" priority="3" operator="notEqual">
      <formula>$B$2</formula>
    </cfRule>
  </conditionalFormatting>
  <conditionalFormatting sqref="D46:AY46">
    <cfRule type="expression" dxfId="536" priority="2">
      <formula>MOD(COLUMN(),2)=1</formula>
    </cfRule>
  </conditionalFormatting>
  <conditionalFormatting sqref="D46:AY46">
    <cfRule type="cellIs" dxfId="535" priority="1" operator="notEqual">
      <formula>$B$2</formula>
    </cfRule>
  </conditionalFormatting>
  <dataValidations count="1">
    <dataValidation type="whole" allowBlank="1" showInputMessage="1" showErrorMessage="1" errorTitle="STOP" error="ANGKA YANG DIMASUKAN MELEBIHI 4" prompt="4 =  Selalu&#10;3 = Sering&#10;2 = Kadang2&#10;1 = Tidak Pernah" sqref="D41:AZ45 D35:AZ39 D30:AZ33 D24:AZ28 D18:AZ22 D9:AZ16 D3:AZ7">
      <formula1>1</formula1>
      <formula2>4</formula2>
    </dataValidation>
  </dataValidations>
  <pageMargins left="0.7" right="0.7" top="0.75" bottom="0.75" header="0.3" footer="0.3"/>
  <pageSetup paperSize="513" orientation="portrait" horizontalDpi="0" verticalDpi="0" r:id="rId1"/>
  <drawing r:id="rId2"/>
</worksheet>
</file>

<file path=xl/worksheets/sheet20.xml><?xml version="1.0" encoding="utf-8"?>
<worksheet xmlns="http://schemas.openxmlformats.org/spreadsheetml/2006/main" xmlns:r="http://schemas.openxmlformats.org/officeDocument/2006/relationships">
  <sheetPr codeName="Sheet28"/>
  <dimension ref="A1:AR56"/>
  <sheetViews>
    <sheetView view="pageBreakPreview" zoomScaleSheetLayoutView="100" workbookViewId="0">
      <pane xSplit="5" ySplit="8" topLeftCell="F9" activePane="bottomRight" state="frozen"/>
      <selection pane="topRight" activeCell="F1" sqref="F1"/>
      <selection pane="bottomLeft" activeCell="A5" sqref="A5"/>
      <selection pane="bottomRight" activeCell="K12" sqref="K12"/>
    </sheetView>
  </sheetViews>
  <sheetFormatPr defaultRowHeight="15" customHeight="1"/>
  <cols>
    <col min="1" max="1" width="4.85546875" style="95" customWidth="1"/>
    <col min="2" max="2" width="7.140625" style="95" customWidth="1"/>
    <col min="3" max="3" width="32.5703125" style="95" customWidth="1"/>
    <col min="4" max="4" width="5.85546875" style="95" customWidth="1"/>
    <col min="5" max="24" width="5.28515625" style="95" customWidth="1"/>
    <col min="25" max="44" width="5.7109375" style="95" customWidth="1"/>
    <col min="45" max="16384" width="9.140625" style="95"/>
  </cols>
  <sheetData>
    <row r="1" spans="1:44" ht="28.5">
      <c r="A1" s="194" t="str">
        <f>"DAFTAR NILAI"&amp;" "&amp;menu!D14</f>
        <v>DAFTAR NILAI VII-J</v>
      </c>
      <c r="F1" s="621" t="s">
        <v>318</v>
      </c>
      <c r="G1" s="622"/>
      <c r="H1" s="622"/>
      <c r="I1" s="622"/>
      <c r="J1" s="622"/>
      <c r="K1" s="622"/>
      <c r="L1" s="622"/>
      <c r="M1" s="622"/>
      <c r="Q1" s="196"/>
      <c r="R1" s="196"/>
      <c r="S1" s="196"/>
      <c r="T1" s="196"/>
      <c r="U1" s="196"/>
      <c r="V1" s="196"/>
    </row>
    <row r="2" spans="1:44" ht="21" customHeight="1">
      <c r="A2" s="194">
        <f>menu!E13</f>
        <v>0</v>
      </c>
      <c r="H2" s="186" t="s">
        <v>323</v>
      </c>
      <c r="K2" s="195" t="str">
        <f>menu!D11</f>
        <v>LSC ANGGRETA, S. Pd</v>
      </c>
    </row>
    <row r="5" spans="1:44" ht="15" customHeight="1">
      <c r="A5" s="494" t="s">
        <v>15</v>
      </c>
      <c r="B5" s="494" t="s">
        <v>16</v>
      </c>
      <c r="C5" s="497" t="s">
        <v>0</v>
      </c>
      <c r="D5" s="498" t="s">
        <v>1</v>
      </c>
      <c r="E5" s="499" t="s">
        <v>17</v>
      </c>
      <c r="F5" s="620" t="s">
        <v>207</v>
      </c>
      <c r="G5" s="620"/>
      <c r="H5" s="620"/>
      <c r="I5" s="594" t="s">
        <v>7</v>
      </c>
      <c r="J5" s="620" t="s">
        <v>8</v>
      </c>
      <c r="K5" s="620"/>
      <c r="L5" s="620"/>
      <c r="M5" s="620"/>
      <c r="N5" s="594" t="s">
        <v>7</v>
      </c>
      <c r="O5" s="620" t="s">
        <v>9</v>
      </c>
      <c r="P5" s="620"/>
      <c r="Q5" s="620"/>
      <c r="R5" s="620"/>
      <c r="S5" s="594" t="s">
        <v>7</v>
      </c>
      <c r="T5" s="620" t="s">
        <v>6</v>
      </c>
      <c r="U5" s="620"/>
      <c r="V5" s="620"/>
      <c r="W5" s="620"/>
      <c r="X5" s="594" t="s">
        <v>7</v>
      </c>
      <c r="Y5" s="623" t="s">
        <v>10</v>
      </c>
      <c r="Z5" s="624"/>
      <c r="AA5" s="624"/>
      <c r="AB5" s="625"/>
      <c r="AC5" s="594" t="s">
        <v>7</v>
      </c>
      <c r="AD5" s="620" t="s">
        <v>11</v>
      </c>
      <c r="AE5" s="620"/>
      <c r="AF5" s="620"/>
      <c r="AG5" s="620"/>
      <c r="AH5" s="594" t="s">
        <v>7</v>
      </c>
      <c r="AI5" s="620" t="s">
        <v>12</v>
      </c>
      <c r="AJ5" s="620"/>
      <c r="AK5" s="620"/>
      <c r="AL5" s="620"/>
      <c r="AM5" s="594" t="s">
        <v>7</v>
      </c>
      <c r="AN5" s="620" t="s">
        <v>236</v>
      </c>
      <c r="AO5" s="620"/>
      <c r="AP5" s="620"/>
      <c r="AQ5" s="620"/>
      <c r="AR5" s="594" t="s">
        <v>7</v>
      </c>
    </row>
    <row r="6" spans="1:44" ht="15" customHeight="1">
      <c r="A6" s="495"/>
      <c r="B6" s="495"/>
      <c r="C6" s="497"/>
      <c r="D6" s="498"/>
      <c r="E6" s="500"/>
      <c r="F6" s="620"/>
      <c r="G6" s="620"/>
      <c r="H6" s="620"/>
      <c r="I6" s="594"/>
      <c r="J6" s="620"/>
      <c r="K6" s="620"/>
      <c r="L6" s="620"/>
      <c r="M6" s="620"/>
      <c r="N6" s="594"/>
      <c r="O6" s="620"/>
      <c r="P6" s="620"/>
      <c r="Q6" s="620"/>
      <c r="R6" s="620"/>
      <c r="S6" s="594"/>
      <c r="T6" s="620"/>
      <c r="U6" s="620"/>
      <c r="V6" s="620"/>
      <c r="W6" s="620"/>
      <c r="X6" s="594"/>
      <c r="Y6" s="626"/>
      <c r="Z6" s="627"/>
      <c r="AA6" s="627"/>
      <c r="AB6" s="628"/>
      <c r="AC6" s="594"/>
      <c r="AD6" s="620"/>
      <c r="AE6" s="620"/>
      <c r="AF6" s="620"/>
      <c r="AG6" s="620"/>
      <c r="AH6" s="594"/>
      <c r="AI6" s="620"/>
      <c r="AJ6" s="620"/>
      <c r="AK6" s="620"/>
      <c r="AL6" s="620"/>
      <c r="AM6" s="594"/>
      <c r="AN6" s="620"/>
      <c r="AO6" s="620"/>
      <c r="AP6" s="620"/>
      <c r="AQ6" s="620"/>
      <c r="AR6" s="594"/>
    </row>
    <row r="7" spans="1:44" s="98" customFormat="1" ht="102.75" customHeight="1">
      <c r="A7" s="496"/>
      <c r="B7" s="496"/>
      <c r="C7" s="497"/>
      <c r="D7" s="498"/>
      <c r="E7" s="501"/>
      <c r="F7" s="187" t="s">
        <v>219</v>
      </c>
      <c r="G7" s="187" t="s">
        <v>238</v>
      </c>
      <c r="H7" s="117" t="s">
        <v>218</v>
      </c>
      <c r="I7" s="594"/>
      <c r="J7" s="187" t="s">
        <v>219</v>
      </c>
      <c r="K7" s="187" t="s">
        <v>220</v>
      </c>
      <c r="L7" s="187" t="s">
        <v>238</v>
      </c>
      <c r="M7" s="117" t="s">
        <v>218</v>
      </c>
      <c r="N7" s="594"/>
      <c r="O7" s="187" t="s">
        <v>219</v>
      </c>
      <c r="P7" s="187" t="s">
        <v>220</v>
      </c>
      <c r="Q7" s="187" t="s">
        <v>238</v>
      </c>
      <c r="R7" s="117" t="s">
        <v>218</v>
      </c>
      <c r="S7" s="594"/>
      <c r="T7" s="187" t="s">
        <v>219</v>
      </c>
      <c r="U7" s="187" t="s">
        <v>220</v>
      </c>
      <c r="V7" s="187" t="s">
        <v>238</v>
      </c>
      <c r="W7" s="117" t="s">
        <v>218</v>
      </c>
      <c r="X7" s="594"/>
      <c r="Y7" s="187" t="s">
        <v>219</v>
      </c>
      <c r="Z7" s="187" t="s">
        <v>220</v>
      </c>
      <c r="AA7" s="187" t="s">
        <v>238</v>
      </c>
      <c r="AB7" s="117" t="s">
        <v>218</v>
      </c>
      <c r="AC7" s="594"/>
      <c r="AD7" s="187" t="s">
        <v>219</v>
      </c>
      <c r="AE7" s="187" t="s">
        <v>220</v>
      </c>
      <c r="AF7" s="187" t="s">
        <v>238</v>
      </c>
      <c r="AG7" s="117" t="s">
        <v>218</v>
      </c>
      <c r="AH7" s="594"/>
      <c r="AI7" s="187" t="s">
        <v>219</v>
      </c>
      <c r="AJ7" s="187" t="s">
        <v>220</v>
      </c>
      <c r="AK7" s="187" t="s">
        <v>238</v>
      </c>
      <c r="AL7" s="117" t="s">
        <v>218</v>
      </c>
      <c r="AM7" s="594"/>
      <c r="AN7" s="187" t="s">
        <v>219</v>
      </c>
      <c r="AO7" s="187" t="s">
        <v>220</v>
      </c>
      <c r="AP7" s="187" t="s">
        <v>238</v>
      </c>
      <c r="AQ7" s="117" t="s">
        <v>218</v>
      </c>
      <c r="AR7" s="594"/>
    </row>
    <row r="8" spans="1:44" ht="15" customHeight="1">
      <c r="A8" s="99">
        <v>1</v>
      </c>
      <c r="B8" s="99">
        <v>2</v>
      </c>
      <c r="C8" s="99">
        <v>3</v>
      </c>
      <c r="D8" s="99">
        <v>4</v>
      </c>
      <c r="E8" s="99">
        <v>5</v>
      </c>
      <c r="F8" s="99">
        <v>6</v>
      </c>
      <c r="G8" s="99">
        <v>7</v>
      </c>
      <c r="H8" s="99">
        <v>8</v>
      </c>
      <c r="I8" s="99">
        <v>9</v>
      </c>
      <c r="J8" s="99">
        <v>10</v>
      </c>
      <c r="K8" s="99">
        <v>11</v>
      </c>
      <c r="L8" s="99">
        <v>12</v>
      </c>
      <c r="M8" s="99">
        <v>13</v>
      </c>
      <c r="N8" s="99">
        <v>14</v>
      </c>
      <c r="O8" s="99">
        <v>15</v>
      </c>
      <c r="P8" s="99">
        <v>16</v>
      </c>
      <c r="Q8" s="99">
        <v>17</v>
      </c>
      <c r="R8" s="99">
        <v>18</v>
      </c>
      <c r="S8" s="99">
        <v>19</v>
      </c>
      <c r="T8" s="99">
        <v>20</v>
      </c>
      <c r="U8" s="99">
        <v>21</v>
      </c>
      <c r="V8" s="99">
        <v>22</v>
      </c>
      <c r="W8" s="99">
        <v>23</v>
      </c>
      <c r="X8" s="99">
        <v>24</v>
      </c>
      <c r="Y8" s="99">
        <v>25</v>
      </c>
      <c r="Z8" s="99">
        <v>26</v>
      </c>
      <c r="AA8" s="99">
        <v>27</v>
      </c>
      <c r="AB8" s="99">
        <v>28</v>
      </c>
      <c r="AC8" s="99">
        <v>29</v>
      </c>
      <c r="AD8" s="99">
        <v>30</v>
      </c>
      <c r="AE8" s="99">
        <v>31</v>
      </c>
      <c r="AF8" s="99">
        <v>32</v>
      </c>
      <c r="AG8" s="99">
        <v>33</v>
      </c>
      <c r="AH8" s="99">
        <v>34</v>
      </c>
      <c r="AI8" s="99">
        <v>35</v>
      </c>
      <c r="AJ8" s="99">
        <v>36</v>
      </c>
      <c r="AK8" s="99">
        <v>37</v>
      </c>
      <c r="AL8" s="99">
        <v>38</v>
      </c>
      <c r="AM8" s="99">
        <v>39</v>
      </c>
      <c r="AN8" s="99">
        <v>40</v>
      </c>
      <c r="AO8" s="99">
        <v>41</v>
      </c>
      <c r="AP8" s="99">
        <v>42</v>
      </c>
      <c r="AQ8" s="99">
        <v>43</v>
      </c>
      <c r="AR8" s="99">
        <v>44</v>
      </c>
    </row>
    <row r="9" spans="1:44" ht="15" customHeight="1">
      <c r="A9" s="107">
        <f>'DATA SISWA'!A5</f>
        <v>1</v>
      </c>
      <c r="B9" s="107" t="str">
        <f>'DATA SISWA'!B5</f>
        <v>7643</v>
      </c>
      <c r="C9" s="116" t="str">
        <f>'DATA SISWA'!C5</f>
        <v>ABD MANNAN</v>
      </c>
      <c r="D9" s="116" t="str">
        <f>'DATA SISWA'!D5</f>
        <v>L</v>
      </c>
      <c r="E9" s="107" t="str">
        <f>'DATA SISWA'!E5</f>
        <v>VII-J</v>
      </c>
      <c r="F9" s="129"/>
      <c r="G9" s="197"/>
      <c r="H9" s="129"/>
      <c r="I9" s="198"/>
      <c r="J9" s="129"/>
      <c r="K9" s="129"/>
      <c r="L9" s="129"/>
      <c r="M9" s="129"/>
      <c r="N9" s="198"/>
      <c r="O9" s="129"/>
      <c r="P9" s="129"/>
      <c r="Q9" s="129"/>
      <c r="R9" s="129"/>
      <c r="S9" s="198"/>
      <c r="T9" s="129"/>
      <c r="U9" s="129"/>
      <c r="V9" s="129"/>
      <c r="W9" s="129"/>
      <c r="X9" s="198"/>
      <c r="Y9" s="129"/>
      <c r="Z9" s="129"/>
      <c r="AA9" s="197"/>
      <c r="AB9" s="129"/>
      <c r="AC9" s="198"/>
      <c r="AD9" s="129"/>
      <c r="AE9" s="197"/>
      <c r="AF9" s="129"/>
      <c r="AG9" s="129"/>
      <c r="AH9" s="199"/>
      <c r="AI9" s="129"/>
      <c r="AJ9" s="129"/>
      <c r="AK9" s="129"/>
      <c r="AL9" s="129"/>
      <c r="AM9" s="199"/>
      <c r="AN9" s="129"/>
      <c r="AO9" s="129"/>
      <c r="AP9" s="129"/>
      <c r="AQ9" s="200"/>
      <c r="AR9" s="199"/>
    </row>
    <row r="10" spans="1:44" ht="15" customHeight="1">
      <c r="A10" s="107">
        <f>'DATA SISWA'!A6</f>
        <v>2</v>
      </c>
      <c r="B10" s="107">
        <f>'DATA SISWA'!B6</f>
        <v>0</v>
      </c>
      <c r="C10" s="116">
        <f>'DATA SISWA'!C6</f>
        <v>0</v>
      </c>
      <c r="D10" s="116">
        <f>'DATA SISWA'!D6</f>
        <v>0</v>
      </c>
      <c r="E10" s="107" t="str">
        <f>'DATA SISWA'!E6</f>
        <v>VII-J</v>
      </c>
      <c r="F10" s="129"/>
      <c r="G10" s="129"/>
      <c r="H10" s="129"/>
      <c r="I10" s="198"/>
      <c r="J10" s="129"/>
      <c r="K10" s="129"/>
      <c r="L10" s="129"/>
      <c r="M10" s="129"/>
      <c r="N10" s="198"/>
      <c r="O10" s="129"/>
      <c r="P10" s="129"/>
      <c r="Q10" s="129"/>
      <c r="R10" s="129"/>
      <c r="S10" s="198"/>
      <c r="T10" s="129"/>
      <c r="U10" s="129"/>
      <c r="V10" s="129"/>
      <c r="W10" s="129"/>
      <c r="X10" s="198"/>
      <c r="Y10" s="129"/>
      <c r="Z10" s="129"/>
      <c r="AA10" s="129"/>
      <c r="AB10" s="129"/>
      <c r="AC10" s="198"/>
      <c r="AD10" s="129"/>
      <c r="AE10" s="129"/>
      <c r="AF10" s="129"/>
      <c r="AG10" s="129"/>
      <c r="AH10" s="199"/>
      <c r="AI10" s="129"/>
      <c r="AJ10" s="129"/>
      <c r="AK10" s="129"/>
      <c r="AL10" s="129"/>
      <c r="AM10" s="199"/>
      <c r="AN10" s="129"/>
      <c r="AO10" s="129"/>
      <c r="AP10" s="129"/>
      <c r="AQ10" s="200"/>
      <c r="AR10" s="199"/>
    </row>
    <row r="11" spans="1:44" ht="15" customHeight="1">
      <c r="A11" s="107">
        <f>'DATA SISWA'!A7</f>
        <v>3</v>
      </c>
      <c r="B11" s="107" t="str">
        <f>'DATA SISWA'!B7</f>
        <v>7645</v>
      </c>
      <c r="C11" s="116" t="str">
        <f>'DATA SISWA'!C7</f>
        <v>ACHMAD ALFARESI</v>
      </c>
      <c r="D11" s="116" t="str">
        <f>'DATA SISWA'!D7</f>
        <v>L</v>
      </c>
      <c r="E11" s="107" t="str">
        <f>'DATA SISWA'!E7</f>
        <v>VII-J</v>
      </c>
      <c r="F11" s="129"/>
      <c r="G11" s="129"/>
      <c r="H11" s="129"/>
      <c r="I11" s="198"/>
      <c r="J11" s="129"/>
      <c r="K11" s="129"/>
      <c r="L11" s="129"/>
      <c r="M11" s="129"/>
      <c r="N11" s="198"/>
      <c r="O11" s="129"/>
      <c r="P11" s="129"/>
      <c r="Q11" s="129"/>
      <c r="R11" s="129"/>
      <c r="S11" s="198"/>
      <c r="T11" s="129"/>
      <c r="U11" s="129"/>
      <c r="V11" s="129"/>
      <c r="W11" s="129"/>
      <c r="X11" s="198"/>
      <c r="Y11" s="129"/>
      <c r="Z11" s="129"/>
      <c r="AA11" s="129"/>
      <c r="AB11" s="129"/>
      <c r="AC11" s="198"/>
      <c r="AD11" s="129"/>
      <c r="AE11" s="129"/>
      <c r="AF11" s="129"/>
      <c r="AG11" s="129"/>
      <c r="AH11" s="199"/>
      <c r="AI11" s="129"/>
      <c r="AJ11" s="129"/>
      <c r="AK11" s="129"/>
      <c r="AL11" s="129"/>
      <c r="AM11" s="199"/>
      <c r="AN11" s="129"/>
      <c r="AO11" s="129"/>
      <c r="AP11" s="129"/>
      <c r="AQ11" s="200"/>
      <c r="AR11" s="199"/>
    </row>
    <row r="12" spans="1:44" ht="15" customHeight="1">
      <c r="A12" s="107">
        <f>'DATA SISWA'!A8</f>
        <v>4</v>
      </c>
      <c r="B12" s="107" t="str">
        <f>'DATA SISWA'!B8</f>
        <v>7674</v>
      </c>
      <c r="C12" s="116" t="str">
        <f>'DATA SISWA'!C8</f>
        <v>AGITA ZAHRAH MUFIDAH</v>
      </c>
      <c r="D12" s="116" t="str">
        <f>'DATA SISWA'!D8</f>
        <v>P</v>
      </c>
      <c r="E12" s="107" t="str">
        <f>'DATA SISWA'!E8</f>
        <v>VII-J</v>
      </c>
      <c r="F12" s="129"/>
      <c r="G12" s="129"/>
      <c r="H12" s="129"/>
      <c r="I12" s="198"/>
      <c r="J12" s="129"/>
      <c r="K12" s="129"/>
      <c r="L12" s="129"/>
      <c r="M12" s="129"/>
      <c r="N12" s="198"/>
      <c r="O12" s="129"/>
      <c r="P12" s="129"/>
      <c r="Q12" s="129"/>
      <c r="R12" s="129"/>
      <c r="S12" s="198"/>
      <c r="T12" s="129"/>
      <c r="U12" s="129"/>
      <c r="V12" s="129"/>
      <c r="W12" s="129"/>
      <c r="X12" s="198"/>
      <c r="Y12" s="129"/>
      <c r="Z12" s="129"/>
      <c r="AA12" s="129"/>
      <c r="AB12" s="129"/>
      <c r="AC12" s="198"/>
      <c r="AD12" s="129"/>
      <c r="AE12" s="129"/>
      <c r="AF12" s="129"/>
      <c r="AG12" s="129"/>
      <c r="AH12" s="199"/>
      <c r="AI12" s="129"/>
      <c r="AJ12" s="129"/>
      <c r="AK12" s="129"/>
      <c r="AL12" s="129"/>
      <c r="AM12" s="199"/>
      <c r="AN12" s="129"/>
      <c r="AO12" s="129"/>
      <c r="AP12" s="129"/>
      <c r="AQ12" s="200"/>
      <c r="AR12" s="199"/>
    </row>
    <row r="13" spans="1:44" ht="15" customHeight="1">
      <c r="A13" s="107">
        <f>'DATA SISWA'!A9</f>
        <v>5</v>
      </c>
      <c r="B13" s="107" t="str">
        <f>'DATA SISWA'!B9</f>
        <v>7646</v>
      </c>
      <c r="C13" s="116" t="str">
        <f>'DATA SISWA'!C9</f>
        <v>AHMAD HAMBALI</v>
      </c>
      <c r="D13" s="116" t="str">
        <f>'DATA SISWA'!D9</f>
        <v>L</v>
      </c>
      <c r="E13" s="107" t="str">
        <f>'DATA SISWA'!E9</f>
        <v>VII-J</v>
      </c>
      <c r="F13" s="129"/>
      <c r="G13" s="129"/>
      <c r="H13" s="129"/>
      <c r="I13" s="198"/>
      <c r="J13" s="129"/>
      <c r="K13" s="129"/>
      <c r="L13" s="129"/>
      <c r="M13" s="129"/>
      <c r="N13" s="198"/>
      <c r="O13" s="129"/>
      <c r="P13" s="129"/>
      <c r="Q13" s="129"/>
      <c r="R13" s="129"/>
      <c r="S13" s="198"/>
      <c r="T13" s="129"/>
      <c r="U13" s="129"/>
      <c r="V13" s="129"/>
      <c r="W13" s="129"/>
      <c r="X13" s="198"/>
      <c r="Y13" s="129"/>
      <c r="Z13" s="129"/>
      <c r="AA13" s="129"/>
      <c r="AB13" s="129"/>
      <c r="AC13" s="198"/>
      <c r="AD13" s="129"/>
      <c r="AE13" s="129"/>
      <c r="AF13" s="129"/>
      <c r="AG13" s="129"/>
      <c r="AH13" s="199"/>
      <c r="AI13" s="129"/>
      <c r="AJ13" s="129"/>
      <c r="AK13" s="129"/>
      <c r="AL13" s="129"/>
      <c r="AM13" s="199"/>
      <c r="AN13" s="129"/>
      <c r="AO13" s="129"/>
      <c r="AP13" s="129"/>
      <c r="AQ13" s="200"/>
      <c r="AR13" s="199"/>
    </row>
    <row r="14" spans="1:44" ht="15" customHeight="1">
      <c r="A14" s="107">
        <f>'DATA SISWA'!A10</f>
        <v>6</v>
      </c>
      <c r="B14" s="107" t="str">
        <f>'DATA SISWA'!B10</f>
        <v>7647</v>
      </c>
      <c r="C14" s="116" t="str">
        <f>'DATA SISWA'!C10</f>
        <v>AHMADI</v>
      </c>
      <c r="D14" s="116" t="str">
        <f>'DATA SISWA'!D10</f>
        <v>L</v>
      </c>
      <c r="E14" s="107" t="str">
        <f>'DATA SISWA'!E10</f>
        <v>VII-J</v>
      </c>
      <c r="F14" s="129"/>
      <c r="G14" s="129"/>
      <c r="H14" s="129"/>
      <c r="I14" s="198"/>
      <c r="J14" s="129"/>
      <c r="K14" s="129"/>
      <c r="L14" s="129"/>
      <c r="M14" s="129"/>
      <c r="N14" s="198"/>
      <c r="O14" s="129"/>
      <c r="P14" s="129"/>
      <c r="Q14" s="129"/>
      <c r="R14" s="129"/>
      <c r="S14" s="198"/>
      <c r="T14" s="129"/>
      <c r="U14" s="129"/>
      <c r="V14" s="129"/>
      <c r="W14" s="129"/>
      <c r="X14" s="198"/>
      <c r="Y14" s="129"/>
      <c r="Z14" s="129"/>
      <c r="AA14" s="129"/>
      <c r="AB14" s="129"/>
      <c r="AC14" s="198"/>
      <c r="AD14" s="129"/>
      <c r="AE14" s="129"/>
      <c r="AF14" s="129"/>
      <c r="AG14" s="129"/>
      <c r="AH14" s="199"/>
      <c r="AI14" s="129"/>
      <c r="AJ14" s="129"/>
      <c r="AK14" s="129"/>
      <c r="AL14" s="129"/>
      <c r="AM14" s="199"/>
      <c r="AN14" s="129"/>
      <c r="AO14" s="129"/>
      <c r="AP14" s="129"/>
      <c r="AQ14" s="200"/>
      <c r="AR14" s="199"/>
    </row>
    <row r="15" spans="1:44" ht="15" customHeight="1">
      <c r="A15" s="107">
        <f>'DATA SISWA'!A11</f>
        <v>7</v>
      </c>
      <c r="B15" s="107" t="str">
        <f>'DATA SISWA'!B11</f>
        <v>7648</v>
      </c>
      <c r="C15" s="116" t="str">
        <f>'DATA SISWA'!C11</f>
        <v xml:space="preserve">AINUR ROFIK </v>
      </c>
      <c r="D15" s="116" t="str">
        <f>'DATA SISWA'!D11</f>
        <v>L</v>
      </c>
      <c r="E15" s="107" t="str">
        <f>'DATA SISWA'!E11</f>
        <v>VII-J</v>
      </c>
      <c r="F15" s="129"/>
      <c r="G15" s="129"/>
      <c r="H15" s="129"/>
      <c r="I15" s="198"/>
      <c r="J15" s="129"/>
      <c r="K15" s="129"/>
      <c r="L15" s="129"/>
      <c r="M15" s="129"/>
      <c r="N15" s="198"/>
      <c r="O15" s="129"/>
      <c r="P15" s="129"/>
      <c r="Q15" s="129"/>
      <c r="R15" s="129"/>
      <c r="S15" s="198"/>
      <c r="T15" s="129"/>
      <c r="U15" s="129"/>
      <c r="V15" s="129"/>
      <c r="W15" s="129"/>
      <c r="X15" s="198"/>
      <c r="Y15" s="129"/>
      <c r="Z15" s="129"/>
      <c r="AA15" s="129"/>
      <c r="AB15" s="129"/>
      <c r="AC15" s="198"/>
      <c r="AD15" s="129"/>
      <c r="AE15" s="129"/>
      <c r="AF15" s="129"/>
      <c r="AG15" s="129"/>
      <c r="AH15" s="199"/>
      <c r="AI15" s="129"/>
      <c r="AJ15" s="129"/>
      <c r="AK15" s="129"/>
      <c r="AL15" s="129"/>
      <c r="AM15" s="199"/>
      <c r="AN15" s="129"/>
      <c r="AO15" s="129"/>
      <c r="AP15" s="129"/>
      <c r="AQ15" s="200"/>
      <c r="AR15" s="199"/>
    </row>
    <row r="16" spans="1:44" ht="15" customHeight="1">
      <c r="A16" s="107">
        <f>'DATA SISWA'!A12</f>
        <v>8</v>
      </c>
      <c r="B16" s="107" t="str">
        <f>'DATA SISWA'!B12</f>
        <v>7377</v>
      </c>
      <c r="C16" s="116" t="str">
        <f>'DATA SISWA'!C12</f>
        <v>AT-THORIQ BINTANG PRAJA</v>
      </c>
      <c r="D16" s="116" t="str">
        <f>'DATA SISWA'!D12</f>
        <v>L</v>
      </c>
      <c r="E16" s="107" t="str">
        <f>'DATA SISWA'!E12</f>
        <v>VII-J</v>
      </c>
      <c r="F16" s="129"/>
      <c r="G16" s="129"/>
      <c r="H16" s="129"/>
      <c r="I16" s="198"/>
      <c r="J16" s="129"/>
      <c r="K16" s="129"/>
      <c r="L16" s="129"/>
      <c r="M16" s="129"/>
      <c r="N16" s="198"/>
      <c r="O16" s="129"/>
      <c r="P16" s="129"/>
      <c r="Q16" s="129"/>
      <c r="R16" s="129"/>
      <c r="S16" s="198"/>
      <c r="T16" s="129"/>
      <c r="U16" s="129"/>
      <c r="V16" s="129"/>
      <c r="W16" s="129"/>
      <c r="X16" s="198"/>
      <c r="Y16" s="129"/>
      <c r="Z16" s="129"/>
      <c r="AA16" s="129"/>
      <c r="AB16" s="129"/>
      <c r="AC16" s="198"/>
      <c r="AD16" s="129"/>
      <c r="AE16" s="129"/>
      <c r="AF16" s="129"/>
      <c r="AG16" s="129"/>
      <c r="AH16" s="199"/>
      <c r="AI16" s="129"/>
      <c r="AJ16" s="129"/>
      <c r="AK16" s="129"/>
      <c r="AL16" s="129"/>
      <c r="AM16" s="199"/>
      <c r="AN16" s="129"/>
      <c r="AO16" s="129"/>
      <c r="AP16" s="129"/>
      <c r="AQ16" s="200"/>
      <c r="AR16" s="199"/>
    </row>
    <row r="17" spans="1:44" ht="15" customHeight="1">
      <c r="A17" s="107">
        <f>'DATA SISWA'!A13</f>
        <v>9</v>
      </c>
      <c r="B17" s="107" t="str">
        <f>'DATA SISWA'!B13</f>
        <v>7649</v>
      </c>
      <c r="C17" s="116" t="str">
        <f>'DATA SISWA'!C13</f>
        <v>DEWI WULANDARI</v>
      </c>
      <c r="D17" s="116" t="str">
        <f>'DATA SISWA'!D13</f>
        <v>P</v>
      </c>
      <c r="E17" s="107" t="str">
        <f>'DATA SISWA'!E13</f>
        <v>VII-J</v>
      </c>
      <c r="F17" s="129"/>
      <c r="G17" s="129"/>
      <c r="H17" s="129"/>
      <c r="I17" s="198"/>
      <c r="J17" s="129"/>
      <c r="K17" s="129"/>
      <c r="L17" s="129"/>
      <c r="M17" s="129"/>
      <c r="N17" s="198"/>
      <c r="O17" s="129"/>
      <c r="P17" s="129"/>
      <c r="Q17" s="129"/>
      <c r="R17" s="129"/>
      <c r="S17" s="198"/>
      <c r="T17" s="129"/>
      <c r="U17" s="129"/>
      <c r="V17" s="129"/>
      <c r="W17" s="129"/>
      <c r="X17" s="198"/>
      <c r="Y17" s="129"/>
      <c r="Z17" s="129"/>
      <c r="AA17" s="129"/>
      <c r="AB17" s="129"/>
      <c r="AC17" s="198"/>
      <c r="AD17" s="129"/>
      <c r="AE17" s="129"/>
      <c r="AF17" s="129"/>
      <c r="AG17" s="129"/>
      <c r="AH17" s="199"/>
      <c r="AI17" s="129"/>
      <c r="AJ17" s="129"/>
      <c r="AK17" s="129"/>
      <c r="AL17" s="129"/>
      <c r="AM17" s="199"/>
      <c r="AN17" s="129"/>
      <c r="AO17" s="129"/>
      <c r="AP17" s="129"/>
      <c r="AQ17" s="200"/>
      <c r="AR17" s="199"/>
    </row>
    <row r="18" spans="1:44" ht="15" customHeight="1">
      <c r="A18" s="107">
        <f>'DATA SISWA'!A14</f>
        <v>10</v>
      </c>
      <c r="B18" s="107" t="str">
        <f>'DATA SISWA'!B14</f>
        <v>7650</v>
      </c>
      <c r="C18" s="116" t="str">
        <f>'DATA SISWA'!C14</f>
        <v>ENI UMAMAH</v>
      </c>
      <c r="D18" s="116" t="str">
        <f>'DATA SISWA'!D14</f>
        <v>P</v>
      </c>
      <c r="E18" s="107" t="str">
        <f>'DATA SISWA'!E14</f>
        <v>VII-J</v>
      </c>
      <c r="F18" s="129"/>
      <c r="G18" s="129"/>
      <c r="H18" s="129"/>
      <c r="I18" s="198"/>
      <c r="J18" s="129"/>
      <c r="K18" s="129"/>
      <c r="L18" s="129"/>
      <c r="M18" s="129"/>
      <c r="N18" s="198"/>
      <c r="O18" s="129"/>
      <c r="P18" s="129"/>
      <c r="Q18" s="129"/>
      <c r="R18" s="129"/>
      <c r="S18" s="198"/>
      <c r="T18" s="129"/>
      <c r="U18" s="129"/>
      <c r="V18" s="129"/>
      <c r="W18" s="129"/>
      <c r="X18" s="198"/>
      <c r="Y18" s="129"/>
      <c r="Z18" s="129"/>
      <c r="AA18" s="129"/>
      <c r="AB18" s="129"/>
      <c r="AC18" s="198"/>
      <c r="AD18" s="129"/>
      <c r="AE18" s="129"/>
      <c r="AF18" s="129"/>
      <c r="AG18" s="129"/>
      <c r="AH18" s="199"/>
      <c r="AI18" s="129"/>
      <c r="AJ18" s="129"/>
      <c r="AK18" s="129"/>
      <c r="AL18" s="129"/>
      <c r="AM18" s="199"/>
      <c r="AN18" s="129"/>
      <c r="AO18" s="129"/>
      <c r="AP18" s="129"/>
      <c r="AQ18" s="200"/>
      <c r="AR18" s="199"/>
    </row>
    <row r="19" spans="1:44" ht="15" customHeight="1">
      <c r="A19" s="107">
        <f>'DATA SISWA'!A15</f>
        <v>11</v>
      </c>
      <c r="B19" s="107" t="str">
        <f>'DATA SISWA'!B15</f>
        <v>7651</v>
      </c>
      <c r="C19" s="116" t="str">
        <f>'DATA SISWA'!C15</f>
        <v>FADIA FASSA</v>
      </c>
      <c r="D19" s="116" t="str">
        <f>'DATA SISWA'!D15</f>
        <v>P</v>
      </c>
      <c r="E19" s="107" t="str">
        <f>'DATA SISWA'!E15</f>
        <v>VII-J</v>
      </c>
      <c r="F19" s="129"/>
      <c r="G19" s="129"/>
      <c r="H19" s="129"/>
      <c r="I19" s="198"/>
      <c r="J19" s="129"/>
      <c r="K19" s="129"/>
      <c r="L19" s="129"/>
      <c r="M19" s="129"/>
      <c r="N19" s="198"/>
      <c r="O19" s="129"/>
      <c r="P19" s="129"/>
      <c r="Q19" s="129"/>
      <c r="R19" s="129"/>
      <c r="S19" s="198"/>
      <c r="T19" s="129"/>
      <c r="U19" s="129"/>
      <c r="V19" s="129"/>
      <c r="W19" s="129"/>
      <c r="X19" s="198"/>
      <c r="Y19" s="129"/>
      <c r="Z19" s="129"/>
      <c r="AA19" s="129"/>
      <c r="AB19" s="129"/>
      <c r="AC19" s="198"/>
      <c r="AD19" s="129"/>
      <c r="AE19" s="129"/>
      <c r="AF19" s="129"/>
      <c r="AG19" s="129"/>
      <c r="AH19" s="199"/>
      <c r="AI19" s="129"/>
      <c r="AJ19" s="129"/>
      <c r="AK19" s="129"/>
      <c r="AL19" s="129"/>
      <c r="AM19" s="199"/>
      <c r="AN19" s="129"/>
      <c r="AO19" s="129"/>
      <c r="AP19" s="129"/>
      <c r="AQ19" s="200"/>
      <c r="AR19" s="199"/>
    </row>
    <row r="20" spans="1:44" ht="15" customHeight="1">
      <c r="A20" s="107">
        <f>'DATA SISWA'!A16</f>
        <v>12</v>
      </c>
      <c r="B20" s="107" t="str">
        <f>'DATA SISWA'!B16</f>
        <v>7652</v>
      </c>
      <c r="C20" s="116" t="str">
        <f>'DATA SISWA'!C16</f>
        <v>FATIMATUZ  ZAHROH</v>
      </c>
      <c r="D20" s="116" t="str">
        <f>'DATA SISWA'!D16</f>
        <v>P</v>
      </c>
      <c r="E20" s="107" t="str">
        <f>'DATA SISWA'!E16</f>
        <v>VII-J</v>
      </c>
      <c r="F20" s="129"/>
      <c r="G20" s="129"/>
      <c r="H20" s="129"/>
      <c r="I20" s="198"/>
      <c r="J20" s="129"/>
      <c r="K20" s="129"/>
      <c r="L20" s="129"/>
      <c r="M20" s="129"/>
      <c r="N20" s="198"/>
      <c r="O20" s="129"/>
      <c r="P20" s="129"/>
      <c r="Q20" s="129"/>
      <c r="R20" s="129"/>
      <c r="S20" s="198"/>
      <c r="T20" s="129"/>
      <c r="U20" s="129"/>
      <c r="V20" s="129"/>
      <c r="W20" s="129"/>
      <c r="X20" s="198"/>
      <c r="Y20" s="129"/>
      <c r="Z20" s="129"/>
      <c r="AA20" s="129"/>
      <c r="AB20" s="129"/>
      <c r="AC20" s="198"/>
      <c r="AD20" s="129"/>
      <c r="AE20" s="129"/>
      <c r="AF20" s="129"/>
      <c r="AG20" s="129"/>
      <c r="AH20" s="199"/>
      <c r="AI20" s="129"/>
      <c r="AJ20" s="129"/>
      <c r="AK20" s="129"/>
      <c r="AL20" s="129"/>
      <c r="AM20" s="199"/>
      <c r="AN20" s="129"/>
      <c r="AO20" s="129"/>
      <c r="AP20" s="129"/>
      <c r="AQ20" s="200"/>
      <c r="AR20" s="199"/>
    </row>
    <row r="21" spans="1:44" ht="15" customHeight="1">
      <c r="A21" s="107">
        <f>'DATA SISWA'!A17</f>
        <v>13</v>
      </c>
      <c r="B21" s="107" t="str">
        <f>'DATA SISWA'!B17</f>
        <v>7653</v>
      </c>
      <c r="C21" s="116" t="str">
        <f>'DATA SISWA'!C17</f>
        <v>IMAM FATONI</v>
      </c>
      <c r="D21" s="116" t="str">
        <f>'DATA SISWA'!D17</f>
        <v>L</v>
      </c>
      <c r="E21" s="107" t="str">
        <f>'DATA SISWA'!E17</f>
        <v>VII-J</v>
      </c>
      <c r="F21" s="129"/>
      <c r="G21" s="129"/>
      <c r="H21" s="129"/>
      <c r="I21" s="198"/>
      <c r="J21" s="129"/>
      <c r="K21" s="129"/>
      <c r="L21" s="129"/>
      <c r="M21" s="129"/>
      <c r="N21" s="198"/>
      <c r="O21" s="129"/>
      <c r="P21" s="129"/>
      <c r="Q21" s="129"/>
      <c r="R21" s="129"/>
      <c r="S21" s="198"/>
      <c r="T21" s="129"/>
      <c r="U21" s="129"/>
      <c r="V21" s="129"/>
      <c r="W21" s="129"/>
      <c r="X21" s="198"/>
      <c r="Y21" s="129"/>
      <c r="Z21" s="129"/>
      <c r="AA21" s="129"/>
      <c r="AB21" s="129"/>
      <c r="AC21" s="198"/>
      <c r="AD21" s="129"/>
      <c r="AE21" s="129"/>
      <c r="AF21" s="129"/>
      <c r="AG21" s="129"/>
      <c r="AH21" s="199"/>
      <c r="AI21" s="129"/>
      <c r="AJ21" s="129"/>
      <c r="AK21" s="129"/>
      <c r="AL21" s="129"/>
      <c r="AM21" s="199"/>
      <c r="AN21" s="129"/>
      <c r="AO21" s="129"/>
      <c r="AP21" s="129"/>
      <c r="AQ21" s="200"/>
      <c r="AR21" s="199"/>
    </row>
    <row r="22" spans="1:44" ht="15" customHeight="1">
      <c r="A22" s="107">
        <f>'DATA SISWA'!A18</f>
        <v>14</v>
      </c>
      <c r="B22" s="107" t="str">
        <f>'DATA SISWA'!B18</f>
        <v>7654</v>
      </c>
      <c r="C22" s="116" t="str">
        <f>'DATA SISWA'!C18</f>
        <v>ISMA SRI WAHYUNI</v>
      </c>
      <c r="D22" s="116" t="str">
        <f>'DATA SISWA'!D18</f>
        <v>P</v>
      </c>
      <c r="E22" s="107" t="str">
        <f>'DATA SISWA'!E18</f>
        <v>VII-J</v>
      </c>
      <c r="F22" s="129"/>
      <c r="G22" s="129"/>
      <c r="H22" s="129"/>
      <c r="I22" s="198"/>
      <c r="J22" s="129"/>
      <c r="K22" s="129"/>
      <c r="L22" s="129"/>
      <c r="M22" s="129"/>
      <c r="N22" s="198"/>
      <c r="O22" s="201"/>
      <c r="P22" s="129"/>
      <c r="Q22" s="129"/>
      <c r="R22" s="129"/>
      <c r="S22" s="198"/>
      <c r="T22" s="129"/>
      <c r="U22" s="129"/>
      <c r="V22" s="129"/>
      <c r="W22" s="129"/>
      <c r="X22" s="198"/>
      <c r="Y22" s="129"/>
      <c r="Z22" s="129"/>
      <c r="AA22" s="129"/>
      <c r="AB22" s="129"/>
      <c r="AC22" s="198"/>
      <c r="AD22" s="129"/>
      <c r="AE22" s="129"/>
      <c r="AF22" s="129"/>
      <c r="AG22" s="129"/>
      <c r="AH22" s="199"/>
      <c r="AI22" s="129"/>
      <c r="AJ22" s="129"/>
      <c r="AK22" s="129"/>
      <c r="AL22" s="129"/>
      <c r="AM22" s="199"/>
      <c r="AN22" s="129"/>
      <c r="AO22" s="129"/>
      <c r="AP22" s="129"/>
      <c r="AQ22" s="200"/>
      <c r="AR22" s="199"/>
    </row>
    <row r="23" spans="1:44" ht="15" customHeight="1">
      <c r="A23" s="107">
        <f>'DATA SISWA'!A19</f>
        <v>15</v>
      </c>
      <c r="B23" s="107" t="str">
        <f>'DATA SISWA'!B19</f>
        <v>7655</v>
      </c>
      <c r="C23" s="116" t="str">
        <f>'DATA SISWA'!C19</f>
        <v>JAKFAR SODIK ROMADHONI</v>
      </c>
      <c r="D23" s="116" t="str">
        <f>'DATA SISWA'!D19</f>
        <v>L</v>
      </c>
      <c r="E23" s="107" t="str">
        <f>'DATA SISWA'!E19</f>
        <v>VII-J</v>
      </c>
      <c r="F23" s="129"/>
      <c r="G23" s="129"/>
      <c r="H23" s="129"/>
      <c r="I23" s="198"/>
      <c r="J23" s="129"/>
      <c r="K23" s="129"/>
      <c r="L23" s="129"/>
      <c r="M23" s="129"/>
      <c r="N23" s="198"/>
      <c r="O23" s="201"/>
      <c r="P23" s="129"/>
      <c r="Q23" s="129"/>
      <c r="R23" s="129"/>
      <c r="S23" s="198"/>
      <c r="T23" s="129"/>
      <c r="U23" s="129"/>
      <c r="V23" s="129"/>
      <c r="W23" s="129"/>
      <c r="X23" s="198"/>
      <c r="Y23" s="129"/>
      <c r="Z23" s="129"/>
      <c r="AA23" s="129"/>
      <c r="AB23" s="129"/>
      <c r="AC23" s="198"/>
      <c r="AD23" s="129"/>
      <c r="AE23" s="129"/>
      <c r="AF23" s="129"/>
      <c r="AG23" s="129"/>
      <c r="AH23" s="199"/>
      <c r="AI23" s="129"/>
      <c r="AJ23" s="129"/>
      <c r="AK23" s="129"/>
      <c r="AL23" s="129"/>
      <c r="AM23" s="199"/>
      <c r="AN23" s="129"/>
      <c r="AO23" s="129"/>
      <c r="AP23" s="129"/>
      <c r="AQ23" s="200"/>
      <c r="AR23" s="199"/>
    </row>
    <row r="24" spans="1:44" ht="15" customHeight="1">
      <c r="A24" s="107">
        <f>'DATA SISWA'!A20</f>
        <v>16</v>
      </c>
      <c r="B24" s="107" t="str">
        <f>'DATA SISWA'!B20</f>
        <v>7656</v>
      </c>
      <c r="C24" s="116" t="str">
        <f>'DATA SISWA'!C20</f>
        <v>KHOIRIL NISA'</v>
      </c>
      <c r="D24" s="116" t="str">
        <f>'DATA SISWA'!D20</f>
        <v>P</v>
      </c>
      <c r="E24" s="107" t="str">
        <f>'DATA SISWA'!E20</f>
        <v>VII-J</v>
      </c>
      <c r="F24" s="129"/>
      <c r="G24" s="129"/>
      <c r="H24" s="129"/>
      <c r="I24" s="198"/>
      <c r="J24" s="129"/>
      <c r="K24" s="129"/>
      <c r="L24" s="129"/>
      <c r="M24" s="129"/>
      <c r="N24" s="198"/>
      <c r="O24" s="201"/>
      <c r="P24" s="129"/>
      <c r="Q24" s="129"/>
      <c r="R24" s="129"/>
      <c r="S24" s="198"/>
      <c r="T24" s="129"/>
      <c r="U24" s="129"/>
      <c r="V24" s="129"/>
      <c r="W24" s="129"/>
      <c r="X24" s="198"/>
      <c r="Y24" s="129"/>
      <c r="Z24" s="129"/>
      <c r="AA24" s="129"/>
      <c r="AB24" s="129"/>
      <c r="AC24" s="198"/>
      <c r="AD24" s="129"/>
      <c r="AE24" s="129"/>
      <c r="AF24" s="129"/>
      <c r="AG24" s="129"/>
      <c r="AH24" s="199"/>
      <c r="AI24" s="129"/>
      <c r="AJ24" s="129"/>
      <c r="AK24" s="129"/>
      <c r="AL24" s="129"/>
      <c r="AM24" s="199"/>
      <c r="AN24" s="129"/>
      <c r="AO24" s="129"/>
      <c r="AP24" s="129"/>
      <c r="AQ24" s="200"/>
      <c r="AR24" s="199"/>
    </row>
    <row r="25" spans="1:44" ht="15" customHeight="1">
      <c r="A25" s="107">
        <f>'DATA SISWA'!A21</f>
        <v>17</v>
      </c>
      <c r="B25" s="107" t="str">
        <f>'DATA SISWA'!B21</f>
        <v>7657</v>
      </c>
      <c r="C25" s="116" t="str">
        <f>'DATA SISWA'!C21</f>
        <v>LATIFA MAHARANI</v>
      </c>
      <c r="D25" s="116" t="str">
        <f>'DATA SISWA'!D21</f>
        <v>P</v>
      </c>
      <c r="E25" s="107" t="str">
        <f>'DATA SISWA'!E21</f>
        <v>VII-J</v>
      </c>
      <c r="F25" s="129"/>
      <c r="G25" s="129"/>
      <c r="H25" s="129"/>
      <c r="I25" s="198"/>
      <c r="J25" s="129"/>
      <c r="K25" s="129"/>
      <c r="L25" s="129"/>
      <c r="M25" s="129"/>
      <c r="N25" s="198"/>
      <c r="O25" s="201"/>
      <c r="P25" s="129"/>
      <c r="Q25" s="129"/>
      <c r="R25" s="129"/>
      <c r="S25" s="198"/>
      <c r="T25" s="129"/>
      <c r="U25" s="129"/>
      <c r="V25" s="129"/>
      <c r="W25" s="129"/>
      <c r="X25" s="198"/>
      <c r="Y25" s="129"/>
      <c r="Z25" s="129"/>
      <c r="AA25" s="129"/>
      <c r="AB25" s="129"/>
      <c r="AC25" s="198"/>
      <c r="AD25" s="129"/>
      <c r="AE25" s="129"/>
      <c r="AF25" s="129"/>
      <c r="AG25" s="129"/>
      <c r="AH25" s="199"/>
      <c r="AI25" s="129"/>
      <c r="AJ25" s="129"/>
      <c r="AK25" s="129"/>
      <c r="AL25" s="129"/>
      <c r="AM25" s="199"/>
      <c r="AN25" s="129"/>
      <c r="AO25" s="129"/>
      <c r="AP25" s="129"/>
      <c r="AQ25" s="200"/>
      <c r="AR25" s="199"/>
    </row>
    <row r="26" spans="1:44" ht="15" customHeight="1">
      <c r="A26" s="107">
        <f>'DATA SISWA'!A22</f>
        <v>18</v>
      </c>
      <c r="B26" s="107" t="str">
        <f>'DATA SISWA'!B22</f>
        <v>7658</v>
      </c>
      <c r="C26" s="116" t="str">
        <f>'DATA SISWA'!C22</f>
        <v>LUQMANUL FIKRI SYAIFULLAH</v>
      </c>
      <c r="D26" s="116" t="str">
        <f>'DATA SISWA'!D22</f>
        <v>L</v>
      </c>
      <c r="E26" s="107" t="str">
        <f>'DATA SISWA'!E22</f>
        <v>VII-J</v>
      </c>
      <c r="F26" s="129"/>
      <c r="G26" s="129"/>
      <c r="H26" s="129"/>
      <c r="I26" s="198"/>
      <c r="J26" s="129"/>
      <c r="K26" s="129"/>
      <c r="L26" s="129"/>
      <c r="M26" s="129"/>
      <c r="N26" s="198"/>
      <c r="O26" s="129"/>
      <c r="P26" s="129"/>
      <c r="Q26" s="129"/>
      <c r="R26" s="129"/>
      <c r="S26" s="198"/>
      <c r="T26" s="129"/>
      <c r="U26" s="129"/>
      <c r="V26" s="129"/>
      <c r="W26" s="129"/>
      <c r="X26" s="198"/>
      <c r="Y26" s="129"/>
      <c r="Z26" s="129"/>
      <c r="AA26" s="129"/>
      <c r="AB26" s="129"/>
      <c r="AC26" s="198"/>
      <c r="AD26" s="129"/>
      <c r="AE26" s="129"/>
      <c r="AF26" s="129"/>
      <c r="AG26" s="129"/>
      <c r="AH26" s="199"/>
      <c r="AI26" s="129"/>
      <c r="AJ26" s="129"/>
      <c r="AK26" s="129"/>
      <c r="AL26" s="129"/>
      <c r="AM26" s="199"/>
      <c r="AN26" s="129"/>
      <c r="AO26" s="129"/>
      <c r="AP26" s="129"/>
      <c r="AQ26" s="200"/>
      <c r="AR26" s="199"/>
    </row>
    <row r="27" spans="1:44" ht="15" customHeight="1">
      <c r="A27" s="107">
        <f>'DATA SISWA'!A23</f>
        <v>19</v>
      </c>
      <c r="B27" s="107" t="str">
        <f>'DATA SISWA'!B23</f>
        <v>7659</v>
      </c>
      <c r="C27" s="116" t="str">
        <f>'DATA SISWA'!C23</f>
        <v>MAR'ATUS SOLEHAH</v>
      </c>
      <c r="D27" s="116" t="str">
        <f>'DATA SISWA'!D23</f>
        <v>P</v>
      </c>
      <c r="E27" s="107" t="str">
        <f>'DATA SISWA'!E23</f>
        <v>VII-J</v>
      </c>
      <c r="F27" s="129"/>
      <c r="G27" s="129"/>
      <c r="H27" s="129"/>
      <c r="I27" s="198"/>
      <c r="J27" s="129"/>
      <c r="K27" s="129"/>
      <c r="L27" s="129"/>
      <c r="M27" s="129"/>
      <c r="N27" s="198"/>
      <c r="O27" s="129"/>
      <c r="P27" s="129"/>
      <c r="Q27" s="129"/>
      <c r="R27" s="129"/>
      <c r="S27" s="198"/>
      <c r="T27" s="129"/>
      <c r="U27" s="129"/>
      <c r="V27" s="129"/>
      <c r="W27" s="129"/>
      <c r="X27" s="198"/>
      <c r="Y27" s="129"/>
      <c r="Z27" s="129"/>
      <c r="AA27" s="129"/>
      <c r="AB27" s="129"/>
      <c r="AC27" s="198"/>
      <c r="AD27" s="129"/>
      <c r="AE27" s="129"/>
      <c r="AF27" s="129"/>
      <c r="AG27" s="129"/>
      <c r="AH27" s="199"/>
      <c r="AI27" s="129"/>
      <c r="AJ27" s="129"/>
      <c r="AK27" s="129"/>
      <c r="AL27" s="129"/>
      <c r="AM27" s="199"/>
      <c r="AN27" s="129"/>
      <c r="AO27" s="129"/>
      <c r="AP27" s="129"/>
      <c r="AQ27" s="200"/>
      <c r="AR27" s="199"/>
    </row>
    <row r="28" spans="1:44" ht="15" customHeight="1">
      <c r="A28" s="107">
        <f>'DATA SISWA'!A24</f>
        <v>20</v>
      </c>
      <c r="B28" s="107" t="str">
        <f>'DATA SISWA'!B24</f>
        <v>7660</v>
      </c>
      <c r="C28" s="116" t="str">
        <f>'DATA SISWA'!C24</f>
        <v>MOCH.  SHOLEH W. H</v>
      </c>
      <c r="D28" s="116" t="str">
        <f>'DATA SISWA'!D24</f>
        <v>L</v>
      </c>
      <c r="E28" s="107" t="str">
        <f>'DATA SISWA'!E24</f>
        <v>VII-J</v>
      </c>
      <c r="F28" s="129"/>
      <c r="G28" s="129"/>
      <c r="H28" s="129"/>
      <c r="I28" s="198"/>
      <c r="J28" s="129"/>
      <c r="K28" s="129"/>
      <c r="L28" s="129"/>
      <c r="M28" s="129"/>
      <c r="N28" s="198"/>
      <c r="O28" s="129"/>
      <c r="P28" s="129"/>
      <c r="Q28" s="129"/>
      <c r="R28" s="129"/>
      <c r="S28" s="198"/>
      <c r="T28" s="129"/>
      <c r="U28" s="129"/>
      <c r="V28" s="129"/>
      <c r="W28" s="129"/>
      <c r="X28" s="198"/>
      <c r="Y28" s="129"/>
      <c r="Z28" s="129"/>
      <c r="AA28" s="129"/>
      <c r="AB28" s="129"/>
      <c r="AC28" s="198"/>
      <c r="AD28" s="129"/>
      <c r="AE28" s="129"/>
      <c r="AF28" s="129"/>
      <c r="AG28" s="129"/>
      <c r="AH28" s="199"/>
      <c r="AI28" s="129"/>
      <c r="AJ28" s="129"/>
      <c r="AK28" s="129"/>
      <c r="AL28" s="129"/>
      <c r="AM28" s="199"/>
      <c r="AN28" s="129"/>
      <c r="AO28" s="129"/>
      <c r="AP28" s="129"/>
      <c r="AQ28" s="200"/>
      <c r="AR28" s="199"/>
    </row>
    <row r="29" spans="1:44" ht="15" customHeight="1">
      <c r="A29" s="107">
        <f>'DATA SISWA'!A25</f>
        <v>21</v>
      </c>
      <c r="B29" s="107" t="str">
        <f>'DATA SISWA'!B25</f>
        <v>7661</v>
      </c>
      <c r="C29" s="116" t="str">
        <f>'DATA SISWA'!C25</f>
        <v>MOCH. FAWES</v>
      </c>
      <c r="D29" s="116" t="str">
        <f>'DATA SISWA'!D25</f>
        <v>L</v>
      </c>
      <c r="E29" s="107" t="str">
        <f>'DATA SISWA'!E25</f>
        <v>VII-J</v>
      </c>
      <c r="F29" s="129"/>
      <c r="G29" s="129"/>
      <c r="H29" s="129"/>
      <c r="I29" s="198"/>
      <c r="J29" s="129"/>
      <c r="K29" s="129"/>
      <c r="L29" s="129"/>
      <c r="M29" s="129"/>
      <c r="N29" s="198"/>
      <c r="O29" s="129"/>
      <c r="P29" s="129"/>
      <c r="Q29" s="129"/>
      <c r="R29" s="129"/>
      <c r="S29" s="198"/>
      <c r="T29" s="129"/>
      <c r="U29" s="129"/>
      <c r="V29" s="129"/>
      <c r="W29" s="129"/>
      <c r="X29" s="198"/>
      <c r="Y29" s="129"/>
      <c r="Z29" s="129"/>
      <c r="AA29" s="129"/>
      <c r="AB29" s="129"/>
      <c r="AC29" s="198"/>
      <c r="AD29" s="129"/>
      <c r="AE29" s="129"/>
      <c r="AF29" s="129"/>
      <c r="AG29" s="129"/>
      <c r="AH29" s="199"/>
      <c r="AI29" s="129"/>
      <c r="AJ29" s="129"/>
      <c r="AK29" s="129"/>
      <c r="AL29" s="129"/>
      <c r="AM29" s="199"/>
      <c r="AN29" s="129"/>
      <c r="AO29" s="129"/>
      <c r="AP29" s="129"/>
      <c r="AQ29" s="200"/>
      <c r="AR29" s="199"/>
    </row>
    <row r="30" spans="1:44" ht="15" customHeight="1">
      <c r="A30" s="107">
        <f>'DATA SISWA'!A26</f>
        <v>22</v>
      </c>
      <c r="B30" s="107" t="str">
        <f>'DATA SISWA'!B26</f>
        <v>7662</v>
      </c>
      <c r="C30" s="116" t="str">
        <f>'DATA SISWA'!C26</f>
        <v>MOH SAHRUL RAMADON</v>
      </c>
      <c r="D30" s="116" t="str">
        <f>'DATA SISWA'!D26</f>
        <v>L</v>
      </c>
      <c r="E30" s="107" t="str">
        <f>'DATA SISWA'!E26</f>
        <v>VII-J</v>
      </c>
      <c r="F30" s="129"/>
      <c r="G30" s="129"/>
      <c r="H30" s="129"/>
      <c r="I30" s="198"/>
      <c r="J30" s="129"/>
      <c r="K30" s="129"/>
      <c r="L30" s="129"/>
      <c r="M30" s="129"/>
      <c r="N30" s="198"/>
      <c r="O30" s="129"/>
      <c r="P30" s="129"/>
      <c r="Q30" s="129"/>
      <c r="R30" s="129"/>
      <c r="S30" s="198"/>
      <c r="T30" s="129"/>
      <c r="U30" s="129"/>
      <c r="V30" s="129"/>
      <c r="W30" s="129"/>
      <c r="X30" s="198"/>
      <c r="Y30" s="129"/>
      <c r="Z30" s="129"/>
      <c r="AA30" s="129"/>
      <c r="AB30" s="129"/>
      <c r="AC30" s="198"/>
      <c r="AD30" s="129"/>
      <c r="AE30" s="129"/>
      <c r="AF30" s="129"/>
      <c r="AG30" s="129"/>
      <c r="AH30" s="199"/>
      <c r="AI30" s="129"/>
      <c r="AJ30" s="129"/>
      <c r="AK30" s="129"/>
      <c r="AL30" s="129"/>
      <c r="AM30" s="199"/>
      <c r="AN30" s="129"/>
      <c r="AO30" s="129"/>
      <c r="AP30" s="129"/>
      <c r="AQ30" s="200"/>
      <c r="AR30" s="199"/>
    </row>
    <row r="31" spans="1:44" ht="15" customHeight="1">
      <c r="A31" s="107">
        <f>'DATA SISWA'!A27</f>
        <v>23</v>
      </c>
      <c r="B31" s="107" t="str">
        <f>'DATA SISWA'!B27</f>
        <v>7664</v>
      </c>
      <c r="C31" s="116" t="str">
        <f>'DATA SISWA'!C27</f>
        <v>MOHAMMAD RAMADAN PURNOMO</v>
      </c>
      <c r="D31" s="116" t="str">
        <f>'DATA SISWA'!D27</f>
        <v>L</v>
      </c>
      <c r="E31" s="107" t="str">
        <f>'DATA SISWA'!E27</f>
        <v>VII-J</v>
      </c>
      <c r="F31" s="129"/>
      <c r="G31" s="129"/>
      <c r="H31" s="129"/>
      <c r="I31" s="198"/>
      <c r="J31" s="129"/>
      <c r="K31" s="129"/>
      <c r="L31" s="129"/>
      <c r="M31" s="129"/>
      <c r="N31" s="198"/>
      <c r="O31" s="129"/>
      <c r="P31" s="129"/>
      <c r="Q31" s="129"/>
      <c r="R31" s="129"/>
      <c r="S31" s="198"/>
      <c r="T31" s="129"/>
      <c r="U31" s="129"/>
      <c r="V31" s="129"/>
      <c r="W31" s="129"/>
      <c r="X31" s="198"/>
      <c r="Y31" s="129"/>
      <c r="Z31" s="129"/>
      <c r="AA31" s="129"/>
      <c r="AB31" s="129"/>
      <c r="AC31" s="198"/>
      <c r="AD31" s="129"/>
      <c r="AE31" s="129"/>
      <c r="AF31" s="129"/>
      <c r="AG31" s="129"/>
      <c r="AH31" s="199"/>
      <c r="AI31" s="129"/>
      <c r="AJ31" s="129"/>
      <c r="AK31" s="129"/>
      <c r="AL31" s="129"/>
      <c r="AM31" s="199"/>
      <c r="AN31" s="129"/>
      <c r="AO31" s="129"/>
      <c r="AP31" s="129"/>
      <c r="AQ31" s="200"/>
      <c r="AR31" s="199"/>
    </row>
    <row r="32" spans="1:44" ht="15" customHeight="1">
      <c r="A32" s="107">
        <f>'DATA SISWA'!A28</f>
        <v>24</v>
      </c>
      <c r="B32" s="107" t="str">
        <f>'DATA SISWA'!B28</f>
        <v>7665</v>
      </c>
      <c r="C32" s="116" t="str">
        <f>'DATA SISWA'!C28</f>
        <v>MOHAMMAD ROFI'I</v>
      </c>
      <c r="D32" s="116" t="str">
        <f>'DATA SISWA'!D28</f>
        <v>L</v>
      </c>
      <c r="E32" s="107" t="str">
        <f>'DATA SISWA'!E28</f>
        <v>VII-J</v>
      </c>
      <c r="F32" s="129"/>
      <c r="G32" s="129"/>
      <c r="H32" s="129"/>
      <c r="I32" s="198"/>
      <c r="J32" s="129"/>
      <c r="K32" s="129"/>
      <c r="L32" s="129"/>
      <c r="M32" s="129"/>
      <c r="N32" s="198"/>
      <c r="O32" s="129"/>
      <c r="P32" s="129"/>
      <c r="Q32" s="129"/>
      <c r="R32" s="129"/>
      <c r="S32" s="198"/>
      <c r="T32" s="129"/>
      <c r="U32" s="129"/>
      <c r="V32" s="129"/>
      <c r="W32" s="129"/>
      <c r="X32" s="198"/>
      <c r="Y32" s="129"/>
      <c r="Z32" s="129"/>
      <c r="AA32" s="129"/>
      <c r="AB32" s="129"/>
      <c r="AC32" s="198"/>
      <c r="AD32" s="129"/>
      <c r="AE32" s="129"/>
      <c r="AF32" s="129"/>
      <c r="AG32" s="129"/>
      <c r="AH32" s="199"/>
      <c r="AI32" s="129"/>
      <c r="AJ32" s="129"/>
      <c r="AK32" s="129"/>
      <c r="AL32" s="129"/>
      <c r="AM32" s="199"/>
      <c r="AN32" s="129"/>
      <c r="AO32" s="129"/>
      <c r="AP32" s="129"/>
      <c r="AQ32" s="200"/>
      <c r="AR32" s="199"/>
    </row>
    <row r="33" spans="1:44" ht="15" customHeight="1">
      <c r="A33" s="107">
        <f>'DATA SISWA'!A29</f>
        <v>25</v>
      </c>
      <c r="B33" s="107" t="str">
        <f>'DATA SISWA'!B29</f>
        <v>7666</v>
      </c>
      <c r="C33" s="116" t="str">
        <f>'DATA SISWA'!C29</f>
        <v>NI'MATUS SHOLIHA</v>
      </c>
      <c r="D33" s="116" t="str">
        <f>'DATA SISWA'!D29</f>
        <v>P</v>
      </c>
      <c r="E33" s="107" t="str">
        <f>'DATA SISWA'!E29</f>
        <v>VII-J</v>
      </c>
      <c r="F33" s="129"/>
      <c r="G33" s="129"/>
      <c r="H33" s="129"/>
      <c r="I33" s="198"/>
      <c r="J33" s="129"/>
      <c r="K33" s="129"/>
      <c r="L33" s="129"/>
      <c r="M33" s="129"/>
      <c r="N33" s="198"/>
      <c r="O33" s="129"/>
      <c r="P33" s="129"/>
      <c r="Q33" s="129"/>
      <c r="R33" s="129"/>
      <c r="S33" s="198"/>
      <c r="T33" s="129"/>
      <c r="U33" s="129"/>
      <c r="V33" s="129"/>
      <c r="W33" s="129"/>
      <c r="X33" s="198"/>
      <c r="Y33" s="129"/>
      <c r="Z33" s="129"/>
      <c r="AA33" s="129"/>
      <c r="AB33" s="129"/>
      <c r="AC33" s="198"/>
      <c r="AD33" s="129"/>
      <c r="AE33" s="129"/>
      <c r="AF33" s="129"/>
      <c r="AG33" s="129"/>
      <c r="AH33" s="199"/>
      <c r="AI33" s="129"/>
      <c r="AJ33" s="129"/>
      <c r="AK33" s="129"/>
      <c r="AL33" s="129"/>
      <c r="AM33" s="199"/>
      <c r="AN33" s="129"/>
      <c r="AO33" s="129"/>
      <c r="AP33" s="129"/>
      <c r="AQ33" s="200"/>
      <c r="AR33" s="199"/>
    </row>
    <row r="34" spans="1:44" ht="15" customHeight="1">
      <c r="A34" s="107">
        <f>'DATA SISWA'!A30</f>
        <v>26</v>
      </c>
      <c r="B34" s="107" t="str">
        <f>'DATA SISWA'!B30</f>
        <v>7676</v>
      </c>
      <c r="C34" s="116" t="str">
        <f>'DATA SISWA'!C30</f>
        <v>PANJI FIKRI ISLAMI</v>
      </c>
      <c r="D34" s="116" t="str">
        <f>'DATA SISWA'!D30</f>
        <v>L</v>
      </c>
      <c r="E34" s="107" t="str">
        <f>'DATA SISWA'!E30</f>
        <v>VII-J</v>
      </c>
      <c r="F34" s="129"/>
      <c r="G34" s="129"/>
      <c r="H34" s="129"/>
      <c r="I34" s="198"/>
      <c r="J34" s="129"/>
      <c r="K34" s="129"/>
      <c r="L34" s="129"/>
      <c r="M34" s="129"/>
      <c r="N34" s="198"/>
      <c r="O34" s="129"/>
      <c r="P34" s="129"/>
      <c r="Q34" s="129"/>
      <c r="R34" s="129"/>
      <c r="S34" s="198"/>
      <c r="T34" s="129"/>
      <c r="U34" s="129"/>
      <c r="V34" s="129"/>
      <c r="W34" s="129"/>
      <c r="X34" s="198"/>
      <c r="Y34" s="129"/>
      <c r="Z34" s="129"/>
      <c r="AA34" s="129"/>
      <c r="AB34" s="129"/>
      <c r="AC34" s="198"/>
      <c r="AD34" s="129"/>
      <c r="AE34" s="129"/>
      <c r="AF34" s="129"/>
      <c r="AG34" s="129"/>
      <c r="AH34" s="199"/>
      <c r="AI34" s="129"/>
      <c r="AJ34" s="129"/>
      <c r="AK34" s="129"/>
      <c r="AL34" s="129"/>
      <c r="AM34" s="199"/>
      <c r="AN34" s="129"/>
      <c r="AO34" s="129"/>
      <c r="AP34" s="129"/>
      <c r="AQ34" s="200"/>
      <c r="AR34" s="199"/>
    </row>
    <row r="35" spans="1:44" ht="15" customHeight="1">
      <c r="A35" s="107">
        <f>'DATA SISWA'!A31</f>
        <v>27</v>
      </c>
      <c r="B35" s="107" t="str">
        <f>'DATA SISWA'!B31</f>
        <v>7667</v>
      </c>
      <c r="C35" s="116" t="str">
        <f>'DATA SISWA'!C31</f>
        <v>RACMAT MAULIDI ABDANY</v>
      </c>
      <c r="D35" s="116" t="str">
        <f>'DATA SISWA'!D31</f>
        <v>L</v>
      </c>
      <c r="E35" s="107" t="str">
        <f>'DATA SISWA'!E31</f>
        <v>VII-J</v>
      </c>
      <c r="F35" s="129"/>
      <c r="G35" s="129"/>
      <c r="H35" s="129"/>
      <c r="I35" s="198"/>
      <c r="J35" s="129"/>
      <c r="K35" s="129"/>
      <c r="L35" s="129"/>
      <c r="M35" s="129"/>
      <c r="N35" s="198"/>
      <c r="O35" s="129"/>
      <c r="P35" s="129"/>
      <c r="Q35" s="129"/>
      <c r="R35" s="129"/>
      <c r="S35" s="198"/>
      <c r="T35" s="129"/>
      <c r="U35" s="129"/>
      <c r="V35" s="129"/>
      <c r="W35" s="129"/>
      <c r="X35" s="198"/>
      <c r="Y35" s="129"/>
      <c r="Z35" s="129"/>
      <c r="AA35" s="129"/>
      <c r="AB35" s="129"/>
      <c r="AC35" s="198"/>
      <c r="AD35" s="129"/>
      <c r="AE35" s="129"/>
      <c r="AF35" s="129"/>
      <c r="AG35" s="129"/>
      <c r="AH35" s="199"/>
      <c r="AI35" s="129"/>
      <c r="AJ35" s="129"/>
      <c r="AK35" s="129"/>
      <c r="AL35" s="129"/>
      <c r="AM35" s="199"/>
      <c r="AN35" s="129"/>
      <c r="AO35" s="129"/>
      <c r="AP35" s="129"/>
      <c r="AQ35" s="200"/>
      <c r="AR35" s="199"/>
    </row>
    <row r="36" spans="1:44" ht="15" customHeight="1">
      <c r="A36" s="107">
        <f>'DATA SISWA'!A32</f>
        <v>28</v>
      </c>
      <c r="B36" s="107" t="str">
        <f>'DATA SISWA'!B32</f>
        <v>7668</v>
      </c>
      <c r="C36" s="116" t="str">
        <f>'DATA SISWA'!C32</f>
        <v>RAIHAN</v>
      </c>
      <c r="D36" s="116" t="str">
        <f>'DATA SISWA'!D32</f>
        <v>L</v>
      </c>
      <c r="E36" s="107" t="str">
        <f>'DATA SISWA'!E32</f>
        <v>VII-J</v>
      </c>
      <c r="F36" s="129"/>
      <c r="G36" s="129"/>
      <c r="H36" s="129"/>
      <c r="I36" s="198"/>
      <c r="J36" s="129"/>
      <c r="K36" s="129"/>
      <c r="L36" s="129"/>
      <c r="M36" s="129"/>
      <c r="N36" s="198"/>
      <c r="O36" s="129"/>
      <c r="P36" s="129"/>
      <c r="Q36" s="129"/>
      <c r="R36" s="129"/>
      <c r="S36" s="198"/>
      <c r="T36" s="129"/>
      <c r="U36" s="129"/>
      <c r="V36" s="129"/>
      <c r="W36" s="129"/>
      <c r="X36" s="198"/>
      <c r="Y36" s="129"/>
      <c r="Z36" s="129"/>
      <c r="AA36" s="129"/>
      <c r="AB36" s="129"/>
      <c r="AC36" s="198"/>
      <c r="AD36" s="129"/>
      <c r="AE36" s="129"/>
      <c r="AF36" s="129"/>
      <c r="AG36" s="129"/>
      <c r="AH36" s="199"/>
      <c r="AI36" s="129"/>
      <c r="AJ36" s="129"/>
      <c r="AK36" s="129"/>
      <c r="AL36" s="129"/>
      <c r="AM36" s="199"/>
      <c r="AN36" s="129"/>
      <c r="AO36" s="129"/>
      <c r="AP36" s="129"/>
      <c r="AQ36" s="200"/>
      <c r="AR36" s="199"/>
    </row>
    <row r="37" spans="1:44" ht="15" customHeight="1">
      <c r="A37" s="107">
        <f>'DATA SISWA'!A33</f>
        <v>29</v>
      </c>
      <c r="B37" s="107" t="str">
        <f>'DATA SISWA'!B33</f>
        <v>7669</v>
      </c>
      <c r="C37" s="116" t="str">
        <f>'DATA SISWA'!C33</f>
        <v>REFITA ANNASTASYA</v>
      </c>
      <c r="D37" s="116" t="str">
        <f>'DATA SISWA'!D33</f>
        <v>P</v>
      </c>
      <c r="E37" s="107" t="str">
        <f>'DATA SISWA'!E33</f>
        <v>VII-J</v>
      </c>
      <c r="F37" s="129"/>
      <c r="G37" s="129"/>
      <c r="H37" s="129"/>
      <c r="I37" s="198"/>
      <c r="J37" s="129"/>
      <c r="K37" s="129"/>
      <c r="L37" s="129"/>
      <c r="M37" s="129"/>
      <c r="N37" s="198"/>
      <c r="O37" s="129"/>
      <c r="P37" s="129"/>
      <c r="Q37" s="129"/>
      <c r="R37" s="129"/>
      <c r="S37" s="198"/>
      <c r="T37" s="129"/>
      <c r="U37" s="129"/>
      <c r="V37" s="129"/>
      <c r="W37" s="129"/>
      <c r="X37" s="198"/>
      <c r="Y37" s="129"/>
      <c r="Z37" s="129"/>
      <c r="AA37" s="129"/>
      <c r="AB37" s="129"/>
      <c r="AC37" s="198"/>
      <c r="AD37" s="129"/>
      <c r="AE37" s="129"/>
      <c r="AF37" s="129"/>
      <c r="AG37" s="129"/>
      <c r="AH37" s="199"/>
      <c r="AI37" s="129"/>
      <c r="AJ37" s="129"/>
      <c r="AK37" s="129"/>
      <c r="AL37" s="129"/>
      <c r="AM37" s="199"/>
      <c r="AN37" s="129"/>
      <c r="AO37" s="129"/>
      <c r="AP37" s="129"/>
      <c r="AQ37" s="200"/>
      <c r="AR37" s="199"/>
    </row>
    <row r="38" spans="1:44" ht="15" customHeight="1">
      <c r="A38" s="107">
        <f>'DATA SISWA'!A34</f>
        <v>30</v>
      </c>
      <c r="B38" s="107" t="str">
        <f>'DATA SISWA'!B34</f>
        <v>7670</v>
      </c>
      <c r="C38" s="116" t="str">
        <f>'DATA SISWA'!C34</f>
        <v>RISKIYAH</v>
      </c>
      <c r="D38" s="116" t="str">
        <f>'DATA SISWA'!D34</f>
        <v>P</v>
      </c>
      <c r="E38" s="107" t="str">
        <f>'DATA SISWA'!E34</f>
        <v>VII-J</v>
      </c>
      <c r="F38" s="129"/>
      <c r="G38" s="129"/>
      <c r="H38" s="129"/>
      <c r="I38" s="198"/>
      <c r="J38" s="129"/>
      <c r="K38" s="129"/>
      <c r="L38" s="129"/>
      <c r="M38" s="129"/>
      <c r="N38" s="198"/>
      <c r="O38" s="129"/>
      <c r="P38" s="129"/>
      <c r="Q38" s="129"/>
      <c r="R38" s="129"/>
      <c r="S38" s="198"/>
      <c r="T38" s="129"/>
      <c r="U38" s="129"/>
      <c r="V38" s="129"/>
      <c r="W38" s="129"/>
      <c r="X38" s="198"/>
      <c r="Y38" s="129"/>
      <c r="Z38" s="129"/>
      <c r="AA38" s="129"/>
      <c r="AB38" s="129"/>
      <c r="AC38" s="198"/>
      <c r="AD38" s="129"/>
      <c r="AE38" s="129"/>
      <c r="AF38" s="129"/>
      <c r="AG38" s="129"/>
      <c r="AH38" s="199"/>
      <c r="AI38" s="129"/>
      <c r="AJ38" s="129"/>
      <c r="AK38" s="129"/>
      <c r="AL38" s="129"/>
      <c r="AM38" s="199"/>
      <c r="AN38" s="129"/>
      <c r="AO38" s="129"/>
      <c r="AP38" s="129"/>
      <c r="AQ38" s="200"/>
      <c r="AR38" s="199"/>
    </row>
    <row r="39" spans="1:44" ht="15" customHeight="1">
      <c r="A39" s="107">
        <f>'DATA SISWA'!A35</f>
        <v>31</v>
      </c>
      <c r="B39" s="107" t="str">
        <f>'DATA SISWA'!B35</f>
        <v>7671</v>
      </c>
      <c r="C39" s="116" t="str">
        <f>'DATA SISWA'!C35</f>
        <v>SALILATUL HUSNA</v>
      </c>
      <c r="D39" s="116" t="str">
        <f>'DATA SISWA'!D35</f>
        <v>P</v>
      </c>
      <c r="E39" s="107" t="str">
        <f>'DATA SISWA'!E35</f>
        <v>VII-J</v>
      </c>
      <c r="F39" s="129"/>
      <c r="G39" s="129"/>
      <c r="H39" s="129"/>
      <c r="I39" s="198"/>
      <c r="J39" s="129"/>
      <c r="K39" s="129"/>
      <c r="L39" s="129"/>
      <c r="M39" s="129"/>
      <c r="N39" s="198"/>
      <c r="O39" s="129"/>
      <c r="P39" s="129"/>
      <c r="Q39" s="129"/>
      <c r="R39" s="129"/>
      <c r="S39" s="198"/>
      <c r="T39" s="129"/>
      <c r="U39" s="129"/>
      <c r="V39" s="129"/>
      <c r="W39" s="129"/>
      <c r="X39" s="198"/>
      <c r="Y39" s="129"/>
      <c r="Z39" s="129"/>
      <c r="AA39" s="129"/>
      <c r="AB39" s="129"/>
      <c r="AC39" s="198"/>
      <c r="AD39" s="129"/>
      <c r="AE39" s="129"/>
      <c r="AF39" s="129"/>
      <c r="AG39" s="129"/>
      <c r="AH39" s="199"/>
      <c r="AI39" s="129"/>
      <c r="AJ39" s="129"/>
      <c r="AK39" s="129"/>
      <c r="AL39" s="129"/>
      <c r="AM39" s="199"/>
      <c r="AN39" s="129"/>
      <c r="AO39" s="129"/>
      <c r="AP39" s="129"/>
      <c r="AQ39" s="200"/>
      <c r="AR39" s="199"/>
    </row>
    <row r="40" spans="1:44" ht="15" customHeight="1">
      <c r="A40" s="107">
        <f>'DATA SISWA'!A36</f>
        <v>32</v>
      </c>
      <c r="B40" s="107" t="str">
        <f>'DATA SISWA'!B36</f>
        <v>7672</v>
      </c>
      <c r="C40" s="116" t="str">
        <f>'DATA SISWA'!C36</f>
        <v>SALMA NABILA</v>
      </c>
      <c r="D40" s="116" t="str">
        <f>'DATA SISWA'!D36</f>
        <v>P</v>
      </c>
      <c r="E40" s="107" t="str">
        <f>'DATA SISWA'!E36</f>
        <v>VII-J</v>
      </c>
      <c r="F40" s="129"/>
      <c r="G40" s="129"/>
      <c r="H40" s="129"/>
      <c r="I40" s="198"/>
      <c r="J40" s="129"/>
      <c r="K40" s="129"/>
      <c r="L40" s="129"/>
      <c r="M40" s="129"/>
      <c r="N40" s="198"/>
      <c r="O40" s="129"/>
      <c r="P40" s="129"/>
      <c r="Q40" s="129"/>
      <c r="R40" s="129"/>
      <c r="S40" s="198"/>
      <c r="T40" s="129"/>
      <c r="U40" s="129"/>
      <c r="V40" s="129"/>
      <c r="W40" s="129"/>
      <c r="X40" s="198"/>
      <c r="Y40" s="129"/>
      <c r="Z40" s="129"/>
      <c r="AA40" s="129"/>
      <c r="AB40" s="129"/>
      <c r="AC40" s="198"/>
      <c r="AD40" s="129"/>
      <c r="AE40" s="129"/>
      <c r="AF40" s="129"/>
      <c r="AG40" s="129"/>
      <c r="AH40" s="199"/>
      <c r="AI40" s="129"/>
      <c r="AJ40" s="129"/>
      <c r="AK40" s="129"/>
      <c r="AL40" s="129"/>
      <c r="AM40" s="199"/>
      <c r="AN40" s="129"/>
      <c r="AO40" s="129"/>
      <c r="AP40" s="129"/>
      <c r="AQ40" s="200"/>
      <c r="AR40" s="199"/>
    </row>
    <row r="41" spans="1:44" ht="15" customHeight="1">
      <c r="A41" s="107">
        <f>'DATA SISWA'!A37</f>
        <v>33</v>
      </c>
      <c r="B41" s="107" t="str">
        <f>'DATA SISWA'!B37</f>
        <v>7673</v>
      </c>
      <c r="C41" s="116" t="str">
        <f>'DATA SISWA'!C37</f>
        <v>SITI AINUR ROHIMAH</v>
      </c>
      <c r="D41" s="116" t="str">
        <f>'DATA SISWA'!D37</f>
        <v>P</v>
      </c>
      <c r="E41" s="107" t="str">
        <f>'DATA SISWA'!E37</f>
        <v>VII-J</v>
      </c>
      <c r="F41" s="129"/>
      <c r="G41" s="129"/>
      <c r="H41" s="129"/>
      <c r="I41" s="198"/>
      <c r="J41" s="129"/>
      <c r="K41" s="129"/>
      <c r="L41" s="129"/>
      <c r="M41" s="129"/>
      <c r="N41" s="198"/>
      <c r="O41" s="129"/>
      <c r="P41" s="129"/>
      <c r="Q41" s="129"/>
      <c r="R41" s="129"/>
      <c r="S41" s="198"/>
      <c r="T41" s="129"/>
      <c r="U41" s="129"/>
      <c r="V41" s="129"/>
      <c r="W41" s="129"/>
      <c r="X41" s="198"/>
      <c r="Y41" s="129"/>
      <c r="Z41" s="129"/>
      <c r="AA41" s="129"/>
      <c r="AB41" s="129"/>
      <c r="AC41" s="198"/>
      <c r="AD41" s="129"/>
      <c r="AE41" s="129"/>
      <c r="AF41" s="129"/>
      <c r="AG41" s="129"/>
      <c r="AH41" s="199"/>
      <c r="AI41" s="129"/>
      <c r="AJ41" s="129"/>
      <c r="AK41" s="129"/>
      <c r="AL41" s="129"/>
      <c r="AM41" s="199"/>
      <c r="AN41" s="129"/>
      <c r="AO41" s="129"/>
      <c r="AP41" s="129"/>
      <c r="AQ41" s="200"/>
      <c r="AR41" s="199"/>
    </row>
    <row r="42" spans="1:44" ht="15" customHeight="1">
      <c r="A42" s="107">
        <f>'DATA SISWA'!A38</f>
        <v>34</v>
      </c>
      <c r="B42" s="107" t="str">
        <f>'DATA SISWA'!B38</f>
        <v>7675</v>
      </c>
      <c r="C42" s="116" t="str">
        <f>'DATA SISWA'!C38</f>
        <v>SYARIF HIDAYATULLOH</v>
      </c>
      <c r="D42" s="116" t="str">
        <f>'DATA SISWA'!D38</f>
        <v>L</v>
      </c>
      <c r="E42" s="107" t="str">
        <f>'DATA SISWA'!E38</f>
        <v>VII-J</v>
      </c>
      <c r="F42" s="129"/>
      <c r="G42" s="129"/>
      <c r="H42" s="129"/>
      <c r="I42" s="198"/>
      <c r="J42" s="129"/>
      <c r="K42" s="129"/>
      <c r="L42" s="129"/>
      <c r="M42" s="129"/>
      <c r="N42" s="198"/>
      <c r="O42" s="129"/>
      <c r="P42" s="129"/>
      <c r="Q42" s="129"/>
      <c r="R42" s="129"/>
      <c r="S42" s="198"/>
      <c r="T42" s="129"/>
      <c r="U42" s="129"/>
      <c r="V42" s="129"/>
      <c r="W42" s="129"/>
      <c r="X42" s="198"/>
      <c r="Y42" s="129"/>
      <c r="Z42" s="129"/>
      <c r="AA42" s="129"/>
      <c r="AB42" s="129"/>
      <c r="AC42" s="198"/>
      <c r="AD42" s="129"/>
      <c r="AE42" s="129"/>
      <c r="AF42" s="129"/>
      <c r="AG42" s="129"/>
      <c r="AH42" s="199"/>
      <c r="AI42" s="129"/>
      <c r="AJ42" s="129"/>
      <c r="AK42" s="129"/>
      <c r="AL42" s="129"/>
      <c r="AM42" s="199"/>
      <c r="AN42" s="129"/>
      <c r="AO42" s="129"/>
      <c r="AP42" s="129"/>
      <c r="AQ42" s="200"/>
      <c r="AR42" s="199"/>
    </row>
    <row r="43" spans="1:44" ht="15" customHeight="1">
      <c r="A43" s="107">
        <f>'DATA SISWA'!A39</f>
        <v>35</v>
      </c>
      <c r="B43" s="107" t="str">
        <f>'DATA SISWA'!B39</f>
        <v>7444</v>
      </c>
      <c r="C43" s="116" t="str">
        <f>'DATA SISWA'!C39</f>
        <v>URVIA ZAHNA ROHANDY</v>
      </c>
      <c r="D43" s="116" t="str">
        <f>'DATA SISWA'!D39</f>
        <v>P</v>
      </c>
      <c r="E43" s="107" t="str">
        <f>'DATA SISWA'!E39</f>
        <v>VII-J</v>
      </c>
      <c r="F43" s="129"/>
      <c r="G43" s="129"/>
      <c r="H43" s="129"/>
      <c r="I43" s="198"/>
      <c r="J43" s="129"/>
      <c r="K43" s="129"/>
      <c r="L43" s="129"/>
      <c r="M43" s="129"/>
      <c r="N43" s="198"/>
      <c r="O43" s="129"/>
      <c r="P43" s="129"/>
      <c r="Q43" s="129"/>
      <c r="R43" s="129"/>
      <c r="S43" s="198"/>
      <c r="T43" s="129"/>
      <c r="U43" s="129"/>
      <c r="V43" s="129"/>
      <c r="W43" s="129"/>
      <c r="X43" s="198"/>
      <c r="Y43" s="129"/>
      <c r="Z43" s="129"/>
      <c r="AA43" s="129"/>
      <c r="AB43" s="129"/>
      <c r="AC43" s="198"/>
      <c r="AD43" s="129"/>
      <c r="AE43" s="129"/>
      <c r="AF43" s="129"/>
      <c r="AG43" s="129"/>
      <c r="AH43" s="199"/>
      <c r="AI43" s="129"/>
      <c r="AJ43" s="129"/>
      <c r="AK43" s="129"/>
      <c r="AL43" s="129"/>
      <c r="AM43" s="199"/>
      <c r="AN43" s="129"/>
      <c r="AO43" s="129"/>
      <c r="AP43" s="129"/>
      <c r="AQ43" s="200"/>
      <c r="AR43" s="199"/>
    </row>
    <row r="44" spans="1:44" ht="15" customHeight="1">
      <c r="A44" s="107">
        <f>'DATA SISWA'!A40</f>
        <v>36</v>
      </c>
      <c r="B44" s="107">
        <f>'DATA SISWA'!B40</f>
        <v>0</v>
      </c>
      <c r="C44" s="116">
        <f>'DATA SISWA'!C40</f>
        <v>0</v>
      </c>
      <c r="D44" s="116">
        <f>'DATA SISWA'!D40</f>
        <v>0</v>
      </c>
      <c r="E44" s="107" t="str">
        <f>'DATA SISWA'!E40</f>
        <v>VII-J</v>
      </c>
      <c r="F44" s="129"/>
      <c r="G44" s="129"/>
      <c r="H44" s="129"/>
      <c r="I44" s="198"/>
      <c r="J44" s="129"/>
      <c r="K44" s="129"/>
      <c r="L44" s="129"/>
      <c r="M44" s="129"/>
      <c r="N44" s="198"/>
      <c r="O44" s="129"/>
      <c r="P44" s="129"/>
      <c r="Q44" s="129"/>
      <c r="R44" s="129"/>
      <c r="S44" s="198"/>
      <c r="T44" s="129"/>
      <c r="U44" s="129"/>
      <c r="V44" s="129"/>
      <c r="W44" s="129"/>
      <c r="X44" s="198"/>
      <c r="Y44" s="129"/>
      <c r="Z44" s="129"/>
      <c r="AA44" s="129"/>
      <c r="AB44" s="129"/>
      <c r="AC44" s="198"/>
      <c r="AD44" s="129"/>
      <c r="AE44" s="129"/>
      <c r="AF44" s="129"/>
      <c r="AG44" s="129"/>
      <c r="AH44" s="199"/>
      <c r="AI44" s="129"/>
      <c r="AJ44" s="129"/>
      <c r="AK44" s="129"/>
      <c r="AL44" s="129"/>
      <c r="AM44" s="199"/>
      <c r="AN44" s="129"/>
      <c r="AO44" s="129"/>
      <c r="AP44" s="129"/>
      <c r="AQ44" s="200"/>
      <c r="AR44" s="199"/>
    </row>
    <row r="45" spans="1:44" ht="15" customHeight="1">
      <c r="A45" s="107">
        <f>'DATA SISWA'!A41</f>
        <v>37</v>
      </c>
      <c r="B45" s="107">
        <f>'DATA SISWA'!B41</f>
        <v>0</v>
      </c>
      <c r="C45" s="116">
        <f>'DATA SISWA'!C41</f>
        <v>0</v>
      </c>
      <c r="D45" s="116">
        <f>'DATA SISWA'!D41</f>
        <v>0</v>
      </c>
      <c r="E45" s="107" t="str">
        <f>'DATA SISWA'!E41</f>
        <v>VII-J</v>
      </c>
      <c r="F45" s="129"/>
      <c r="G45" s="129"/>
      <c r="H45" s="129"/>
      <c r="I45" s="198"/>
      <c r="J45" s="129"/>
      <c r="K45" s="129"/>
      <c r="L45" s="129"/>
      <c r="M45" s="129"/>
      <c r="N45" s="198"/>
      <c r="O45" s="129"/>
      <c r="P45" s="129"/>
      <c r="Q45" s="129"/>
      <c r="R45" s="129"/>
      <c r="S45" s="198"/>
      <c r="T45" s="129"/>
      <c r="U45" s="129"/>
      <c r="V45" s="129"/>
      <c r="W45" s="129"/>
      <c r="X45" s="198"/>
      <c r="Y45" s="129"/>
      <c r="Z45" s="129"/>
      <c r="AA45" s="129"/>
      <c r="AB45" s="129"/>
      <c r="AC45" s="198"/>
      <c r="AD45" s="129"/>
      <c r="AE45" s="129"/>
      <c r="AF45" s="129"/>
      <c r="AG45" s="129"/>
      <c r="AH45" s="199"/>
      <c r="AI45" s="129"/>
      <c r="AJ45" s="129"/>
      <c r="AK45" s="129"/>
      <c r="AL45" s="129"/>
      <c r="AM45" s="199"/>
      <c r="AN45" s="129"/>
      <c r="AO45" s="129"/>
      <c r="AP45" s="129"/>
      <c r="AQ45" s="200"/>
      <c r="AR45" s="199"/>
    </row>
    <row r="46" spans="1:44" ht="15" customHeight="1">
      <c r="A46" s="107">
        <f>'DATA SISWA'!A42</f>
        <v>38</v>
      </c>
      <c r="B46" s="107">
        <f>'DATA SISWA'!B42</f>
        <v>0</v>
      </c>
      <c r="C46" s="116">
        <f>'DATA SISWA'!C42</f>
        <v>0</v>
      </c>
      <c r="D46" s="116">
        <f>'DATA SISWA'!D42</f>
        <v>0</v>
      </c>
      <c r="E46" s="107" t="str">
        <f>'DATA SISWA'!E42</f>
        <v>VII-J</v>
      </c>
      <c r="F46" s="129"/>
      <c r="G46" s="129"/>
      <c r="H46" s="129"/>
      <c r="I46" s="198"/>
      <c r="J46" s="129"/>
      <c r="K46" s="129"/>
      <c r="L46" s="129"/>
      <c r="M46" s="129"/>
      <c r="N46" s="198"/>
      <c r="O46" s="129"/>
      <c r="P46" s="129"/>
      <c r="Q46" s="129"/>
      <c r="R46" s="129"/>
      <c r="S46" s="198"/>
      <c r="T46" s="129"/>
      <c r="U46" s="129"/>
      <c r="V46" s="129"/>
      <c r="W46" s="129"/>
      <c r="X46" s="198"/>
      <c r="Y46" s="129"/>
      <c r="Z46" s="129"/>
      <c r="AA46" s="129"/>
      <c r="AB46" s="129"/>
      <c r="AC46" s="198"/>
      <c r="AD46" s="129"/>
      <c r="AE46" s="129"/>
      <c r="AF46" s="129"/>
      <c r="AG46" s="129"/>
      <c r="AH46" s="199"/>
      <c r="AI46" s="129"/>
      <c r="AJ46" s="129"/>
      <c r="AK46" s="129"/>
      <c r="AL46" s="129"/>
      <c r="AM46" s="199"/>
      <c r="AN46" s="129"/>
      <c r="AO46" s="129"/>
      <c r="AP46" s="129"/>
      <c r="AQ46" s="200"/>
      <c r="AR46" s="199"/>
    </row>
    <row r="47" spans="1:44" ht="15" customHeight="1">
      <c r="A47" s="107">
        <f>'DATA SISWA'!A43</f>
        <v>39</v>
      </c>
      <c r="B47" s="107">
        <f>'DATA SISWA'!B43</f>
        <v>0</v>
      </c>
      <c r="C47" s="116">
        <f>'DATA SISWA'!C43</f>
        <v>0</v>
      </c>
      <c r="D47" s="116">
        <f>'DATA SISWA'!D43</f>
        <v>0</v>
      </c>
      <c r="E47" s="107" t="str">
        <f>'DATA SISWA'!E43</f>
        <v>VII-J</v>
      </c>
      <c r="F47" s="129"/>
      <c r="G47" s="129"/>
      <c r="H47" s="129"/>
      <c r="I47" s="198"/>
      <c r="J47" s="129"/>
      <c r="K47" s="129"/>
      <c r="L47" s="129"/>
      <c r="M47" s="129"/>
      <c r="N47" s="198"/>
      <c r="O47" s="129"/>
      <c r="P47" s="129"/>
      <c r="Q47" s="129"/>
      <c r="R47" s="129"/>
      <c r="S47" s="198"/>
      <c r="T47" s="129"/>
      <c r="U47" s="129"/>
      <c r="V47" s="129"/>
      <c r="W47" s="129"/>
      <c r="X47" s="198"/>
      <c r="Y47" s="129"/>
      <c r="Z47" s="129"/>
      <c r="AA47" s="129"/>
      <c r="AB47" s="129"/>
      <c r="AC47" s="198"/>
      <c r="AD47" s="129"/>
      <c r="AE47" s="129"/>
      <c r="AF47" s="129"/>
      <c r="AG47" s="129"/>
      <c r="AH47" s="199"/>
      <c r="AI47" s="129"/>
      <c r="AJ47" s="129"/>
      <c r="AK47" s="129"/>
      <c r="AL47" s="129"/>
      <c r="AM47" s="199"/>
      <c r="AN47" s="129"/>
      <c r="AO47" s="129"/>
      <c r="AP47" s="129"/>
      <c r="AQ47" s="200"/>
      <c r="AR47" s="199"/>
    </row>
    <row r="48" spans="1:44" ht="15" customHeight="1">
      <c r="A48" s="107">
        <f>'DATA SISWA'!A44</f>
        <v>40</v>
      </c>
      <c r="B48" s="107">
        <f>'DATA SISWA'!B44</f>
        <v>0</v>
      </c>
      <c r="C48" s="116">
        <f>'DATA SISWA'!C44</f>
        <v>0</v>
      </c>
      <c r="D48" s="116">
        <f>'DATA SISWA'!D44</f>
        <v>0</v>
      </c>
      <c r="E48" s="107" t="str">
        <f>'DATA SISWA'!E44</f>
        <v>VII-J</v>
      </c>
      <c r="F48" s="129"/>
      <c r="G48" s="129"/>
      <c r="H48" s="129"/>
      <c r="I48" s="198"/>
      <c r="J48" s="129"/>
      <c r="K48" s="129"/>
      <c r="L48" s="129"/>
      <c r="M48" s="129"/>
      <c r="N48" s="198"/>
      <c r="O48" s="129"/>
      <c r="P48" s="129"/>
      <c r="Q48" s="129"/>
      <c r="R48" s="129"/>
      <c r="S48" s="198"/>
      <c r="T48" s="129"/>
      <c r="U48" s="129"/>
      <c r="V48" s="129"/>
      <c r="W48" s="129"/>
      <c r="X48" s="198"/>
      <c r="Y48" s="129"/>
      <c r="Z48" s="129"/>
      <c r="AA48" s="129"/>
      <c r="AB48" s="129"/>
      <c r="AC48" s="198"/>
      <c r="AD48" s="129"/>
      <c r="AE48" s="129"/>
      <c r="AF48" s="129"/>
      <c r="AG48" s="129"/>
      <c r="AH48" s="199"/>
      <c r="AI48" s="129"/>
      <c r="AJ48" s="129"/>
      <c r="AK48" s="129"/>
      <c r="AL48" s="129"/>
      <c r="AM48" s="199"/>
      <c r="AN48" s="129"/>
      <c r="AO48" s="129"/>
      <c r="AP48" s="129"/>
      <c r="AQ48" s="200"/>
      <c r="AR48" s="199"/>
    </row>
    <row r="49" spans="1:44" ht="15" customHeight="1">
      <c r="A49" s="107">
        <f>'DATA SISWA'!A45</f>
        <v>41</v>
      </c>
      <c r="B49" s="107">
        <f>'DATA SISWA'!B45</f>
        <v>0</v>
      </c>
      <c r="C49" s="116">
        <f>'DATA SISWA'!C45</f>
        <v>0</v>
      </c>
      <c r="D49" s="116">
        <f>'DATA SISWA'!D45</f>
        <v>0</v>
      </c>
      <c r="E49" s="107" t="str">
        <f>'DATA SISWA'!E45</f>
        <v>VII-J</v>
      </c>
      <c r="F49" s="129"/>
      <c r="G49" s="129"/>
      <c r="H49" s="129"/>
      <c r="I49" s="198"/>
      <c r="J49" s="129"/>
      <c r="K49" s="129"/>
      <c r="L49" s="129"/>
      <c r="M49" s="129"/>
      <c r="N49" s="198"/>
      <c r="O49" s="129"/>
      <c r="P49" s="129"/>
      <c r="Q49" s="129"/>
      <c r="R49" s="129"/>
      <c r="S49" s="198"/>
      <c r="T49" s="129"/>
      <c r="U49" s="129"/>
      <c r="V49" s="129"/>
      <c r="W49" s="129"/>
      <c r="X49" s="198"/>
      <c r="Y49" s="129"/>
      <c r="Z49" s="129"/>
      <c r="AA49" s="129"/>
      <c r="AB49" s="129"/>
      <c r="AC49" s="198"/>
      <c r="AD49" s="129"/>
      <c r="AE49" s="129"/>
      <c r="AF49" s="129"/>
      <c r="AG49" s="129"/>
      <c r="AH49" s="199"/>
      <c r="AI49" s="129"/>
      <c r="AJ49" s="129"/>
      <c r="AK49" s="129"/>
      <c r="AL49" s="129"/>
      <c r="AM49" s="199"/>
      <c r="AN49" s="129"/>
      <c r="AO49" s="129"/>
      <c r="AP49" s="129"/>
      <c r="AQ49" s="200"/>
      <c r="AR49" s="199"/>
    </row>
    <row r="50" spans="1:44" ht="15" customHeight="1">
      <c r="A50" s="107">
        <f>'DATA SISWA'!A46</f>
        <v>42</v>
      </c>
      <c r="B50" s="107">
        <f>'DATA SISWA'!B46</f>
        <v>0</v>
      </c>
      <c r="C50" s="116">
        <f>'DATA SISWA'!C46</f>
        <v>0</v>
      </c>
      <c r="D50" s="116">
        <f>'DATA SISWA'!D46</f>
        <v>0</v>
      </c>
      <c r="E50" s="107" t="str">
        <f>'DATA SISWA'!E46</f>
        <v>VII-J</v>
      </c>
      <c r="F50" s="129"/>
      <c r="G50" s="129"/>
      <c r="H50" s="129"/>
      <c r="I50" s="198"/>
      <c r="J50" s="129"/>
      <c r="K50" s="129"/>
      <c r="L50" s="129"/>
      <c r="M50" s="129"/>
      <c r="N50" s="198"/>
      <c r="O50" s="129"/>
      <c r="P50" s="129"/>
      <c r="Q50" s="129"/>
      <c r="R50" s="129"/>
      <c r="S50" s="198"/>
      <c r="T50" s="129"/>
      <c r="U50" s="129"/>
      <c r="V50" s="129"/>
      <c r="W50" s="129"/>
      <c r="X50" s="198"/>
      <c r="Y50" s="129"/>
      <c r="Z50" s="129"/>
      <c r="AA50" s="129"/>
      <c r="AB50" s="129"/>
      <c r="AC50" s="198"/>
      <c r="AD50" s="129"/>
      <c r="AE50" s="129"/>
      <c r="AF50" s="129"/>
      <c r="AG50" s="129"/>
      <c r="AH50" s="199"/>
      <c r="AI50" s="129"/>
      <c r="AJ50" s="129"/>
      <c r="AK50" s="129"/>
      <c r="AL50" s="129"/>
      <c r="AM50" s="199"/>
      <c r="AN50" s="129"/>
      <c r="AO50" s="129"/>
      <c r="AP50" s="129"/>
      <c r="AQ50" s="200"/>
      <c r="AR50" s="199"/>
    </row>
    <row r="51" spans="1:44" ht="15" customHeight="1">
      <c r="A51" s="107">
        <f>'DATA SISWA'!A47</f>
        <v>43</v>
      </c>
      <c r="B51" s="107">
        <f>'DATA SISWA'!B47</f>
        <v>0</v>
      </c>
      <c r="C51" s="116">
        <f>'DATA SISWA'!C47</f>
        <v>0</v>
      </c>
      <c r="D51" s="116">
        <f>'DATA SISWA'!D47</f>
        <v>0</v>
      </c>
      <c r="E51" s="107" t="str">
        <f>'DATA SISWA'!E47</f>
        <v>VII-J</v>
      </c>
      <c r="F51" s="129"/>
      <c r="G51" s="129"/>
      <c r="H51" s="129"/>
      <c r="I51" s="198"/>
      <c r="J51" s="129"/>
      <c r="K51" s="129"/>
      <c r="L51" s="129"/>
      <c r="M51" s="129"/>
      <c r="N51" s="198"/>
      <c r="O51" s="129"/>
      <c r="P51" s="129"/>
      <c r="Q51" s="129"/>
      <c r="R51" s="129"/>
      <c r="S51" s="198"/>
      <c r="T51" s="129"/>
      <c r="U51" s="129"/>
      <c r="V51" s="129"/>
      <c r="W51" s="129"/>
      <c r="X51" s="198"/>
      <c r="Y51" s="129"/>
      <c r="Z51" s="129"/>
      <c r="AA51" s="129"/>
      <c r="AB51" s="129"/>
      <c r="AC51" s="198"/>
      <c r="AD51" s="129"/>
      <c r="AE51" s="129"/>
      <c r="AF51" s="129"/>
      <c r="AG51" s="129"/>
      <c r="AH51" s="199"/>
      <c r="AI51" s="129"/>
      <c r="AJ51" s="129"/>
      <c r="AK51" s="129"/>
      <c r="AL51" s="129"/>
      <c r="AM51" s="199"/>
      <c r="AN51" s="129"/>
      <c r="AO51" s="129"/>
      <c r="AP51" s="129"/>
      <c r="AQ51" s="200"/>
      <c r="AR51" s="199"/>
    </row>
    <row r="52" spans="1:44" ht="15" customHeight="1">
      <c r="A52" s="107">
        <f>'DATA SISWA'!A48</f>
        <v>44</v>
      </c>
      <c r="B52" s="107">
        <f>'DATA SISWA'!B48</f>
        <v>0</v>
      </c>
      <c r="C52" s="116">
        <f>'DATA SISWA'!C48</f>
        <v>0</v>
      </c>
      <c r="D52" s="116">
        <f>'DATA SISWA'!D48</f>
        <v>0</v>
      </c>
      <c r="E52" s="107" t="str">
        <f>'DATA SISWA'!E48</f>
        <v>VII-J</v>
      </c>
      <c r="F52" s="129"/>
      <c r="G52" s="129"/>
      <c r="H52" s="129"/>
      <c r="I52" s="198"/>
      <c r="J52" s="129"/>
      <c r="K52" s="129"/>
      <c r="L52" s="129"/>
      <c r="M52" s="129"/>
      <c r="N52" s="198"/>
      <c r="O52" s="129"/>
      <c r="P52" s="129"/>
      <c r="Q52" s="129"/>
      <c r="R52" s="129"/>
      <c r="S52" s="198"/>
      <c r="T52" s="129"/>
      <c r="U52" s="129"/>
      <c r="V52" s="129"/>
      <c r="W52" s="129"/>
      <c r="X52" s="198"/>
      <c r="Y52" s="129"/>
      <c r="Z52" s="129"/>
      <c r="AA52" s="129"/>
      <c r="AB52" s="129"/>
      <c r="AC52" s="198"/>
      <c r="AD52" s="129"/>
      <c r="AE52" s="129"/>
      <c r="AF52" s="129"/>
      <c r="AG52" s="129"/>
      <c r="AH52" s="199"/>
      <c r="AI52" s="129"/>
      <c r="AJ52" s="129"/>
      <c r="AK52" s="129"/>
      <c r="AL52" s="129"/>
      <c r="AM52" s="199"/>
      <c r="AN52" s="129"/>
      <c r="AO52" s="129"/>
      <c r="AP52" s="129"/>
      <c r="AQ52" s="200"/>
      <c r="AR52" s="199"/>
    </row>
    <row r="53" spans="1:44" ht="15" customHeight="1">
      <c r="A53" s="107">
        <f>'DATA SISWA'!A49</f>
        <v>45</v>
      </c>
      <c r="B53" s="107">
        <f>'DATA SISWA'!B49</f>
        <v>0</v>
      </c>
      <c r="C53" s="116">
        <f>'DATA SISWA'!C49</f>
        <v>0</v>
      </c>
      <c r="D53" s="116">
        <f>'DATA SISWA'!D49</f>
        <v>0</v>
      </c>
      <c r="E53" s="107" t="str">
        <f>'DATA SISWA'!E49</f>
        <v>VII-J</v>
      </c>
      <c r="F53" s="129"/>
      <c r="G53" s="129"/>
      <c r="H53" s="129"/>
      <c r="I53" s="198"/>
      <c r="J53" s="129"/>
      <c r="K53" s="129"/>
      <c r="L53" s="129"/>
      <c r="M53" s="129"/>
      <c r="N53" s="198"/>
      <c r="O53" s="129"/>
      <c r="P53" s="129"/>
      <c r="Q53" s="129"/>
      <c r="R53" s="129"/>
      <c r="S53" s="198"/>
      <c r="T53" s="129"/>
      <c r="U53" s="129"/>
      <c r="V53" s="129"/>
      <c r="W53" s="129"/>
      <c r="X53" s="198"/>
      <c r="Y53" s="129"/>
      <c r="Z53" s="129"/>
      <c r="AA53" s="129"/>
      <c r="AB53" s="129"/>
      <c r="AC53" s="198"/>
      <c r="AD53" s="129"/>
      <c r="AE53" s="129"/>
      <c r="AF53" s="129"/>
      <c r="AG53" s="129"/>
      <c r="AH53" s="199"/>
      <c r="AI53" s="129"/>
      <c r="AJ53" s="129"/>
      <c r="AK53" s="129"/>
      <c r="AL53" s="129"/>
      <c r="AM53" s="199"/>
      <c r="AN53" s="129"/>
      <c r="AO53" s="129"/>
      <c r="AP53" s="129"/>
      <c r="AQ53" s="200"/>
      <c r="AR53" s="199"/>
    </row>
    <row r="54" spans="1:44" ht="15" customHeight="1">
      <c r="A54" s="107">
        <f>'DATA SISWA'!A50</f>
        <v>46</v>
      </c>
      <c r="B54" s="107">
        <f>'DATA SISWA'!B50</f>
        <v>0</v>
      </c>
      <c r="C54" s="116">
        <f>'DATA SISWA'!C50</f>
        <v>0</v>
      </c>
      <c r="D54" s="116">
        <f>'DATA SISWA'!D50</f>
        <v>0</v>
      </c>
      <c r="E54" s="107" t="str">
        <f>'DATA SISWA'!E50</f>
        <v>VII-J</v>
      </c>
      <c r="F54" s="129"/>
      <c r="G54" s="129"/>
      <c r="H54" s="129"/>
      <c r="I54" s="198"/>
      <c r="J54" s="129"/>
      <c r="K54" s="129"/>
      <c r="L54" s="129"/>
      <c r="M54" s="129"/>
      <c r="N54" s="198"/>
      <c r="O54" s="129"/>
      <c r="P54" s="129"/>
      <c r="Q54" s="129"/>
      <c r="R54" s="129"/>
      <c r="S54" s="198"/>
      <c r="T54" s="129"/>
      <c r="U54" s="129"/>
      <c r="V54" s="129"/>
      <c r="W54" s="129"/>
      <c r="X54" s="198"/>
      <c r="Y54" s="129"/>
      <c r="Z54" s="129"/>
      <c r="AA54" s="129"/>
      <c r="AB54" s="129"/>
      <c r="AC54" s="198"/>
      <c r="AD54" s="129"/>
      <c r="AE54" s="129"/>
      <c r="AF54" s="129"/>
      <c r="AG54" s="129"/>
      <c r="AH54" s="199"/>
      <c r="AI54" s="129"/>
      <c r="AJ54" s="129"/>
      <c r="AK54" s="129"/>
      <c r="AL54" s="129"/>
      <c r="AM54" s="199"/>
      <c r="AN54" s="129"/>
      <c r="AO54" s="129"/>
      <c r="AP54" s="129"/>
      <c r="AQ54" s="200"/>
      <c r="AR54" s="199"/>
    </row>
    <row r="55" spans="1:44" ht="15" customHeight="1">
      <c r="A55" s="107">
        <f>'DATA SISWA'!A51</f>
        <v>47</v>
      </c>
      <c r="B55" s="107">
        <f>'DATA SISWA'!B51</f>
        <v>0</v>
      </c>
      <c r="C55" s="116">
        <f>'DATA SISWA'!C51</f>
        <v>0</v>
      </c>
      <c r="D55" s="116">
        <f>'DATA SISWA'!D51</f>
        <v>0</v>
      </c>
      <c r="E55" s="107" t="str">
        <f>'DATA SISWA'!E51</f>
        <v>VII-J</v>
      </c>
      <c r="F55" s="129"/>
      <c r="G55" s="129"/>
      <c r="H55" s="129"/>
      <c r="I55" s="198"/>
      <c r="J55" s="129"/>
      <c r="K55" s="129"/>
      <c r="L55" s="129"/>
      <c r="M55" s="129"/>
      <c r="N55" s="198"/>
      <c r="O55" s="129"/>
      <c r="P55" s="129"/>
      <c r="Q55" s="129"/>
      <c r="R55" s="129"/>
      <c r="S55" s="198"/>
      <c r="T55" s="129"/>
      <c r="U55" s="129"/>
      <c r="V55" s="129"/>
      <c r="W55" s="129"/>
      <c r="X55" s="198"/>
      <c r="Y55" s="129"/>
      <c r="Z55" s="129"/>
      <c r="AA55" s="129"/>
      <c r="AB55" s="129"/>
      <c r="AC55" s="198"/>
      <c r="AD55" s="129"/>
      <c r="AE55" s="129"/>
      <c r="AF55" s="129"/>
      <c r="AG55" s="129"/>
      <c r="AH55" s="199"/>
      <c r="AI55" s="129"/>
      <c r="AJ55" s="129"/>
      <c r="AK55" s="129"/>
      <c r="AL55" s="129"/>
      <c r="AM55" s="199"/>
      <c r="AN55" s="129"/>
      <c r="AO55" s="129"/>
      <c r="AP55" s="129"/>
      <c r="AQ55" s="200"/>
      <c r="AR55" s="199"/>
    </row>
    <row r="56" spans="1:44" ht="15" customHeight="1">
      <c r="A56" s="107">
        <f>'DATA SISWA'!A52</f>
        <v>48</v>
      </c>
      <c r="B56" s="107">
        <f>'DATA SISWA'!B52</f>
        <v>0</v>
      </c>
      <c r="C56" s="116">
        <f>'DATA SISWA'!C52</f>
        <v>0</v>
      </c>
      <c r="D56" s="116">
        <f>'DATA SISWA'!D52</f>
        <v>0</v>
      </c>
      <c r="E56" s="107" t="str">
        <f>'DATA SISWA'!E52</f>
        <v>VII-J</v>
      </c>
      <c r="F56" s="129"/>
      <c r="G56" s="129"/>
      <c r="H56" s="129"/>
      <c r="I56" s="198"/>
      <c r="J56" s="129"/>
      <c r="K56" s="129"/>
      <c r="L56" s="129"/>
      <c r="M56" s="129"/>
      <c r="N56" s="198"/>
      <c r="O56" s="129"/>
      <c r="P56" s="129"/>
      <c r="Q56" s="129"/>
      <c r="R56" s="129"/>
      <c r="S56" s="198"/>
      <c r="T56" s="129"/>
      <c r="U56" s="129"/>
      <c r="V56" s="129"/>
      <c r="W56" s="129"/>
      <c r="X56" s="198"/>
      <c r="Y56" s="129"/>
      <c r="Z56" s="129"/>
      <c r="AA56" s="129"/>
      <c r="AB56" s="129"/>
      <c r="AC56" s="198"/>
      <c r="AD56" s="129"/>
      <c r="AE56" s="129"/>
      <c r="AF56" s="129"/>
      <c r="AG56" s="129"/>
      <c r="AH56" s="199"/>
      <c r="AI56" s="129"/>
      <c r="AJ56" s="129"/>
      <c r="AK56" s="129"/>
      <c r="AL56" s="129"/>
      <c r="AM56" s="199"/>
      <c r="AN56" s="129"/>
      <c r="AO56" s="129"/>
      <c r="AP56" s="129"/>
      <c r="AQ56" s="200"/>
      <c r="AR56" s="199"/>
    </row>
  </sheetData>
  <sheetProtection password="C522" sheet="1" objects="1" scenarios="1" formatCells="0" formatColumns="0" formatRows="0" insertColumns="0" insertRows="0" insertHyperlinks="0" deleteColumns="0" deleteRows="0" sort="0" autoFilter="0"/>
  <mergeCells count="22">
    <mergeCell ref="AM5:AM7"/>
    <mergeCell ref="AN5:AQ6"/>
    <mergeCell ref="AR5:AR7"/>
    <mergeCell ref="AC5:AC7"/>
    <mergeCell ref="AD5:AG6"/>
    <mergeCell ref="AH5:AH7"/>
    <mergeCell ref="AI5:AL6"/>
    <mergeCell ref="S5:S7"/>
    <mergeCell ref="T5:W6"/>
    <mergeCell ref="X5:X7"/>
    <mergeCell ref="Y5:AB6"/>
    <mergeCell ref="I5:I7"/>
    <mergeCell ref="J5:M6"/>
    <mergeCell ref="N5:N7"/>
    <mergeCell ref="O5:R6"/>
    <mergeCell ref="F5:H6"/>
    <mergeCell ref="F1:M1"/>
    <mergeCell ref="A5:A7"/>
    <mergeCell ref="B5:B7"/>
    <mergeCell ref="C5:C7"/>
    <mergeCell ref="D5:D7"/>
    <mergeCell ref="E5:E7"/>
  </mergeCells>
  <pageMargins left="0.70866141732283472" right="0.70866141732283472" top="0.74803149606299213" bottom="0.74803149606299213" header="0.31496062992125984" footer="0.31496062992125984"/>
  <pageSetup paperSize="768" orientation="portrait" horizontalDpi="300" verticalDpi="300" r:id="rId1"/>
  <drawing r:id="rId2"/>
</worksheet>
</file>

<file path=xl/worksheets/sheet21.xml><?xml version="1.0" encoding="utf-8"?>
<worksheet xmlns="http://schemas.openxmlformats.org/spreadsheetml/2006/main" xmlns:r="http://schemas.openxmlformats.org/officeDocument/2006/relationships">
  <sheetPr codeName="Sheet8"/>
  <dimension ref="A1:AL54"/>
  <sheetViews>
    <sheetView view="pageBreakPreview" zoomScale="55" zoomScaleSheetLayoutView="55" workbookViewId="0">
      <pane xSplit="5" ySplit="6" topLeftCell="F33" activePane="bottomRight" state="frozen"/>
      <selection pane="topRight" activeCell="F1" sqref="F1"/>
      <selection pane="bottomLeft" activeCell="A5" sqref="A5"/>
      <selection pane="bottomRight"/>
    </sheetView>
  </sheetViews>
  <sheetFormatPr defaultRowHeight="15" customHeight="1"/>
  <cols>
    <col min="1" max="1" width="4.85546875" style="95" customWidth="1"/>
    <col min="2" max="2" width="7.140625" style="95" customWidth="1"/>
    <col min="3" max="3" width="32.5703125" style="95" customWidth="1"/>
    <col min="4" max="4" width="10.140625" style="95" customWidth="1"/>
    <col min="5" max="8" width="5.28515625" style="95" customWidth="1"/>
    <col min="9" max="9" width="4.85546875" style="95" customWidth="1"/>
    <col min="10" max="21" width="5.28515625" style="95" customWidth="1"/>
    <col min="22" max="38" width="5.7109375" style="95" customWidth="1"/>
    <col min="39" max="16384" width="9.140625" style="95"/>
  </cols>
  <sheetData>
    <row r="1" spans="1:38" ht="33" customHeight="1">
      <c r="F1" s="630" t="str">
        <f>IF(KDOKE!B3="","",KDOKE!B3)</f>
        <v>Melaksanakan sholat dhuhur berjemaah dan sholatt dhuha, berdo'a di awal di akhir kegiatan pembelajaran , serta melaksanakan kegiatan amaliyah siswa</v>
      </c>
      <c r="G1" s="630"/>
      <c r="H1" s="630"/>
      <c r="I1" s="631"/>
      <c r="J1" s="632" t="str">
        <f>IF(KDOKE!B7="","",KDOKE!B7)</f>
        <v>Santun dalam bersikap, disiplin dalam mentaati tata tertib madrasah, peduli pada lingkungan, orang tua, bertanggung jawab dalam melaksanakan tugas, baik sebagai individu maupun makhluk sosial</v>
      </c>
      <c r="K1" s="633"/>
      <c r="L1" s="633"/>
      <c r="M1" s="633"/>
      <c r="N1" s="633"/>
      <c r="O1" s="633"/>
      <c r="P1" s="633"/>
      <c r="Q1" s="633"/>
      <c r="R1" s="633"/>
      <c r="S1" s="633"/>
      <c r="T1" s="633"/>
      <c r="U1" s="633"/>
      <c r="V1" s="633"/>
      <c r="W1" s="633"/>
      <c r="X1" s="633"/>
      <c r="Y1" s="633"/>
      <c r="Z1" s="633"/>
      <c r="AA1" s="633"/>
      <c r="AB1" s="633"/>
      <c r="AC1" s="633"/>
      <c r="AD1" s="633"/>
      <c r="AE1" s="633"/>
      <c r="AF1" s="633"/>
      <c r="AG1" s="633"/>
      <c r="AH1" s="633"/>
      <c r="AI1" s="633"/>
      <c r="AJ1" s="634"/>
    </row>
    <row r="2" spans="1:38" ht="13.5" customHeight="1">
      <c r="F2" s="630"/>
      <c r="G2" s="630"/>
      <c r="H2" s="630"/>
      <c r="I2" s="631"/>
      <c r="J2" s="635"/>
      <c r="K2" s="636"/>
      <c r="L2" s="636"/>
      <c r="M2" s="636"/>
      <c r="N2" s="636"/>
      <c r="O2" s="636"/>
      <c r="P2" s="636"/>
      <c r="Q2" s="636"/>
      <c r="R2" s="636"/>
      <c r="S2" s="636"/>
      <c r="T2" s="636"/>
      <c r="U2" s="636"/>
      <c r="V2" s="636"/>
      <c r="W2" s="636"/>
      <c r="X2" s="636"/>
      <c r="Y2" s="636"/>
      <c r="Z2" s="636"/>
      <c r="AA2" s="636"/>
      <c r="AB2" s="636"/>
      <c r="AC2" s="636"/>
      <c r="AD2" s="636"/>
      <c r="AE2" s="636"/>
      <c r="AF2" s="636"/>
      <c r="AG2" s="636"/>
      <c r="AH2" s="636"/>
      <c r="AI2" s="636"/>
      <c r="AJ2" s="637"/>
    </row>
    <row r="3" spans="1:38" ht="15" customHeight="1">
      <c r="A3" s="494" t="s">
        <v>15</v>
      </c>
      <c r="B3" s="494" t="s">
        <v>16</v>
      </c>
      <c r="C3" s="497" t="s">
        <v>0</v>
      </c>
      <c r="D3" s="498" t="s">
        <v>1</v>
      </c>
      <c r="E3" s="499" t="s">
        <v>17</v>
      </c>
      <c r="F3" s="629" t="s">
        <v>207</v>
      </c>
      <c r="G3" s="629"/>
      <c r="H3" s="594" t="s">
        <v>7</v>
      </c>
      <c r="I3" s="638" t="s">
        <v>221</v>
      </c>
      <c r="J3" s="629" t="s">
        <v>8</v>
      </c>
      <c r="K3" s="629"/>
      <c r="L3" s="629"/>
      <c r="M3" s="600" t="s">
        <v>7</v>
      </c>
      <c r="N3" s="629" t="s">
        <v>9</v>
      </c>
      <c r="O3" s="629"/>
      <c r="P3" s="629"/>
      <c r="Q3" s="600" t="s">
        <v>7</v>
      </c>
      <c r="R3" s="629" t="s">
        <v>6</v>
      </c>
      <c r="S3" s="629"/>
      <c r="T3" s="629"/>
      <c r="U3" s="600" t="s">
        <v>7</v>
      </c>
      <c r="V3" s="626" t="s">
        <v>10</v>
      </c>
      <c r="W3" s="627"/>
      <c r="X3" s="627"/>
      <c r="Y3" s="600" t="s">
        <v>7</v>
      </c>
      <c r="Z3" s="629" t="s">
        <v>11</v>
      </c>
      <c r="AA3" s="629"/>
      <c r="AB3" s="629"/>
      <c r="AC3" s="600" t="s">
        <v>7</v>
      </c>
      <c r="AD3" s="629" t="s">
        <v>12</v>
      </c>
      <c r="AE3" s="629"/>
      <c r="AF3" s="629"/>
      <c r="AG3" s="600" t="s">
        <v>7</v>
      </c>
      <c r="AH3" s="629" t="s">
        <v>236</v>
      </c>
      <c r="AI3" s="629"/>
      <c r="AJ3" s="629"/>
      <c r="AK3" s="594" t="s">
        <v>7</v>
      </c>
      <c r="AL3" s="638" t="s">
        <v>221</v>
      </c>
    </row>
    <row r="4" spans="1:38" ht="15" customHeight="1">
      <c r="A4" s="495"/>
      <c r="B4" s="495"/>
      <c r="C4" s="497"/>
      <c r="D4" s="498"/>
      <c r="E4" s="500"/>
      <c r="F4" s="620"/>
      <c r="G4" s="620"/>
      <c r="H4" s="594"/>
      <c r="I4" s="638"/>
      <c r="J4" s="620"/>
      <c r="K4" s="620"/>
      <c r="L4" s="620"/>
      <c r="M4" s="594"/>
      <c r="N4" s="620"/>
      <c r="O4" s="620"/>
      <c r="P4" s="620"/>
      <c r="Q4" s="594"/>
      <c r="R4" s="620"/>
      <c r="S4" s="620"/>
      <c r="T4" s="620"/>
      <c r="U4" s="594"/>
      <c r="V4" s="626"/>
      <c r="W4" s="627"/>
      <c r="X4" s="627"/>
      <c r="Y4" s="594"/>
      <c r="Z4" s="620"/>
      <c r="AA4" s="620"/>
      <c r="AB4" s="620"/>
      <c r="AC4" s="594"/>
      <c r="AD4" s="620"/>
      <c r="AE4" s="620"/>
      <c r="AF4" s="620"/>
      <c r="AG4" s="594"/>
      <c r="AH4" s="620"/>
      <c r="AI4" s="620"/>
      <c r="AJ4" s="620"/>
      <c r="AK4" s="594"/>
      <c r="AL4" s="638"/>
    </row>
    <row r="5" spans="1:38" s="98" customFormat="1" ht="102.75" customHeight="1">
      <c r="A5" s="496"/>
      <c r="B5" s="496"/>
      <c r="C5" s="497"/>
      <c r="D5" s="498"/>
      <c r="E5" s="501"/>
      <c r="F5" s="306" t="s">
        <v>219</v>
      </c>
      <c r="G5" s="306" t="s">
        <v>238</v>
      </c>
      <c r="H5" s="594"/>
      <c r="I5" s="639"/>
      <c r="J5" s="306" t="s">
        <v>219</v>
      </c>
      <c r="K5" s="306" t="s">
        <v>220</v>
      </c>
      <c r="L5" s="306" t="s">
        <v>238</v>
      </c>
      <c r="M5" s="594"/>
      <c r="N5" s="306" t="s">
        <v>219</v>
      </c>
      <c r="O5" s="306" t="s">
        <v>220</v>
      </c>
      <c r="P5" s="306" t="s">
        <v>238</v>
      </c>
      <c r="Q5" s="594"/>
      <c r="R5" s="306" t="s">
        <v>219</v>
      </c>
      <c r="S5" s="306" t="s">
        <v>220</v>
      </c>
      <c r="T5" s="306" t="s">
        <v>238</v>
      </c>
      <c r="U5" s="594"/>
      <c r="V5" s="306" t="s">
        <v>219</v>
      </c>
      <c r="W5" s="306" t="s">
        <v>220</v>
      </c>
      <c r="X5" s="306" t="s">
        <v>238</v>
      </c>
      <c r="Y5" s="594"/>
      <c r="Z5" s="306" t="s">
        <v>219</v>
      </c>
      <c r="AA5" s="306" t="s">
        <v>220</v>
      </c>
      <c r="AB5" s="306" t="s">
        <v>238</v>
      </c>
      <c r="AC5" s="594"/>
      <c r="AD5" s="306" t="s">
        <v>219</v>
      </c>
      <c r="AE5" s="306" t="s">
        <v>220</v>
      </c>
      <c r="AF5" s="306" t="s">
        <v>238</v>
      </c>
      <c r="AG5" s="594"/>
      <c r="AH5" s="306" t="s">
        <v>219</v>
      </c>
      <c r="AI5" s="306" t="s">
        <v>220</v>
      </c>
      <c r="AJ5" s="117" t="s">
        <v>218</v>
      </c>
      <c r="AK5" s="594"/>
      <c r="AL5" s="639"/>
    </row>
    <row r="6" spans="1:38" ht="15" customHeight="1">
      <c r="A6" s="99">
        <v>1</v>
      </c>
      <c r="B6" s="99">
        <v>2</v>
      </c>
      <c r="C6" s="99">
        <v>3</v>
      </c>
      <c r="D6" s="99">
        <v>4</v>
      </c>
      <c r="E6" s="99">
        <v>5</v>
      </c>
      <c r="F6" s="99">
        <v>6</v>
      </c>
      <c r="G6" s="99">
        <v>7</v>
      </c>
      <c r="H6" s="99">
        <v>8</v>
      </c>
      <c r="I6" s="99">
        <v>9</v>
      </c>
      <c r="J6" s="99">
        <v>10</v>
      </c>
      <c r="K6" s="99">
        <v>11</v>
      </c>
      <c r="L6" s="99">
        <v>12</v>
      </c>
      <c r="M6" s="99">
        <v>13</v>
      </c>
      <c r="N6" s="99">
        <v>14</v>
      </c>
      <c r="O6" s="99">
        <v>15</v>
      </c>
      <c r="P6" s="99">
        <v>16</v>
      </c>
      <c r="Q6" s="99">
        <v>17</v>
      </c>
      <c r="R6" s="99">
        <v>18</v>
      </c>
      <c r="S6" s="99">
        <v>19</v>
      </c>
      <c r="T6" s="99">
        <v>20</v>
      </c>
      <c r="U6" s="99">
        <v>21</v>
      </c>
      <c r="V6" s="99">
        <v>22</v>
      </c>
      <c r="W6" s="99">
        <v>23</v>
      </c>
      <c r="X6" s="99">
        <v>24</v>
      </c>
      <c r="Y6" s="99">
        <v>25</v>
      </c>
      <c r="Z6" s="99">
        <v>26</v>
      </c>
      <c r="AA6" s="99">
        <v>27</v>
      </c>
      <c r="AB6" s="99">
        <v>28</v>
      </c>
      <c r="AC6" s="99">
        <v>29</v>
      </c>
      <c r="AD6" s="99">
        <v>30</v>
      </c>
      <c r="AE6" s="99">
        <v>31</v>
      </c>
      <c r="AF6" s="99">
        <v>32</v>
      </c>
      <c r="AG6" s="99">
        <v>33</v>
      </c>
      <c r="AH6" s="99">
        <v>34</v>
      </c>
      <c r="AI6" s="99">
        <v>35</v>
      </c>
      <c r="AJ6" s="99">
        <v>36</v>
      </c>
      <c r="AK6" s="99">
        <v>37</v>
      </c>
      <c r="AL6" s="99">
        <v>38</v>
      </c>
    </row>
    <row r="7" spans="1:38" ht="15" customHeight="1">
      <c r="A7" s="107">
        <f>'DATA SISWA'!A5</f>
        <v>1</v>
      </c>
      <c r="B7" s="107" t="str">
        <f>'DATA SISWA'!B5</f>
        <v>7643</v>
      </c>
      <c r="C7" s="116" t="str">
        <f>'DATA SISWA'!C5</f>
        <v>ABD MANNAN</v>
      </c>
      <c r="D7" s="116" t="str">
        <f>'DATA SISWA'!D5</f>
        <v>L</v>
      </c>
      <c r="E7" s="107" t="str">
        <f>'DATA SISWA'!E5</f>
        <v>VII-J</v>
      </c>
      <c r="F7" s="129">
        <v>3</v>
      </c>
      <c r="G7" s="129">
        <v>3</v>
      </c>
      <c r="H7" s="118">
        <f>IF(AND(F7="",G7=""),"",MAX(F7:G7))</f>
        <v>3</v>
      </c>
      <c r="I7" s="131" t="str">
        <f>IF(OR($F$1="",H7=""),"",$F$1)</f>
        <v>Melaksanakan sholat dhuhur berjemaah dan sholatt dhuha, berdo'a di awal di akhir kegiatan pembelajaran , serta melaksanakan kegiatan amaliyah siswa</v>
      </c>
      <c r="J7" s="129">
        <v>3</v>
      </c>
      <c r="K7" s="129">
        <v>3</v>
      </c>
      <c r="L7" s="129">
        <v>3</v>
      </c>
      <c r="M7" s="118">
        <f>IF(AND(J7="",K7="",L7=""),"",ROUNDUP(AVERAGE(J7:L7),0))</f>
        <v>3</v>
      </c>
      <c r="N7" s="129">
        <v>3</v>
      </c>
      <c r="O7" s="129">
        <v>3</v>
      </c>
      <c r="P7" s="129">
        <v>3</v>
      </c>
      <c r="Q7" s="118">
        <f>IF(AND(N7="",O7="",P7=""),"",ROUNDUP(AVERAGE(N7:P7),0))</f>
        <v>3</v>
      </c>
      <c r="R7" s="129">
        <v>3</v>
      </c>
      <c r="S7" s="129">
        <v>3</v>
      </c>
      <c r="T7" s="129">
        <v>3</v>
      </c>
      <c r="U7" s="118">
        <f>IF(AND(R7="",S7="",T7=""),"",ROUNDUP(AVERAGE(R7:T7),0))</f>
        <v>3</v>
      </c>
      <c r="V7" s="129">
        <v>3</v>
      </c>
      <c r="W7" s="129">
        <v>3</v>
      </c>
      <c r="X7" s="129">
        <v>3</v>
      </c>
      <c r="Y7" s="118">
        <f>IF(AND(V7="",W7="",X7=""),"",ROUNDUP(AVERAGE(V7:X7),0))</f>
        <v>3</v>
      </c>
      <c r="Z7" s="129">
        <v>3</v>
      </c>
      <c r="AA7" s="129">
        <v>3</v>
      </c>
      <c r="AB7" s="129">
        <v>3</v>
      </c>
      <c r="AC7" s="118">
        <f>IF(AND(Z7="",AA7="",AB7=""),"",ROUNDUP(AVERAGE(Z7:AB7),0))</f>
        <v>3</v>
      </c>
      <c r="AD7" s="129">
        <v>3</v>
      </c>
      <c r="AE7" s="129">
        <v>3</v>
      </c>
      <c r="AF7" s="129">
        <v>3</v>
      </c>
      <c r="AG7" s="118">
        <f>IF(AND(AD7="",AE7="",AF7=""),"",ROUNDUP(AVERAGE(AD7:AF7),0))</f>
        <v>3</v>
      </c>
      <c r="AH7" s="129">
        <v>3</v>
      </c>
      <c r="AI7" s="129">
        <v>3</v>
      </c>
      <c r="AJ7" s="129">
        <v>3</v>
      </c>
      <c r="AK7" s="118">
        <f>IF(AND(AH7="",AI7="",AJ7=""),"",ROUNDUP(AVERAGE(AH7:AJ7),0))</f>
        <v>3</v>
      </c>
      <c r="AL7" s="131" t="str">
        <f>IF(OR(AK7="",$J$1=""),"",$J$1)</f>
        <v>Santun dalam bersikap, disiplin dalam mentaati tata tertib madrasah, peduli pada lingkungan, orang tua, bertanggung jawab dalam melaksanakan tugas, baik sebagai individu maupun makhluk sosial</v>
      </c>
    </row>
    <row r="8" spans="1:38" ht="15" customHeight="1">
      <c r="A8" s="107">
        <f>'DATA SISWA'!A6</f>
        <v>2</v>
      </c>
      <c r="B8" s="107">
        <f>'DATA SISWA'!B6</f>
        <v>0</v>
      </c>
      <c r="C8" s="116">
        <f>'DATA SISWA'!C6</f>
        <v>0</v>
      </c>
      <c r="D8" s="116">
        <f>'DATA SISWA'!D6</f>
        <v>0</v>
      </c>
      <c r="E8" s="107" t="str">
        <f>'DATA SISWA'!E6</f>
        <v>VII-J</v>
      </c>
      <c r="F8" s="129">
        <v>3</v>
      </c>
      <c r="G8" s="129">
        <v>3</v>
      </c>
      <c r="H8" s="118">
        <f t="shared" ref="H8:H54" si="0">IF(AND(F8="",G8=""),"",MAX(F8:G8))</f>
        <v>3</v>
      </c>
      <c r="I8" s="131" t="str">
        <f t="shared" ref="I8:I54" si="1">IF(OR($F$1="",H8=""),"",$F$1)</f>
        <v>Melaksanakan sholat dhuhur berjemaah dan sholatt dhuha, berdo'a di awal di akhir kegiatan pembelajaran , serta melaksanakan kegiatan amaliyah siswa</v>
      </c>
      <c r="J8" s="129">
        <v>3</v>
      </c>
      <c r="K8" s="129">
        <v>3</v>
      </c>
      <c r="L8" s="129">
        <v>3</v>
      </c>
      <c r="M8" s="118">
        <f t="shared" ref="M8:M54" si="2">IF(AND(J8="",K8="",L8=""),"",ROUNDUP(AVERAGE(J8:L8),0))</f>
        <v>3</v>
      </c>
      <c r="N8" s="129">
        <v>3</v>
      </c>
      <c r="O8" s="129">
        <v>3</v>
      </c>
      <c r="P8" s="129">
        <v>3</v>
      </c>
      <c r="Q8" s="118">
        <f t="shared" ref="Q8:Q54" si="3">IF(AND(N8="",O8="",P8=""),"",ROUNDUP(AVERAGE(N8:P8),0))</f>
        <v>3</v>
      </c>
      <c r="R8" s="129">
        <v>3</v>
      </c>
      <c r="S8" s="129">
        <v>3</v>
      </c>
      <c r="T8" s="129">
        <v>3</v>
      </c>
      <c r="U8" s="118">
        <f t="shared" ref="U8:U54" si="4">IF(AND(R8="",S8="",T8=""),"",ROUNDUP(AVERAGE(R8:T8),0))</f>
        <v>3</v>
      </c>
      <c r="V8" s="129">
        <v>3</v>
      </c>
      <c r="W8" s="129">
        <v>3</v>
      </c>
      <c r="X8" s="129">
        <v>3</v>
      </c>
      <c r="Y8" s="118">
        <f t="shared" ref="Y8:Y54" si="5">IF(AND(V8="",W8="",X8=""),"",ROUNDUP(AVERAGE(V8:X8),0))</f>
        <v>3</v>
      </c>
      <c r="Z8" s="129">
        <v>3</v>
      </c>
      <c r="AA8" s="129">
        <v>3</v>
      </c>
      <c r="AB8" s="129">
        <v>3</v>
      </c>
      <c r="AC8" s="118">
        <f t="shared" ref="AC8:AC54" si="6">IF(AND(Z8="",AA8="",AB8=""),"",ROUNDUP(AVERAGE(Z8:AB8),0))</f>
        <v>3</v>
      </c>
      <c r="AD8" s="129">
        <v>3</v>
      </c>
      <c r="AE8" s="129">
        <v>3</v>
      </c>
      <c r="AF8" s="129">
        <v>3</v>
      </c>
      <c r="AG8" s="118">
        <f t="shared" ref="AG8:AG54" si="7">IF(AND(AD8="",AE8="",AF8=""),"",ROUNDUP(AVERAGE(AD8:AF8),0))</f>
        <v>3</v>
      </c>
      <c r="AH8" s="129">
        <v>3</v>
      </c>
      <c r="AI8" s="129">
        <v>3</v>
      </c>
      <c r="AJ8" s="129">
        <v>3</v>
      </c>
      <c r="AK8" s="118">
        <f t="shared" ref="AK8:AK54" si="8">IF(AND(AH8="",AI8="",AJ8=""),"",ROUNDUP(AVERAGE(AH8:AJ8),0))</f>
        <v>3</v>
      </c>
      <c r="AL8" s="131" t="str">
        <f t="shared" ref="AL8:AL54" si="9">IF(OR(AK8="",$J$1=""),"",$J$1)</f>
        <v>Santun dalam bersikap, disiplin dalam mentaati tata tertib madrasah, peduli pada lingkungan, orang tua, bertanggung jawab dalam melaksanakan tugas, baik sebagai individu maupun makhluk sosial</v>
      </c>
    </row>
    <row r="9" spans="1:38" ht="15" customHeight="1">
      <c r="A9" s="107">
        <f>'DATA SISWA'!A7</f>
        <v>3</v>
      </c>
      <c r="B9" s="107" t="str">
        <f>'DATA SISWA'!B7</f>
        <v>7645</v>
      </c>
      <c r="C9" s="116" t="str">
        <f>'DATA SISWA'!C7</f>
        <v>ACHMAD ALFARESI</v>
      </c>
      <c r="D9" s="116" t="str">
        <f>'DATA SISWA'!D7</f>
        <v>L</v>
      </c>
      <c r="E9" s="107" t="str">
        <f>'DATA SISWA'!E7</f>
        <v>VII-J</v>
      </c>
      <c r="F9" s="129">
        <v>3</v>
      </c>
      <c r="G9" s="129">
        <v>3</v>
      </c>
      <c r="H9" s="118">
        <f t="shared" si="0"/>
        <v>3</v>
      </c>
      <c r="I9" s="131" t="str">
        <f t="shared" si="1"/>
        <v>Melaksanakan sholat dhuhur berjemaah dan sholatt dhuha, berdo'a di awal di akhir kegiatan pembelajaran , serta melaksanakan kegiatan amaliyah siswa</v>
      </c>
      <c r="J9" s="129">
        <v>3</v>
      </c>
      <c r="K9" s="129">
        <v>3</v>
      </c>
      <c r="L9" s="129">
        <v>3</v>
      </c>
      <c r="M9" s="118">
        <f t="shared" si="2"/>
        <v>3</v>
      </c>
      <c r="N9" s="129">
        <v>3</v>
      </c>
      <c r="O9" s="129">
        <v>3</v>
      </c>
      <c r="P9" s="129">
        <v>3</v>
      </c>
      <c r="Q9" s="118">
        <f t="shared" si="3"/>
        <v>3</v>
      </c>
      <c r="R9" s="129">
        <v>3</v>
      </c>
      <c r="S9" s="129">
        <v>3</v>
      </c>
      <c r="T9" s="129">
        <v>3</v>
      </c>
      <c r="U9" s="118">
        <f t="shared" si="4"/>
        <v>3</v>
      </c>
      <c r="V9" s="129">
        <v>3</v>
      </c>
      <c r="W9" s="129">
        <v>3</v>
      </c>
      <c r="X9" s="129">
        <v>3</v>
      </c>
      <c r="Y9" s="118">
        <f t="shared" si="5"/>
        <v>3</v>
      </c>
      <c r="Z9" s="129">
        <v>3</v>
      </c>
      <c r="AA9" s="129">
        <v>3</v>
      </c>
      <c r="AB9" s="129">
        <v>3</v>
      </c>
      <c r="AC9" s="118">
        <f t="shared" si="6"/>
        <v>3</v>
      </c>
      <c r="AD9" s="129">
        <v>3</v>
      </c>
      <c r="AE9" s="129">
        <v>3</v>
      </c>
      <c r="AF9" s="129">
        <v>3</v>
      </c>
      <c r="AG9" s="118">
        <f t="shared" si="7"/>
        <v>3</v>
      </c>
      <c r="AH9" s="129">
        <v>3</v>
      </c>
      <c r="AI9" s="129">
        <v>3</v>
      </c>
      <c r="AJ9" s="129">
        <v>3</v>
      </c>
      <c r="AK9" s="118">
        <f t="shared" si="8"/>
        <v>3</v>
      </c>
      <c r="AL9" s="131" t="str">
        <f t="shared" si="9"/>
        <v>Santun dalam bersikap, disiplin dalam mentaati tata tertib madrasah, peduli pada lingkungan, orang tua, bertanggung jawab dalam melaksanakan tugas, baik sebagai individu maupun makhluk sosial</v>
      </c>
    </row>
    <row r="10" spans="1:38" ht="15" customHeight="1">
      <c r="A10" s="107">
        <f>'DATA SISWA'!A8</f>
        <v>4</v>
      </c>
      <c r="B10" s="107" t="str">
        <f>'DATA SISWA'!B8</f>
        <v>7674</v>
      </c>
      <c r="C10" s="116" t="str">
        <f>'DATA SISWA'!C8</f>
        <v>AGITA ZAHRAH MUFIDAH</v>
      </c>
      <c r="D10" s="116" t="str">
        <f>'DATA SISWA'!D8</f>
        <v>P</v>
      </c>
      <c r="E10" s="107" t="str">
        <f>'DATA SISWA'!E8</f>
        <v>VII-J</v>
      </c>
      <c r="F10" s="129">
        <v>3</v>
      </c>
      <c r="G10" s="129">
        <v>3</v>
      </c>
      <c r="H10" s="118">
        <f t="shared" si="0"/>
        <v>3</v>
      </c>
      <c r="I10" s="131" t="str">
        <f t="shared" si="1"/>
        <v>Melaksanakan sholat dhuhur berjemaah dan sholatt dhuha, berdo'a di awal di akhir kegiatan pembelajaran , serta melaksanakan kegiatan amaliyah siswa</v>
      </c>
      <c r="J10" s="129">
        <v>3</v>
      </c>
      <c r="K10" s="129">
        <v>3</v>
      </c>
      <c r="L10" s="129">
        <v>3</v>
      </c>
      <c r="M10" s="118">
        <f t="shared" si="2"/>
        <v>3</v>
      </c>
      <c r="N10" s="129">
        <v>3</v>
      </c>
      <c r="O10" s="129">
        <v>3</v>
      </c>
      <c r="P10" s="129">
        <v>3</v>
      </c>
      <c r="Q10" s="118">
        <f t="shared" si="3"/>
        <v>3</v>
      </c>
      <c r="R10" s="129">
        <v>3</v>
      </c>
      <c r="S10" s="129">
        <v>3</v>
      </c>
      <c r="T10" s="129">
        <v>3</v>
      </c>
      <c r="U10" s="118">
        <f t="shared" si="4"/>
        <v>3</v>
      </c>
      <c r="V10" s="129">
        <v>3</v>
      </c>
      <c r="W10" s="129">
        <v>3</v>
      </c>
      <c r="X10" s="129">
        <v>3</v>
      </c>
      <c r="Y10" s="118">
        <f t="shared" si="5"/>
        <v>3</v>
      </c>
      <c r="Z10" s="129">
        <v>3</v>
      </c>
      <c r="AA10" s="129">
        <v>3</v>
      </c>
      <c r="AB10" s="129">
        <v>3</v>
      </c>
      <c r="AC10" s="118">
        <f t="shared" si="6"/>
        <v>3</v>
      </c>
      <c r="AD10" s="129">
        <v>3</v>
      </c>
      <c r="AE10" s="129">
        <v>3</v>
      </c>
      <c r="AF10" s="129">
        <v>3</v>
      </c>
      <c r="AG10" s="118">
        <f t="shared" si="7"/>
        <v>3</v>
      </c>
      <c r="AH10" s="129">
        <v>3</v>
      </c>
      <c r="AI10" s="129">
        <v>3</v>
      </c>
      <c r="AJ10" s="129">
        <v>3</v>
      </c>
      <c r="AK10" s="118">
        <f t="shared" si="8"/>
        <v>3</v>
      </c>
      <c r="AL10" s="131" t="str">
        <f t="shared" si="9"/>
        <v>Santun dalam bersikap, disiplin dalam mentaati tata tertib madrasah, peduli pada lingkungan, orang tua, bertanggung jawab dalam melaksanakan tugas, baik sebagai individu maupun makhluk sosial</v>
      </c>
    </row>
    <row r="11" spans="1:38" ht="15" customHeight="1">
      <c r="A11" s="107">
        <f>'DATA SISWA'!A9</f>
        <v>5</v>
      </c>
      <c r="B11" s="107" t="str">
        <f>'DATA SISWA'!B9</f>
        <v>7646</v>
      </c>
      <c r="C11" s="116" t="str">
        <f>'DATA SISWA'!C9</f>
        <v>AHMAD HAMBALI</v>
      </c>
      <c r="D11" s="116" t="str">
        <f>'DATA SISWA'!D9</f>
        <v>L</v>
      </c>
      <c r="E11" s="107" t="str">
        <f>'DATA SISWA'!E9</f>
        <v>VII-J</v>
      </c>
      <c r="F11" s="129">
        <v>3</v>
      </c>
      <c r="G11" s="129">
        <v>3</v>
      </c>
      <c r="H11" s="118">
        <f t="shared" si="0"/>
        <v>3</v>
      </c>
      <c r="I11" s="131" t="str">
        <f t="shared" si="1"/>
        <v>Melaksanakan sholat dhuhur berjemaah dan sholatt dhuha, berdo'a di awal di akhir kegiatan pembelajaran , serta melaksanakan kegiatan amaliyah siswa</v>
      </c>
      <c r="J11" s="129">
        <v>3</v>
      </c>
      <c r="K11" s="129">
        <v>3</v>
      </c>
      <c r="L11" s="129">
        <v>3</v>
      </c>
      <c r="M11" s="118">
        <f t="shared" si="2"/>
        <v>3</v>
      </c>
      <c r="N11" s="129">
        <v>3</v>
      </c>
      <c r="O11" s="129">
        <v>3</v>
      </c>
      <c r="P11" s="129">
        <v>3</v>
      </c>
      <c r="Q11" s="118">
        <f t="shared" si="3"/>
        <v>3</v>
      </c>
      <c r="R11" s="129">
        <v>3</v>
      </c>
      <c r="S11" s="129">
        <v>3</v>
      </c>
      <c r="T11" s="129">
        <v>3</v>
      </c>
      <c r="U11" s="118">
        <f t="shared" si="4"/>
        <v>3</v>
      </c>
      <c r="V11" s="129">
        <v>3</v>
      </c>
      <c r="W11" s="129">
        <v>3</v>
      </c>
      <c r="X11" s="129">
        <v>3</v>
      </c>
      <c r="Y11" s="118">
        <f t="shared" si="5"/>
        <v>3</v>
      </c>
      <c r="Z11" s="129">
        <v>3</v>
      </c>
      <c r="AA11" s="129">
        <v>3</v>
      </c>
      <c r="AB11" s="129">
        <v>3</v>
      </c>
      <c r="AC11" s="118">
        <f t="shared" si="6"/>
        <v>3</v>
      </c>
      <c r="AD11" s="129">
        <v>3</v>
      </c>
      <c r="AE11" s="129">
        <v>3</v>
      </c>
      <c r="AF11" s="129">
        <v>3</v>
      </c>
      <c r="AG11" s="118">
        <f t="shared" si="7"/>
        <v>3</v>
      </c>
      <c r="AH11" s="129">
        <v>3</v>
      </c>
      <c r="AI11" s="129">
        <v>3</v>
      </c>
      <c r="AJ11" s="129">
        <v>3</v>
      </c>
      <c r="AK11" s="118">
        <f t="shared" si="8"/>
        <v>3</v>
      </c>
      <c r="AL11" s="131" t="str">
        <f t="shared" si="9"/>
        <v>Santun dalam bersikap, disiplin dalam mentaati tata tertib madrasah, peduli pada lingkungan, orang tua, bertanggung jawab dalam melaksanakan tugas, baik sebagai individu maupun makhluk sosial</v>
      </c>
    </row>
    <row r="12" spans="1:38" ht="15" customHeight="1">
      <c r="A12" s="107">
        <f>'DATA SISWA'!A10</f>
        <v>6</v>
      </c>
      <c r="B12" s="107" t="str">
        <f>'DATA SISWA'!B10</f>
        <v>7647</v>
      </c>
      <c r="C12" s="116" t="str">
        <f>'DATA SISWA'!C10</f>
        <v>AHMADI</v>
      </c>
      <c r="D12" s="116" t="str">
        <f>'DATA SISWA'!D10</f>
        <v>L</v>
      </c>
      <c r="E12" s="107" t="str">
        <f>'DATA SISWA'!E10</f>
        <v>VII-J</v>
      </c>
      <c r="F12" s="129">
        <v>3</v>
      </c>
      <c r="G12" s="129">
        <v>3</v>
      </c>
      <c r="H12" s="118">
        <f t="shared" si="0"/>
        <v>3</v>
      </c>
      <c r="I12" s="131" t="str">
        <f t="shared" si="1"/>
        <v>Melaksanakan sholat dhuhur berjemaah dan sholatt dhuha, berdo'a di awal di akhir kegiatan pembelajaran , serta melaksanakan kegiatan amaliyah siswa</v>
      </c>
      <c r="J12" s="129">
        <v>3</v>
      </c>
      <c r="K12" s="129">
        <v>3</v>
      </c>
      <c r="L12" s="129">
        <v>3</v>
      </c>
      <c r="M12" s="118">
        <f t="shared" si="2"/>
        <v>3</v>
      </c>
      <c r="N12" s="129">
        <v>3</v>
      </c>
      <c r="O12" s="129">
        <v>3</v>
      </c>
      <c r="P12" s="129">
        <v>3</v>
      </c>
      <c r="Q12" s="118">
        <f t="shared" si="3"/>
        <v>3</v>
      </c>
      <c r="R12" s="129">
        <v>3</v>
      </c>
      <c r="S12" s="129">
        <v>3</v>
      </c>
      <c r="T12" s="129">
        <v>3</v>
      </c>
      <c r="U12" s="118">
        <f t="shared" si="4"/>
        <v>3</v>
      </c>
      <c r="V12" s="129">
        <v>3</v>
      </c>
      <c r="W12" s="129">
        <v>3</v>
      </c>
      <c r="X12" s="129">
        <v>3</v>
      </c>
      <c r="Y12" s="118">
        <f t="shared" si="5"/>
        <v>3</v>
      </c>
      <c r="Z12" s="129">
        <v>3</v>
      </c>
      <c r="AA12" s="129">
        <v>3</v>
      </c>
      <c r="AB12" s="129">
        <v>3</v>
      </c>
      <c r="AC12" s="118">
        <f t="shared" si="6"/>
        <v>3</v>
      </c>
      <c r="AD12" s="129">
        <v>3</v>
      </c>
      <c r="AE12" s="129">
        <v>3</v>
      </c>
      <c r="AF12" s="129">
        <v>3</v>
      </c>
      <c r="AG12" s="118">
        <f t="shared" si="7"/>
        <v>3</v>
      </c>
      <c r="AH12" s="129">
        <v>3</v>
      </c>
      <c r="AI12" s="129">
        <v>3</v>
      </c>
      <c r="AJ12" s="129">
        <v>3</v>
      </c>
      <c r="AK12" s="118">
        <f t="shared" si="8"/>
        <v>3</v>
      </c>
      <c r="AL12" s="131" t="str">
        <f t="shared" si="9"/>
        <v>Santun dalam bersikap, disiplin dalam mentaati tata tertib madrasah, peduli pada lingkungan, orang tua, bertanggung jawab dalam melaksanakan tugas, baik sebagai individu maupun makhluk sosial</v>
      </c>
    </row>
    <row r="13" spans="1:38" ht="15" customHeight="1">
      <c r="A13" s="107">
        <f>'DATA SISWA'!A11</f>
        <v>7</v>
      </c>
      <c r="B13" s="107" t="str">
        <f>'DATA SISWA'!B11</f>
        <v>7648</v>
      </c>
      <c r="C13" s="116" t="str">
        <f>'DATA SISWA'!C11</f>
        <v xml:space="preserve">AINUR ROFIK </v>
      </c>
      <c r="D13" s="116" t="str">
        <f>'DATA SISWA'!D11</f>
        <v>L</v>
      </c>
      <c r="E13" s="107" t="str">
        <f>'DATA SISWA'!E11</f>
        <v>VII-J</v>
      </c>
      <c r="F13" s="129">
        <v>3</v>
      </c>
      <c r="G13" s="129">
        <v>3</v>
      </c>
      <c r="H13" s="118">
        <f t="shared" si="0"/>
        <v>3</v>
      </c>
      <c r="I13" s="131" t="str">
        <f t="shared" si="1"/>
        <v>Melaksanakan sholat dhuhur berjemaah dan sholatt dhuha, berdo'a di awal di akhir kegiatan pembelajaran , serta melaksanakan kegiatan amaliyah siswa</v>
      </c>
      <c r="J13" s="129">
        <v>3</v>
      </c>
      <c r="K13" s="129">
        <v>3</v>
      </c>
      <c r="L13" s="129">
        <v>3</v>
      </c>
      <c r="M13" s="118">
        <f t="shared" si="2"/>
        <v>3</v>
      </c>
      <c r="N13" s="129">
        <v>3</v>
      </c>
      <c r="O13" s="129">
        <v>3</v>
      </c>
      <c r="P13" s="129">
        <v>3</v>
      </c>
      <c r="Q13" s="118">
        <f t="shared" si="3"/>
        <v>3</v>
      </c>
      <c r="R13" s="129">
        <v>3</v>
      </c>
      <c r="S13" s="129">
        <v>3</v>
      </c>
      <c r="T13" s="129">
        <v>3</v>
      </c>
      <c r="U13" s="118">
        <f t="shared" si="4"/>
        <v>3</v>
      </c>
      <c r="V13" s="129">
        <v>3</v>
      </c>
      <c r="W13" s="129">
        <v>3</v>
      </c>
      <c r="X13" s="129">
        <v>3</v>
      </c>
      <c r="Y13" s="118">
        <f t="shared" si="5"/>
        <v>3</v>
      </c>
      <c r="Z13" s="129">
        <v>3</v>
      </c>
      <c r="AA13" s="129">
        <v>3</v>
      </c>
      <c r="AB13" s="129">
        <v>3</v>
      </c>
      <c r="AC13" s="118">
        <f t="shared" si="6"/>
        <v>3</v>
      </c>
      <c r="AD13" s="129">
        <v>3</v>
      </c>
      <c r="AE13" s="129">
        <v>3</v>
      </c>
      <c r="AF13" s="129">
        <v>3</v>
      </c>
      <c r="AG13" s="118">
        <f t="shared" si="7"/>
        <v>3</v>
      </c>
      <c r="AH13" s="129">
        <v>3</v>
      </c>
      <c r="AI13" s="129">
        <v>3</v>
      </c>
      <c r="AJ13" s="129">
        <v>3</v>
      </c>
      <c r="AK13" s="118">
        <f t="shared" si="8"/>
        <v>3</v>
      </c>
      <c r="AL13" s="131" t="str">
        <f t="shared" si="9"/>
        <v>Santun dalam bersikap, disiplin dalam mentaati tata tertib madrasah, peduli pada lingkungan, orang tua, bertanggung jawab dalam melaksanakan tugas, baik sebagai individu maupun makhluk sosial</v>
      </c>
    </row>
    <row r="14" spans="1:38" ht="15" customHeight="1">
      <c r="A14" s="107">
        <f>'DATA SISWA'!A12</f>
        <v>8</v>
      </c>
      <c r="B14" s="107" t="str">
        <f>'DATA SISWA'!B12</f>
        <v>7377</v>
      </c>
      <c r="C14" s="116" t="str">
        <f>'DATA SISWA'!C12</f>
        <v>AT-THORIQ BINTANG PRAJA</v>
      </c>
      <c r="D14" s="116" t="str">
        <f>'DATA SISWA'!D12</f>
        <v>L</v>
      </c>
      <c r="E14" s="107" t="str">
        <f>'DATA SISWA'!E12</f>
        <v>VII-J</v>
      </c>
      <c r="F14" s="129">
        <v>3</v>
      </c>
      <c r="G14" s="129">
        <v>3</v>
      </c>
      <c r="H14" s="118">
        <f t="shared" si="0"/>
        <v>3</v>
      </c>
      <c r="I14" s="131" t="str">
        <f t="shared" si="1"/>
        <v>Melaksanakan sholat dhuhur berjemaah dan sholatt dhuha, berdo'a di awal di akhir kegiatan pembelajaran , serta melaksanakan kegiatan amaliyah siswa</v>
      </c>
      <c r="J14" s="129">
        <v>3</v>
      </c>
      <c r="K14" s="129">
        <v>3</v>
      </c>
      <c r="L14" s="129">
        <v>3</v>
      </c>
      <c r="M14" s="118">
        <f t="shared" si="2"/>
        <v>3</v>
      </c>
      <c r="N14" s="129">
        <v>3</v>
      </c>
      <c r="O14" s="129">
        <v>3</v>
      </c>
      <c r="P14" s="129">
        <v>3</v>
      </c>
      <c r="Q14" s="118">
        <f t="shared" si="3"/>
        <v>3</v>
      </c>
      <c r="R14" s="129">
        <v>3</v>
      </c>
      <c r="S14" s="129">
        <v>3</v>
      </c>
      <c r="T14" s="129">
        <v>3</v>
      </c>
      <c r="U14" s="118">
        <f t="shared" si="4"/>
        <v>3</v>
      </c>
      <c r="V14" s="129">
        <v>3</v>
      </c>
      <c r="W14" s="129">
        <v>3</v>
      </c>
      <c r="X14" s="129">
        <v>3</v>
      </c>
      <c r="Y14" s="118">
        <f t="shared" si="5"/>
        <v>3</v>
      </c>
      <c r="Z14" s="129">
        <v>3</v>
      </c>
      <c r="AA14" s="129">
        <v>3</v>
      </c>
      <c r="AB14" s="129">
        <v>3</v>
      </c>
      <c r="AC14" s="118">
        <f t="shared" si="6"/>
        <v>3</v>
      </c>
      <c r="AD14" s="129">
        <v>3</v>
      </c>
      <c r="AE14" s="129">
        <v>3</v>
      </c>
      <c r="AF14" s="129">
        <v>3</v>
      </c>
      <c r="AG14" s="118">
        <f t="shared" si="7"/>
        <v>3</v>
      </c>
      <c r="AH14" s="129">
        <v>3</v>
      </c>
      <c r="AI14" s="129">
        <v>3</v>
      </c>
      <c r="AJ14" s="129">
        <v>3</v>
      </c>
      <c r="AK14" s="118">
        <f t="shared" si="8"/>
        <v>3</v>
      </c>
      <c r="AL14" s="131" t="str">
        <f t="shared" si="9"/>
        <v>Santun dalam bersikap, disiplin dalam mentaati tata tertib madrasah, peduli pada lingkungan, orang tua, bertanggung jawab dalam melaksanakan tugas, baik sebagai individu maupun makhluk sosial</v>
      </c>
    </row>
    <row r="15" spans="1:38" ht="15" customHeight="1">
      <c r="A15" s="107">
        <f>'DATA SISWA'!A13</f>
        <v>9</v>
      </c>
      <c r="B15" s="107" t="str">
        <f>'DATA SISWA'!B13</f>
        <v>7649</v>
      </c>
      <c r="C15" s="116" t="str">
        <f>'DATA SISWA'!C13</f>
        <v>DEWI WULANDARI</v>
      </c>
      <c r="D15" s="116" t="str">
        <f>'DATA SISWA'!D13</f>
        <v>P</v>
      </c>
      <c r="E15" s="107" t="str">
        <f>'DATA SISWA'!E13</f>
        <v>VII-J</v>
      </c>
      <c r="F15" s="129">
        <v>3</v>
      </c>
      <c r="G15" s="129">
        <v>3</v>
      </c>
      <c r="H15" s="118">
        <f t="shared" si="0"/>
        <v>3</v>
      </c>
      <c r="I15" s="131" t="str">
        <f t="shared" si="1"/>
        <v>Melaksanakan sholat dhuhur berjemaah dan sholatt dhuha, berdo'a di awal di akhir kegiatan pembelajaran , serta melaksanakan kegiatan amaliyah siswa</v>
      </c>
      <c r="J15" s="129">
        <v>3</v>
      </c>
      <c r="K15" s="129">
        <v>3</v>
      </c>
      <c r="L15" s="129">
        <v>3</v>
      </c>
      <c r="M15" s="118">
        <f t="shared" si="2"/>
        <v>3</v>
      </c>
      <c r="N15" s="129">
        <v>3</v>
      </c>
      <c r="O15" s="129">
        <v>3</v>
      </c>
      <c r="P15" s="129">
        <v>3</v>
      </c>
      <c r="Q15" s="118">
        <f t="shared" si="3"/>
        <v>3</v>
      </c>
      <c r="R15" s="129">
        <v>3</v>
      </c>
      <c r="S15" s="129">
        <v>3</v>
      </c>
      <c r="T15" s="129">
        <v>3</v>
      </c>
      <c r="U15" s="118">
        <f t="shared" si="4"/>
        <v>3</v>
      </c>
      <c r="V15" s="129">
        <v>3</v>
      </c>
      <c r="W15" s="129">
        <v>3</v>
      </c>
      <c r="X15" s="129">
        <v>3</v>
      </c>
      <c r="Y15" s="118">
        <f t="shared" si="5"/>
        <v>3</v>
      </c>
      <c r="Z15" s="129">
        <v>3</v>
      </c>
      <c r="AA15" s="129">
        <v>3</v>
      </c>
      <c r="AB15" s="129">
        <v>3</v>
      </c>
      <c r="AC15" s="118">
        <f t="shared" si="6"/>
        <v>3</v>
      </c>
      <c r="AD15" s="129">
        <v>3</v>
      </c>
      <c r="AE15" s="129">
        <v>3</v>
      </c>
      <c r="AF15" s="129">
        <v>3</v>
      </c>
      <c r="AG15" s="118">
        <f t="shared" si="7"/>
        <v>3</v>
      </c>
      <c r="AH15" s="129">
        <v>3</v>
      </c>
      <c r="AI15" s="129">
        <v>3</v>
      </c>
      <c r="AJ15" s="129">
        <v>3</v>
      </c>
      <c r="AK15" s="118">
        <f t="shared" si="8"/>
        <v>3</v>
      </c>
      <c r="AL15" s="131" t="str">
        <f t="shared" si="9"/>
        <v>Santun dalam bersikap, disiplin dalam mentaati tata tertib madrasah, peduli pada lingkungan, orang tua, bertanggung jawab dalam melaksanakan tugas, baik sebagai individu maupun makhluk sosial</v>
      </c>
    </row>
    <row r="16" spans="1:38" ht="15" customHeight="1">
      <c r="A16" s="107">
        <f>'DATA SISWA'!A14</f>
        <v>10</v>
      </c>
      <c r="B16" s="107" t="str">
        <f>'DATA SISWA'!B14</f>
        <v>7650</v>
      </c>
      <c r="C16" s="116" t="str">
        <f>'DATA SISWA'!C14</f>
        <v>ENI UMAMAH</v>
      </c>
      <c r="D16" s="116" t="str">
        <f>'DATA SISWA'!D14</f>
        <v>P</v>
      </c>
      <c r="E16" s="107" t="str">
        <f>'DATA SISWA'!E14</f>
        <v>VII-J</v>
      </c>
      <c r="F16" s="129">
        <v>3</v>
      </c>
      <c r="G16" s="129">
        <v>3</v>
      </c>
      <c r="H16" s="118">
        <f t="shared" si="0"/>
        <v>3</v>
      </c>
      <c r="I16" s="131" t="str">
        <f t="shared" si="1"/>
        <v>Melaksanakan sholat dhuhur berjemaah dan sholatt dhuha, berdo'a di awal di akhir kegiatan pembelajaran , serta melaksanakan kegiatan amaliyah siswa</v>
      </c>
      <c r="J16" s="129">
        <v>3</v>
      </c>
      <c r="K16" s="129">
        <v>3</v>
      </c>
      <c r="L16" s="129">
        <v>3</v>
      </c>
      <c r="M16" s="118">
        <f t="shared" si="2"/>
        <v>3</v>
      </c>
      <c r="N16" s="129">
        <v>3</v>
      </c>
      <c r="O16" s="129">
        <v>3</v>
      </c>
      <c r="P16" s="129">
        <v>3</v>
      </c>
      <c r="Q16" s="118">
        <f t="shared" si="3"/>
        <v>3</v>
      </c>
      <c r="R16" s="129">
        <v>3</v>
      </c>
      <c r="S16" s="129">
        <v>3</v>
      </c>
      <c r="T16" s="129">
        <v>3</v>
      </c>
      <c r="U16" s="118">
        <f t="shared" si="4"/>
        <v>3</v>
      </c>
      <c r="V16" s="129">
        <v>3</v>
      </c>
      <c r="W16" s="129">
        <v>3</v>
      </c>
      <c r="X16" s="129">
        <v>3</v>
      </c>
      <c r="Y16" s="118">
        <f t="shared" si="5"/>
        <v>3</v>
      </c>
      <c r="Z16" s="129">
        <v>3</v>
      </c>
      <c r="AA16" s="129">
        <v>3</v>
      </c>
      <c r="AB16" s="129">
        <v>3</v>
      </c>
      <c r="AC16" s="118">
        <f t="shared" si="6"/>
        <v>3</v>
      </c>
      <c r="AD16" s="129">
        <v>3</v>
      </c>
      <c r="AE16" s="129">
        <v>3</v>
      </c>
      <c r="AF16" s="129">
        <v>3</v>
      </c>
      <c r="AG16" s="118">
        <f t="shared" si="7"/>
        <v>3</v>
      </c>
      <c r="AH16" s="129">
        <v>3</v>
      </c>
      <c r="AI16" s="129">
        <v>3</v>
      </c>
      <c r="AJ16" s="129">
        <v>3</v>
      </c>
      <c r="AK16" s="118">
        <f t="shared" si="8"/>
        <v>3</v>
      </c>
      <c r="AL16" s="131" t="str">
        <f t="shared" si="9"/>
        <v>Santun dalam bersikap, disiplin dalam mentaati tata tertib madrasah, peduli pada lingkungan, orang tua, bertanggung jawab dalam melaksanakan tugas, baik sebagai individu maupun makhluk sosial</v>
      </c>
    </row>
    <row r="17" spans="1:38" ht="15" customHeight="1">
      <c r="A17" s="107">
        <f>'DATA SISWA'!A15</f>
        <v>11</v>
      </c>
      <c r="B17" s="107" t="str">
        <f>'DATA SISWA'!B15</f>
        <v>7651</v>
      </c>
      <c r="C17" s="116" t="str">
        <f>'DATA SISWA'!C15</f>
        <v>FADIA FASSA</v>
      </c>
      <c r="D17" s="116" t="str">
        <f>'DATA SISWA'!D15</f>
        <v>P</v>
      </c>
      <c r="E17" s="107" t="str">
        <f>'DATA SISWA'!E15</f>
        <v>VII-J</v>
      </c>
      <c r="F17" s="129">
        <v>3</v>
      </c>
      <c r="G17" s="129">
        <v>3</v>
      </c>
      <c r="H17" s="118">
        <f t="shared" si="0"/>
        <v>3</v>
      </c>
      <c r="I17" s="131" t="str">
        <f t="shared" si="1"/>
        <v>Melaksanakan sholat dhuhur berjemaah dan sholatt dhuha, berdo'a di awal di akhir kegiatan pembelajaran , serta melaksanakan kegiatan amaliyah siswa</v>
      </c>
      <c r="J17" s="129">
        <v>3</v>
      </c>
      <c r="K17" s="129">
        <v>3</v>
      </c>
      <c r="L17" s="129">
        <v>3</v>
      </c>
      <c r="M17" s="118">
        <f t="shared" si="2"/>
        <v>3</v>
      </c>
      <c r="N17" s="129">
        <v>3</v>
      </c>
      <c r="O17" s="129">
        <v>3</v>
      </c>
      <c r="P17" s="129">
        <v>3</v>
      </c>
      <c r="Q17" s="118">
        <f t="shared" si="3"/>
        <v>3</v>
      </c>
      <c r="R17" s="129">
        <v>3</v>
      </c>
      <c r="S17" s="129">
        <v>3</v>
      </c>
      <c r="T17" s="129">
        <v>3</v>
      </c>
      <c r="U17" s="118">
        <f t="shared" si="4"/>
        <v>3</v>
      </c>
      <c r="V17" s="129">
        <v>3</v>
      </c>
      <c r="W17" s="129">
        <v>3</v>
      </c>
      <c r="X17" s="129">
        <v>3</v>
      </c>
      <c r="Y17" s="118">
        <f t="shared" si="5"/>
        <v>3</v>
      </c>
      <c r="Z17" s="129">
        <v>3</v>
      </c>
      <c r="AA17" s="129">
        <v>3</v>
      </c>
      <c r="AB17" s="129">
        <v>3</v>
      </c>
      <c r="AC17" s="118">
        <f t="shared" si="6"/>
        <v>3</v>
      </c>
      <c r="AD17" s="129">
        <v>3</v>
      </c>
      <c r="AE17" s="129">
        <v>3</v>
      </c>
      <c r="AF17" s="129">
        <v>3</v>
      </c>
      <c r="AG17" s="118">
        <f t="shared" si="7"/>
        <v>3</v>
      </c>
      <c r="AH17" s="129">
        <v>3</v>
      </c>
      <c r="AI17" s="129">
        <v>3</v>
      </c>
      <c r="AJ17" s="129">
        <v>3</v>
      </c>
      <c r="AK17" s="118">
        <f t="shared" si="8"/>
        <v>3</v>
      </c>
      <c r="AL17" s="131" t="str">
        <f t="shared" si="9"/>
        <v>Santun dalam bersikap, disiplin dalam mentaati tata tertib madrasah, peduli pada lingkungan, orang tua, bertanggung jawab dalam melaksanakan tugas, baik sebagai individu maupun makhluk sosial</v>
      </c>
    </row>
    <row r="18" spans="1:38" ht="15" customHeight="1">
      <c r="A18" s="107">
        <f>'DATA SISWA'!A16</f>
        <v>12</v>
      </c>
      <c r="B18" s="107" t="str">
        <f>'DATA SISWA'!B16</f>
        <v>7652</v>
      </c>
      <c r="C18" s="116" t="str">
        <f>'DATA SISWA'!C16</f>
        <v>FATIMATUZ  ZAHROH</v>
      </c>
      <c r="D18" s="116" t="str">
        <f>'DATA SISWA'!D16</f>
        <v>P</v>
      </c>
      <c r="E18" s="107" t="str">
        <f>'DATA SISWA'!E16</f>
        <v>VII-J</v>
      </c>
      <c r="F18" s="129">
        <v>3</v>
      </c>
      <c r="G18" s="129">
        <v>3</v>
      </c>
      <c r="H18" s="118">
        <f t="shared" si="0"/>
        <v>3</v>
      </c>
      <c r="I18" s="131" t="str">
        <f t="shared" si="1"/>
        <v>Melaksanakan sholat dhuhur berjemaah dan sholatt dhuha, berdo'a di awal di akhir kegiatan pembelajaran , serta melaksanakan kegiatan amaliyah siswa</v>
      </c>
      <c r="J18" s="129">
        <v>3</v>
      </c>
      <c r="K18" s="129">
        <v>3</v>
      </c>
      <c r="L18" s="129">
        <v>3</v>
      </c>
      <c r="M18" s="118">
        <f t="shared" si="2"/>
        <v>3</v>
      </c>
      <c r="N18" s="129">
        <v>3</v>
      </c>
      <c r="O18" s="129">
        <v>3</v>
      </c>
      <c r="P18" s="129">
        <v>3</v>
      </c>
      <c r="Q18" s="118">
        <f t="shared" si="3"/>
        <v>3</v>
      </c>
      <c r="R18" s="129">
        <v>3</v>
      </c>
      <c r="S18" s="129">
        <v>3</v>
      </c>
      <c r="T18" s="129">
        <v>3</v>
      </c>
      <c r="U18" s="118">
        <f t="shared" si="4"/>
        <v>3</v>
      </c>
      <c r="V18" s="129">
        <v>3</v>
      </c>
      <c r="W18" s="129">
        <v>3</v>
      </c>
      <c r="X18" s="129">
        <v>3</v>
      </c>
      <c r="Y18" s="118">
        <f t="shared" si="5"/>
        <v>3</v>
      </c>
      <c r="Z18" s="129">
        <v>3</v>
      </c>
      <c r="AA18" s="129">
        <v>3</v>
      </c>
      <c r="AB18" s="129">
        <v>3</v>
      </c>
      <c r="AC18" s="118">
        <f t="shared" si="6"/>
        <v>3</v>
      </c>
      <c r="AD18" s="129">
        <v>3</v>
      </c>
      <c r="AE18" s="129">
        <v>3</v>
      </c>
      <c r="AF18" s="129">
        <v>3</v>
      </c>
      <c r="AG18" s="118">
        <f t="shared" si="7"/>
        <v>3</v>
      </c>
      <c r="AH18" s="129">
        <v>3</v>
      </c>
      <c r="AI18" s="129">
        <v>3</v>
      </c>
      <c r="AJ18" s="129">
        <v>3</v>
      </c>
      <c r="AK18" s="118">
        <f t="shared" si="8"/>
        <v>3</v>
      </c>
      <c r="AL18" s="131" t="str">
        <f t="shared" si="9"/>
        <v>Santun dalam bersikap, disiplin dalam mentaati tata tertib madrasah, peduli pada lingkungan, orang tua, bertanggung jawab dalam melaksanakan tugas, baik sebagai individu maupun makhluk sosial</v>
      </c>
    </row>
    <row r="19" spans="1:38" ht="15" customHeight="1">
      <c r="A19" s="107">
        <f>'DATA SISWA'!A17</f>
        <v>13</v>
      </c>
      <c r="B19" s="107" t="str">
        <f>'DATA SISWA'!B17</f>
        <v>7653</v>
      </c>
      <c r="C19" s="116" t="str">
        <f>'DATA SISWA'!C17</f>
        <v>IMAM FATONI</v>
      </c>
      <c r="D19" s="116" t="str">
        <f>'DATA SISWA'!D17</f>
        <v>L</v>
      </c>
      <c r="E19" s="107" t="str">
        <f>'DATA SISWA'!E17</f>
        <v>VII-J</v>
      </c>
      <c r="F19" s="129">
        <v>3</v>
      </c>
      <c r="G19" s="129">
        <v>3</v>
      </c>
      <c r="H19" s="118">
        <f t="shared" si="0"/>
        <v>3</v>
      </c>
      <c r="I19" s="131" t="str">
        <f t="shared" si="1"/>
        <v>Melaksanakan sholat dhuhur berjemaah dan sholatt dhuha, berdo'a di awal di akhir kegiatan pembelajaran , serta melaksanakan kegiatan amaliyah siswa</v>
      </c>
      <c r="J19" s="129">
        <v>3</v>
      </c>
      <c r="K19" s="129">
        <v>3</v>
      </c>
      <c r="L19" s="129">
        <v>3</v>
      </c>
      <c r="M19" s="118">
        <f t="shared" si="2"/>
        <v>3</v>
      </c>
      <c r="N19" s="129">
        <v>3</v>
      </c>
      <c r="O19" s="129">
        <v>3</v>
      </c>
      <c r="P19" s="129">
        <v>3</v>
      </c>
      <c r="Q19" s="118">
        <f t="shared" si="3"/>
        <v>3</v>
      </c>
      <c r="R19" s="129">
        <v>3</v>
      </c>
      <c r="S19" s="129">
        <v>3</v>
      </c>
      <c r="T19" s="129">
        <v>3</v>
      </c>
      <c r="U19" s="118">
        <f t="shared" si="4"/>
        <v>3</v>
      </c>
      <c r="V19" s="129">
        <v>3</v>
      </c>
      <c r="W19" s="129">
        <v>3</v>
      </c>
      <c r="X19" s="129">
        <v>3</v>
      </c>
      <c r="Y19" s="118">
        <f t="shared" si="5"/>
        <v>3</v>
      </c>
      <c r="Z19" s="129">
        <v>3</v>
      </c>
      <c r="AA19" s="129">
        <v>3</v>
      </c>
      <c r="AB19" s="129">
        <v>3</v>
      </c>
      <c r="AC19" s="118">
        <f t="shared" si="6"/>
        <v>3</v>
      </c>
      <c r="AD19" s="129">
        <v>3</v>
      </c>
      <c r="AE19" s="129">
        <v>3</v>
      </c>
      <c r="AF19" s="129">
        <v>3</v>
      </c>
      <c r="AG19" s="118">
        <f t="shared" si="7"/>
        <v>3</v>
      </c>
      <c r="AH19" s="129">
        <v>3</v>
      </c>
      <c r="AI19" s="129">
        <v>3</v>
      </c>
      <c r="AJ19" s="129">
        <v>3</v>
      </c>
      <c r="AK19" s="118">
        <f t="shared" si="8"/>
        <v>3</v>
      </c>
      <c r="AL19" s="131" t="str">
        <f t="shared" si="9"/>
        <v>Santun dalam bersikap, disiplin dalam mentaati tata tertib madrasah, peduli pada lingkungan, orang tua, bertanggung jawab dalam melaksanakan tugas, baik sebagai individu maupun makhluk sosial</v>
      </c>
    </row>
    <row r="20" spans="1:38" ht="15" customHeight="1">
      <c r="A20" s="107">
        <f>'DATA SISWA'!A18</f>
        <v>14</v>
      </c>
      <c r="B20" s="107" t="str">
        <f>'DATA SISWA'!B18</f>
        <v>7654</v>
      </c>
      <c r="C20" s="116" t="str">
        <f>'DATA SISWA'!C18</f>
        <v>ISMA SRI WAHYUNI</v>
      </c>
      <c r="D20" s="116" t="str">
        <f>'DATA SISWA'!D18</f>
        <v>P</v>
      </c>
      <c r="E20" s="107" t="str">
        <f>'DATA SISWA'!E18</f>
        <v>VII-J</v>
      </c>
      <c r="F20" s="129">
        <v>3</v>
      </c>
      <c r="G20" s="129">
        <v>3</v>
      </c>
      <c r="H20" s="118">
        <f t="shared" si="0"/>
        <v>3</v>
      </c>
      <c r="I20" s="131" t="str">
        <f t="shared" si="1"/>
        <v>Melaksanakan sholat dhuhur berjemaah dan sholatt dhuha, berdo'a di awal di akhir kegiatan pembelajaran , serta melaksanakan kegiatan amaliyah siswa</v>
      </c>
      <c r="J20" s="129">
        <v>3</v>
      </c>
      <c r="K20" s="129">
        <v>3</v>
      </c>
      <c r="L20" s="129">
        <v>3</v>
      </c>
      <c r="M20" s="118">
        <f t="shared" si="2"/>
        <v>3</v>
      </c>
      <c r="N20" s="129">
        <v>3</v>
      </c>
      <c r="O20" s="129">
        <v>3</v>
      </c>
      <c r="P20" s="129">
        <v>3</v>
      </c>
      <c r="Q20" s="118">
        <f t="shared" si="3"/>
        <v>3</v>
      </c>
      <c r="R20" s="129">
        <v>3</v>
      </c>
      <c r="S20" s="129">
        <v>3</v>
      </c>
      <c r="T20" s="129">
        <v>3</v>
      </c>
      <c r="U20" s="118">
        <f t="shared" si="4"/>
        <v>3</v>
      </c>
      <c r="V20" s="129">
        <v>3</v>
      </c>
      <c r="W20" s="129">
        <v>3</v>
      </c>
      <c r="X20" s="129">
        <v>3</v>
      </c>
      <c r="Y20" s="118">
        <f t="shared" si="5"/>
        <v>3</v>
      </c>
      <c r="Z20" s="129">
        <v>3</v>
      </c>
      <c r="AA20" s="129">
        <v>3</v>
      </c>
      <c r="AB20" s="129">
        <v>3</v>
      </c>
      <c r="AC20" s="118">
        <f t="shared" si="6"/>
        <v>3</v>
      </c>
      <c r="AD20" s="129">
        <v>3</v>
      </c>
      <c r="AE20" s="129">
        <v>3</v>
      </c>
      <c r="AF20" s="129">
        <v>3</v>
      </c>
      <c r="AG20" s="118">
        <f t="shared" si="7"/>
        <v>3</v>
      </c>
      <c r="AH20" s="129">
        <v>3</v>
      </c>
      <c r="AI20" s="129">
        <v>3</v>
      </c>
      <c r="AJ20" s="129">
        <v>3</v>
      </c>
      <c r="AK20" s="118">
        <f t="shared" si="8"/>
        <v>3</v>
      </c>
      <c r="AL20" s="131" t="str">
        <f t="shared" si="9"/>
        <v>Santun dalam bersikap, disiplin dalam mentaati tata tertib madrasah, peduli pada lingkungan, orang tua, bertanggung jawab dalam melaksanakan tugas, baik sebagai individu maupun makhluk sosial</v>
      </c>
    </row>
    <row r="21" spans="1:38" ht="15" customHeight="1">
      <c r="A21" s="107">
        <f>'DATA SISWA'!A19</f>
        <v>15</v>
      </c>
      <c r="B21" s="107" t="str">
        <f>'DATA SISWA'!B19</f>
        <v>7655</v>
      </c>
      <c r="C21" s="116" t="str">
        <f>'DATA SISWA'!C19</f>
        <v>JAKFAR SODIK ROMADHONI</v>
      </c>
      <c r="D21" s="116" t="str">
        <f>'DATA SISWA'!D19</f>
        <v>L</v>
      </c>
      <c r="E21" s="107" t="str">
        <f>'DATA SISWA'!E19</f>
        <v>VII-J</v>
      </c>
      <c r="F21" s="129">
        <v>3</v>
      </c>
      <c r="G21" s="129">
        <v>3</v>
      </c>
      <c r="H21" s="118">
        <f t="shared" si="0"/>
        <v>3</v>
      </c>
      <c r="I21" s="131" t="str">
        <f t="shared" si="1"/>
        <v>Melaksanakan sholat dhuhur berjemaah dan sholatt dhuha, berdo'a di awal di akhir kegiatan pembelajaran , serta melaksanakan kegiatan amaliyah siswa</v>
      </c>
      <c r="J21" s="129">
        <v>3</v>
      </c>
      <c r="K21" s="129">
        <v>3</v>
      </c>
      <c r="L21" s="129">
        <v>3</v>
      </c>
      <c r="M21" s="118">
        <f t="shared" si="2"/>
        <v>3</v>
      </c>
      <c r="N21" s="129">
        <v>3</v>
      </c>
      <c r="O21" s="129">
        <v>3</v>
      </c>
      <c r="P21" s="129">
        <v>3</v>
      </c>
      <c r="Q21" s="118">
        <f t="shared" si="3"/>
        <v>3</v>
      </c>
      <c r="R21" s="129">
        <v>3</v>
      </c>
      <c r="S21" s="129">
        <v>3</v>
      </c>
      <c r="T21" s="129">
        <v>3</v>
      </c>
      <c r="U21" s="118">
        <f t="shared" si="4"/>
        <v>3</v>
      </c>
      <c r="V21" s="129">
        <v>3</v>
      </c>
      <c r="W21" s="129">
        <v>3</v>
      </c>
      <c r="X21" s="129">
        <v>3</v>
      </c>
      <c r="Y21" s="118">
        <f t="shared" si="5"/>
        <v>3</v>
      </c>
      <c r="Z21" s="129">
        <v>3</v>
      </c>
      <c r="AA21" s="129">
        <v>3</v>
      </c>
      <c r="AB21" s="129">
        <v>3</v>
      </c>
      <c r="AC21" s="118">
        <f t="shared" si="6"/>
        <v>3</v>
      </c>
      <c r="AD21" s="129">
        <v>3</v>
      </c>
      <c r="AE21" s="129">
        <v>3</v>
      </c>
      <c r="AF21" s="129">
        <v>3</v>
      </c>
      <c r="AG21" s="118">
        <f t="shared" si="7"/>
        <v>3</v>
      </c>
      <c r="AH21" s="129">
        <v>3</v>
      </c>
      <c r="AI21" s="129">
        <v>3</v>
      </c>
      <c r="AJ21" s="129">
        <v>3</v>
      </c>
      <c r="AK21" s="118">
        <f t="shared" si="8"/>
        <v>3</v>
      </c>
      <c r="AL21" s="131" t="str">
        <f t="shared" si="9"/>
        <v>Santun dalam bersikap, disiplin dalam mentaati tata tertib madrasah, peduli pada lingkungan, orang tua, bertanggung jawab dalam melaksanakan tugas, baik sebagai individu maupun makhluk sosial</v>
      </c>
    </row>
    <row r="22" spans="1:38" ht="15" customHeight="1">
      <c r="A22" s="107">
        <f>'DATA SISWA'!A20</f>
        <v>16</v>
      </c>
      <c r="B22" s="107" t="str">
        <f>'DATA SISWA'!B20</f>
        <v>7656</v>
      </c>
      <c r="C22" s="116" t="str">
        <f>'DATA SISWA'!C20</f>
        <v>KHOIRIL NISA'</v>
      </c>
      <c r="D22" s="116" t="str">
        <f>'DATA SISWA'!D20</f>
        <v>P</v>
      </c>
      <c r="E22" s="107" t="str">
        <f>'DATA SISWA'!E20</f>
        <v>VII-J</v>
      </c>
      <c r="F22" s="129">
        <v>3</v>
      </c>
      <c r="G22" s="129">
        <v>3</v>
      </c>
      <c r="H22" s="118">
        <f t="shared" si="0"/>
        <v>3</v>
      </c>
      <c r="I22" s="131" t="str">
        <f t="shared" si="1"/>
        <v>Melaksanakan sholat dhuhur berjemaah dan sholatt dhuha, berdo'a di awal di akhir kegiatan pembelajaran , serta melaksanakan kegiatan amaliyah siswa</v>
      </c>
      <c r="J22" s="129">
        <v>3</v>
      </c>
      <c r="K22" s="129">
        <v>3</v>
      </c>
      <c r="L22" s="129">
        <v>3</v>
      </c>
      <c r="M22" s="118">
        <f t="shared" si="2"/>
        <v>3</v>
      </c>
      <c r="N22" s="129">
        <v>3</v>
      </c>
      <c r="O22" s="129">
        <v>3</v>
      </c>
      <c r="P22" s="129">
        <v>3</v>
      </c>
      <c r="Q22" s="118">
        <f t="shared" si="3"/>
        <v>3</v>
      </c>
      <c r="R22" s="129">
        <v>3</v>
      </c>
      <c r="S22" s="129">
        <v>3</v>
      </c>
      <c r="T22" s="129">
        <v>3</v>
      </c>
      <c r="U22" s="118">
        <f t="shared" si="4"/>
        <v>3</v>
      </c>
      <c r="V22" s="129">
        <v>3</v>
      </c>
      <c r="W22" s="129">
        <v>3</v>
      </c>
      <c r="X22" s="129">
        <v>3</v>
      </c>
      <c r="Y22" s="118">
        <f t="shared" si="5"/>
        <v>3</v>
      </c>
      <c r="Z22" s="129">
        <v>3</v>
      </c>
      <c r="AA22" s="129">
        <v>3</v>
      </c>
      <c r="AB22" s="129">
        <v>3</v>
      </c>
      <c r="AC22" s="118">
        <f t="shared" si="6"/>
        <v>3</v>
      </c>
      <c r="AD22" s="129">
        <v>3</v>
      </c>
      <c r="AE22" s="129">
        <v>3</v>
      </c>
      <c r="AF22" s="129">
        <v>3</v>
      </c>
      <c r="AG22" s="118">
        <f t="shared" si="7"/>
        <v>3</v>
      </c>
      <c r="AH22" s="129">
        <v>3</v>
      </c>
      <c r="AI22" s="129">
        <v>3</v>
      </c>
      <c r="AJ22" s="129">
        <v>3</v>
      </c>
      <c r="AK22" s="118">
        <f t="shared" si="8"/>
        <v>3</v>
      </c>
      <c r="AL22" s="131" t="str">
        <f t="shared" si="9"/>
        <v>Santun dalam bersikap, disiplin dalam mentaati tata tertib madrasah, peduli pada lingkungan, orang tua, bertanggung jawab dalam melaksanakan tugas, baik sebagai individu maupun makhluk sosial</v>
      </c>
    </row>
    <row r="23" spans="1:38" ht="15" customHeight="1">
      <c r="A23" s="107">
        <f>'DATA SISWA'!A21</f>
        <v>17</v>
      </c>
      <c r="B23" s="107" t="str">
        <f>'DATA SISWA'!B21</f>
        <v>7657</v>
      </c>
      <c r="C23" s="116" t="str">
        <f>'DATA SISWA'!C21</f>
        <v>LATIFA MAHARANI</v>
      </c>
      <c r="D23" s="116" t="str">
        <f>'DATA SISWA'!D21</f>
        <v>P</v>
      </c>
      <c r="E23" s="107" t="str">
        <f>'DATA SISWA'!E21</f>
        <v>VII-J</v>
      </c>
      <c r="F23" s="129">
        <v>3</v>
      </c>
      <c r="G23" s="129">
        <v>3</v>
      </c>
      <c r="H23" s="118">
        <f t="shared" si="0"/>
        <v>3</v>
      </c>
      <c r="I23" s="131" t="str">
        <f t="shared" si="1"/>
        <v>Melaksanakan sholat dhuhur berjemaah dan sholatt dhuha, berdo'a di awal di akhir kegiatan pembelajaran , serta melaksanakan kegiatan amaliyah siswa</v>
      </c>
      <c r="J23" s="129">
        <v>3</v>
      </c>
      <c r="K23" s="129">
        <v>3</v>
      </c>
      <c r="L23" s="129">
        <v>3</v>
      </c>
      <c r="M23" s="118">
        <f t="shared" si="2"/>
        <v>3</v>
      </c>
      <c r="N23" s="129">
        <v>3</v>
      </c>
      <c r="O23" s="129">
        <v>3</v>
      </c>
      <c r="P23" s="129">
        <v>3</v>
      </c>
      <c r="Q23" s="118">
        <f t="shared" si="3"/>
        <v>3</v>
      </c>
      <c r="R23" s="129">
        <v>3</v>
      </c>
      <c r="S23" s="129">
        <v>3</v>
      </c>
      <c r="T23" s="129">
        <v>3</v>
      </c>
      <c r="U23" s="118">
        <f t="shared" si="4"/>
        <v>3</v>
      </c>
      <c r="V23" s="129">
        <v>3</v>
      </c>
      <c r="W23" s="129">
        <v>3</v>
      </c>
      <c r="X23" s="129">
        <v>3</v>
      </c>
      <c r="Y23" s="118">
        <f t="shared" si="5"/>
        <v>3</v>
      </c>
      <c r="Z23" s="129">
        <v>3</v>
      </c>
      <c r="AA23" s="129">
        <v>3</v>
      </c>
      <c r="AB23" s="129">
        <v>3</v>
      </c>
      <c r="AC23" s="118">
        <f t="shared" si="6"/>
        <v>3</v>
      </c>
      <c r="AD23" s="129">
        <v>3</v>
      </c>
      <c r="AE23" s="129">
        <v>3</v>
      </c>
      <c r="AF23" s="129">
        <v>3</v>
      </c>
      <c r="AG23" s="118">
        <f t="shared" si="7"/>
        <v>3</v>
      </c>
      <c r="AH23" s="129">
        <v>3</v>
      </c>
      <c r="AI23" s="129">
        <v>3</v>
      </c>
      <c r="AJ23" s="129">
        <v>3</v>
      </c>
      <c r="AK23" s="118">
        <f t="shared" si="8"/>
        <v>3</v>
      </c>
      <c r="AL23" s="131" t="str">
        <f t="shared" si="9"/>
        <v>Santun dalam bersikap, disiplin dalam mentaati tata tertib madrasah, peduli pada lingkungan, orang tua, bertanggung jawab dalam melaksanakan tugas, baik sebagai individu maupun makhluk sosial</v>
      </c>
    </row>
    <row r="24" spans="1:38" ht="15" customHeight="1">
      <c r="A24" s="107">
        <f>'DATA SISWA'!A22</f>
        <v>18</v>
      </c>
      <c r="B24" s="107" t="str">
        <f>'DATA SISWA'!B22</f>
        <v>7658</v>
      </c>
      <c r="C24" s="116" t="str">
        <f>'DATA SISWA'!C22</f>
        <v>LUQMANUL FIKRI SYAIFULLAH</v>
      </c>
      <c r="D24" s="116" t="str">
        <f>'DATA SISWA'!D22</f>
        <v>L</v>
      </c>
      <c r="E24" s="107" t="str">
        <f>'DATA SISWA'!E22</f>
        <v>VII-J</v>
      </c>
      <c r="F24" s="129">
        <v>3</v>
      </c>
      <c r="G24" s="129">
        <v>3</v>
      </c>
      <c r="H24" s="118">
        <f t="shared" si="0"/>
        <v>3</v>
      </c>
      <c r="I24" s="131" t="str">
        <f t="shared" si="1"/>
        <v>Melaksanakan sholat dhuhur berjemaah dan sholatt dhuha, berdo'a di awal di akhir kegiatan pembelajaran , serta melaksanakan kegiatan amaliyah siswa</v>
      </c>
      <c r="J24" s="129">
        <v>3</v>
      </c>
      <c r="K24" s="129">
        <v>3</v>
      </c>
      <c r="L24" s="129">
        <v>3</v>
      </c>
      <c r="M24" s="118">
        <f t="shared" si="2"/>
        <v>3</v>
      </c>
      <c r="N24" s="129">
        <v>3</v>
      </c>
      <c r="O24" s="129">
        <v>3</v>
      </c>
      <c r="P24" s="129">
        <v>3</v>
      </c>
      <c r="Q24" s="118">
        <f t="shared" si="3"/>
        <v>3</v>
      </c>
      <c r="R24" s="129">
        <v>3</v>
      </c>
      <c r="S24" s="129">
        <v>3</v>
      </c>
      <c r="T24" s="129">
        <v>3</v>
      </c>
      <c r="U24" s="118">
        <f t="shared" si="4"/>
        <v>3</v>
      </c>
      <c r="V24" s="129">
        <v>3</v>
      </c>
      <c r="W24" s="129">
        <v>3</v>
      </c>
      <c r="X24" s="129">
        <v>3</v>
      </c>
      <c r="Y24" s="118">
        <f t="shared" si="5"/>
        <v>3</v>
      </c>
      <c r="Z24" s="129">
        <v>3</v>
      </c>
      <c r="AA24" s="129">
        <v>3</v>
      </c>
      <c r="AB24" s="129">
        <v>3</v>
      </c>
      <c r="AC24" s="118">
        <f t="shared" si="6"/>
        <v>3</v>
      </c>
      <c r="AD24" s="129">
        <v>3</v>
      </c>
      <c r="AE24" s="129">
        <v>3</v>
      </c>
      <c r="AF24" s="129">
        <v>3</v>
      </c>
      <c r="AG24" s="118">
        <f t="shared" si="7"/>
        <v>3</v>
      </c>
      <c r="AH24" s="129">
        <v>3</v>
      </c>
      <c r="AI24" s="129">
        <v>3</v>
      </c>
      <c r="AJ24" s="129">
        <v>3</v>
      </c>
      <c r="AK24" s="118">
        <f t="shared" si="8"/>
        <v>3</v>
      </c>
      <c r="AL24" s="131" t="str">
        <f t="shared" si="9"/>
        <v>Santun dalam bersikap, disiplin dalam mentaati tata tertib madrasah, peduli pada lingkungan, orang tua, bertanggung jawab dalam melaksanakan tugas, baik sebagai individu maupun makhluk sosial</v>
      </c>
    </row>
    <row r="25" spans="1:38" ht="15" customHeight="1">
      <c r="A25" s="107">
        <f>'DATA SISWA'!A23</f>
        <v>19</v>
      </c>
      <c r="B25" s="107" t="str">
        <f>'DATA SISWA'!B23</f>
        <v>7659</v>
      </c>
      <c r="C25" s="116" t="str">
        <f>'DATA SISWA'!C23</f>
        <v>MAR'ATUS SOLEHAH</v>
      </c>
      <c r="D25" s="116" t="str">
        <f>'DATA SISWA'!D23</f>
        <v>P</v>
      </c>
      <c r="E25" s="107" t="str">
        <f>'DATA SISWA'!E23</f>
        <v>VII-J</v>
      </c>
      <c r="F25" s="129">
        <v>3</v>
      </c>
      <c r="G25" s="129">
        <v>3</v>
      </c>
      <c r="H25" s="118">
        <f t="shared" si="0"/>
        <v>3</v>
      </c>
      <c r="I25" s="131" t="str">
        <f t="shared" si="1"/>
        <v>Melaksanakan sholat dhuhur berjemaah dan sholatt dhuha, berdo'a di awal di akhir kegiatan pembelajaran , serta melaksanakan kegiatan amaliyah siswa</v>
      </c>
      <c r="J25" s="129">
        <v>3</v>
      </c>
      <c r="K25" s="129">
        <v>3</v>
      </c>
      <c r="L25" s="129">
        <v>3</v>
      </c>
      <c r="M25" s="118">
        <f t="shared" si="2"/>
        <v>3</v>
      </c>
      <c r="N25" s="129">
        <v>3</v>
      </c>
      <c r="O25" s="129">
        <v>3</v>
      </c>
      <c r="P25" s="129">
        <v>3</v>
      </c>
      <c r="Q25" s="118">
        <f t="shared" si="3"/>
        <v>3</v>
      </c>
      <c r="R25" s="129">
        <v>3</v>
      </c>
      <c r="S25" s="129">
        <v>3</v>
      </c>
      <c r="T25" s="129">
        <v>3</v>
      </c>
      <c r="U25" s="118">
        <f t="shared" si="4"/>
        <v>3</v>
      </c>
      <c r="V25" s="129">
        <v>3</v>
      </c>
      <c r="W25" s="129">
        <v>3</v>
      </c>
      <c r="X25" s="129">
        <v>3</v>
      </c>
      <c r="Y25" s="118">
        <f t="shared" si="5"/>
        <v>3</v>
      </c>
      <c r="Z25" s="129">
        <v>3</v>
      </c>
      <c r="AA25" s="129">
        <v>3</v>
      </c>
      <c r="AB25" s="129">
        <v>3</v>
      </c>
      <c r="AC25" s="118">
        <f t="shared" si="6"/>
        <v>3</v>
      </c>
      <c r="AD25" s="129">
        <v>3</v>
      </c>
      <c r="AE25" s="129">
        <v>3</v>
      </c>
      <c r="AF25" s="129">
        <v>3</v>
      </c>
      <c r="AG25" s="118">
        <f t="shared" si="7"/>
        <v>3</v>
      </c>
      <c r="AH25" s="129">
        <v>3</v>
      </c>
      <c r="AI25" s="129">
        <v>3</v>
      </c>
      <c r="AJ25" s="129">
        <v>3</v>
      </c>
      <c r="AK25" s="118">
        <f t="shared" si="8"/>
        <v>3</v>
      </c>
      <c r="AL25" s="131" t="str">
        <f t="shared" si="9"/>
        <v>Santun dalam bersikap, disiplin dalam mentaati tata tertib madrasah, peduli pada lingkungan, orang tua, bertanggung jawab dalam melaksanakan tugas, baik sebagai individu maupun makhluk sosial</v>
      </c>
    </row>
    <row r="26" spans="1:38" ht="15" customHeight="1">
      <c r="A26" s="107">
        <f>'DATA SISWA'!A24</f>
        <v>20</v>
      </c>
      <c r="B26" s="107" t="str">
        <f>'DATA SISWA'!B24</f>
        <v>7660</v>
      </c>
      <c r="C26" s="116" t="str">
        <f>'DATA SISWA'!C24</f>
        <v>MOCH.  SHOLEH W. H</v>
      </c>
      <c r="D26" s="116" t="str">
        <f>'DATA SISWA'!D24</f>
        <v>L</v>
      </c>
      <c r="E26" s="107" t="str">
        <f>'DATA SISWA'!E24</f>
        <v>VII-J</v>
      </c>
      <c r="F26" s="129">
        <v>3</v>
      </c>
      <c r="G26" s="129">
        <v>3</v>
      </c>
      <c r="H26" s="118">
        <f t="shared" si="0"/>
        <v>3</v>
      </c>
      <c r="I26" s="131" t="str">
        <f t="shared" si="1"/>
        <v>Melaksanakan sholat dhuhur berjemaah dan sholatt dhuha, berdo'a di awal di akhir kegiatan pembelajaran , serta melaksanakan kegiatan amaliyah siswa</v>
      </c>
      <c r="J26" s="129">
        <v>3</v>
      </c>
      <c r="K26" s="129">
        <v>3</v>
      </c>
      <c r="L26" s="129">
        <v>3</v>
      </c>
      <c r="M26" s="118">
        <f t="shared" si="2"/>
        <v>3</v>
      </c>
      <c r="N26" s="129">
        <v>3</v>
      </c>
      <c r="O26" s="129">
        <v>3</v>
      </c>
      <c r="P26" s="129">
        <v>3</v>
      </c>
      <c r="Q26" s="118">
        <f t="shared" si="3"/>
        <v>3</v>
      </c>
      <c r="R26" s="129">
        <v>3</v>
      </c>
      <c r="S26" s="129">
        <v>3</v>
      </c>
      <c r="T26" s="129">
        <v>3</v>
      </c>
      <c r="U26" s="118">
        <f t="shared" si="4"/>
        <v>3</v>
      </c>
      <c r="V26" s="129">
        <v>3</v>
      </c>
      <c r="W26" s="129">
        <v>3</v>
      </c>
      <c r="X26" s="129">
        <v>3</v>
      </c>
      <c r="Y26" s="118">
        <f t="shared" si="5"/>
        <v>3</v>
      </c>
      <c r="Z26" s="129">
        <v>3</v>
      </c>
      <c r="AA26" s="129">
        <v>3</v>
      </c>
      <c r="AB26" s="129">
        <v>3</v>
      </c>
      <c r="AC26" s="118">
        <f t="shared" si="6"/>
        <v>3</v>
      </c>
      <c r="AD26" s="129">
        <v>3</v>
      </c>
      <c r="AE26" s="129">
        <v>3</v>
      </c>
      <c r="AF26" s="129">
        <v>3</v>
      </c>
      <c r="AG26" s="118">
        <f t="shared" si="7"/>
        <v>3</v>
      </c>
      <c r="AH26" s="129">
        <v>3</v>
      </c>
      <c r="AI26" s="129">
        <v>3</v>
      </c>
      <c r="AJ26" s="129">
        <v>3</v>
      </c>
      <c r="AK26" s="118">
        <f t="shared" si="8"/>
        <v>3</v>
      </c>
      <c r="AL26" s="131" t="str">
        <f t="shared" si="9"/>
        <v>Santun dalam bersikap, disiplin dalam mentaati tata tertib madrasah, peduli pada lingkungan, orang tua, bertanggung jawab dalam melaksanakan tugas, baik sebagai individu maupun makhluk sosial</v>
      </c>
    </row>
    <row r="27" spans="1:38" ht="15" customHeight="1">
      <c r="A27" s="107">
        <f>'DATA SISWA'!A25</f>
        <v>21</v>
      </c>
      <c r="B27" s="107" t="str">
        <f>'DATA SISWA'!B25</f>
        <v>7661</v>
      </c>
      <c r="C27" s="116" t="str">
        <f>'DATA SISWA'!C25</f>
        <v>MOCH. FAWES</v>
      </c>
      <c r="D27" s="116" t="str">
        <f>'DATA SISWA'!D25</f>
        <v>L</v>
      </c>
      <c r="E27" s="107" t="str">
        <f>'DATA SISWA'!E25</f>
        <v>VII-J</v>
      </c>
      <c r="F27" s="129">
        <v>3</v>
      </c>
      <c r="G27" s="129">
        <v>3</v>
      </c>
      <c r="H27" s="118">
        <f t="shared" si="0"/>
        <v>3</v>
      </c>
      <c r="I27" s="131" t="str">
        <f t="shared" si="1"/>
        <v>Melaksanakan sholat dhuhur berjemaah dan sholatt dhuha, berdo'a di awal di akhir kegiatan pembelajaran , serta melaksanakan kegiatan amaliyah siswa</v>
      </c>
      <c r="J27" s="129">
        <v>3</v>
      </c>
      <c r="K27" s="129">
        <v>3</v>
      </c>
      <c r="L27" s="129">
        <v>3</v>
      </c>
      <c r="M27" s="118">
        <f t="shared" si="2"/>
        <v>3</v>
      </c>
      <c r="N27" s="129">
        <v>3</v>
      </c>
      <c r="O27" s="129">
        <v>3</v>
      </c>
      <c r="P27" s="129">
        <v>3</v>
      </c>
      <c r="Q27" s="118">
        <f t="shared" si="3"/>
        <v>3</v>
      </c>
      <c r="R27" s="129">
        <v>3</v>
      </c>
      <c r="S27" s="129">
        <v>3</v>
      </c>
      <c r="T27" s="129">
        <v>3</v>
      </c>
      <c r="U27" s="118">
        <f t="shared" si="4"/>
        <v>3</v>
      </c>
      <c r="V27" s="129">
        <v>3</v>
      </c>
      <c r="W27" s="129">
        <v>3</v>
      </c>
      <c r="X27" s="129">
        <v>3</v>
      </c>
      <c r="Y27" s="118">
        <f t="shared" si="5"/>
        <v>3</v>
      </c>
      <c r="Z27" s="129">
        <v>3</v>
      </c>
      <c r="AA27" s="129">
        <v>3</v>
      </c>
      <c r="AB27" s="129">
        <v>3</v>
      </c>
      <c r="AC27" s="118">
        <f t="shared" si="6"/>
        <v>3</v>
      </c>
      <c r="AD27" s="129">
        <v>3</v>
      </c>
      <c r="AE27" s="129">
        <v>3</v>
      </c>
      <c r="AF27" s="129">
        <v>3</v>
      </c>
      <c r="AG27" s="118">
        <f t="shared" si="7"/>
        <v>3</v>
      </c>
      <c r="AH27" s="129">
        <v>3</v>
      </c>
      <c r="AI27" s="129">
        <v>3</v>
      </c>
      <c r="AJ27" s="129">
        <v>3</v>
      </c>
      <c r="AK27" s="118">
        <f t="shared" si="8"/>
        <v>3</v>
      </c>
      <c r="AL27" s="131" t="str">
        <f t="shared" si="9"/>
        <v>Santun dalam bersikap, disiplin dalam mentaati tata tertib madrasah, peduli pada lingkungan, orang tua, bertanggung jawab dalam melaksanakan tugas, baik sebagai individu maupun makhluk sosial</v>
      </c>
    </row>
    <row r="28" spans="1:38" ht="15" customHeight="1">
      <c r="A28" s="107">
        <f>'DATA SISWA'!A26</f>
        <v>22</v>
      </c>
      <c r="B28" s="107" t="str">
        <f>'DATA SISWA'!B26</f>
        <v>7662</v>
      </c>
      <c r="C28" s="116" t="str">
        <f>'DATA SISWA'!C26</f>
        <v>MOH SAHRUL RAMADON</v>
      </c>
      <c r="D28" s="116" t="str">
        <f>'DATA SISWA'!D26</f>
        <v>L</v>
      </c>
      <c r="E28" s="107" t="str">
        <f>'DATA SISWA'!E26</f>
        <v>VII-J</v>
      </c>
      <c r="F28" s="129">
        <v>3</v>
      </c>
      <c r="G28" s="129">
        <v>3</v>
      </c>
      <c r="H28" s="118">
        <f t="shared" si="0"/>
        <v>3</v>
      </c>
      <c r="I28" s="131" t="str">
        <f t="shared" si="1"/>
        <v>Melaksanakan sholat dhuhur berjemaah dan sholatt dhuha, berdo'a di awal di akhir kegiatan pembelajaran , serta melaksanakan kegiatan amaliyah siswa</v>
      </c>
      <c r="J28" s="129">
        <v>3</v>
      </c>
      <c r="K28" s="129">
        <v>3</v>
      </c>
      <c r="L28" s="129">
        <v>3</v>
      </c>
      <c r="M28" s="118">
        <f t="shared" si="2"/>
        <v>3</v>
      </c>
      <c r="N28" s="129">
        <v>3</v>
      </c>
      <c r="O28" s="129">
        <v>3</v>
      </c>
      <c r="P28" s="129">
        <v>3</v>
      </c>
      <c r="Q28" s="118">
        <f t="shared" si="3"/>
        <v>3</v>
      </c>
      <c r="R28" s="129">
        <v>3</v>
      </c>
      <c r="S28" s="129">
        <v>3</v>
      </c>
      <c r="T28" s="129">
        <v>3</v>
      </c>
      <c r="U28" s="118">
        <f t="shared" si="4"/>
        <v>3</v>
      </c>
      <c r="V28" s="129">
        <v>3</v>
      </c>
      <c r="W28" s="129">
        <v>3</v>
      </c>
      <c r="X28" s="129">
        <v>3</v>
      </c>
      <c r="Y28" s="118">
        <f t="shared" si="5"/>
        <v>3</v>
      </c>
      <c r="Z28" s="129">
        <v>3</v>
      </c>
      <c r="AA28" s="129">
        <v>3</v>
      </c>
      <c r="AB28" s="129">
        <v>3</v>
      </c>
      <c r="AC28" s="118">
        <f t="shared" si="6"/>
        <v>3</v>
      </c>
      <c r="AD28" s="129">
        <v>3</v>
      </c>
      <c r="AE28" s="129">
        <v>3</v>
      </c>
      <c r="AF28" s="129">
        <v>3</v>
      </c>
      <c r="AG28" s="118">
        <f t="shared" si="7"/>
        <v>3</v>
      </c>
      <c r="AH28" s="129">
        <v>3</v>
      </c>
      <c r="AI28" s="129">
        <v>3</v>
      </c>
      <c r="AJ28" s="129">
        <v>3</v>
      </c>
      <c r="AK28" s="118">
        <f t="shared" si="8"/>
        <v>3</v>
      </c>
      <c r="AL28" s="131" t="str">
        <f t="shared" si="9"/>
        <v>Santun dalam bersikap, disiplin dalam mentaati tata tertib madrasah, peduli pada lingkungan, orang tua, bertanggung jawab dalam melaksanakan tugas, baik sebagai individu maupun makhluk sosial</v>
      </c>
    </row>
    <row r="29" spans="1:38" ht="15" customHeight="1">
      <c r="A29" s="107">
        <f>'DATA SISWA'!A27</f>
        <v>23</v>
      </c>
      <c r="B29" s="107" t="str">
        <f>'DATA SISWA'!B27</f>
        <v>7664</v>
      </c>
      <c r="C29" s="116" t="str">
        <f>'DATA SISWA'!C27</f>
        <v>MOHAMMAD RAMADAN PURNOMO</v>
      </c>
      <c r="D29" s="116" t="str">
        <f>'DATA SISWA'!D27</f>
        <v>L</v>
      </c>
      <c r="E29" s="107" t="str">
        <f>'DATA SISWA'!E27</f>
        <v>VII-J</v>
      </c>
      <c r="F29" s="129">
        <v>3</v>
      </c>
      <c r="G29" s="129">
        <v>3</v>
      </c>
      <c r="H29" s="118">
        <f t="shared" si="0"/>
        <v>3</v>
      </c>
      <c r="I29" s="131" t="str">
        <f t="shared" si="1"/>
        <v>Melaksanakan sholat dhuhur berjemaah dan sholatt dhuha, berdo'a di awal di akhir kegiatan pembelajaran , serta melaksanakan kegiatan amaliyah siswa</v>
      </c>
      <c r="J29" s="129">
        <v>3</v>
      </c>
      <c r="K29" s="129">
        <v>3</v>
      </c>
      <c r="L29" s="129">
        <v>3</v>
      </c>
      <c r="M29" s="118">
        <f t="shared" si="2"/>
        <v>3</v>
      </c>
      <c r="N29" s="129">
        <v>3</v>
      </c>
      <c r="O29" s="129">
        <v>3</v>
      </c>
      <c r="P29" s="129">
        <v>3</v>
      </c>
      <c r="Q29" s="118">
        <f t="shared" si="3"/>
        <v>3</v>
      </c>
      <c r="R29" s="129">
        <v>3</v>
      </c>
      <c r="S29" s="129">
        <v>3</v>
      </c>
      <c r="T29" s="129">
        <v>3</v>
      </c>
      <c r="U29" s="118">
        <f t="shared" si="4"/>
        <v>3</v>
      </c>
      <c r="V29" s="129">
        <v>3</v>
      </c>
      <c r="W29" s="129">
        <v>3</v>
      </c>
      <c r="X29" s="129">
        <v>3</v>
      </c>
      <c r="Y29" s="118">
        <f t="shared" si="5"/>
        <v>3</v>
      </c>
      <c r="Z29" s="129">
        <v>3</v>
      </c>
      <c r="AA29" s="129">
        <v>3</v>
      </c>
      <c r="AB29" s="129">
        <v>3</v>
      </c>
      <c r="AC29" s="118">
        <f t="shared" si="6"/>
        <v>3</v>
      </c>
      <c r="AD29" s="129">
        <v>3</v>
      </c>
      <c r="AE29" s="129">
        <v>3</v>
      </c>
      <c r="AF29" s="129">
        <v>3</v>
      </c>
      <c r="AG29" s="118">
        <f t="shared" si="7"/>
        <v>3</v>
      </c>
      <c r="AH29" s="129">
        <v>3</v>
      </c>
      <c r="AI29" s="129">
        <v>3</v>
      </c>
      <c r="AJ29" s="129">
        <v>3</v>
      </c>
      <c r="AK29" s="118">
        <f t="shared" si="8"/>
        <v>3</v>
      </c>
      <c r="AL29" s="131" t="str">
        <f t="shared" si="9"/>
        <v>Santun dalam bersikap, disiplin dalam mentaati tata tertib madrasah, peduli pada lingkungan, orang tua, bertanggung jawab dalam melaksanakan tugas, baik sebagai individu maupun makhluk sosial</v>
      </c>
    </row>
    <row r="30" spans="1:38" ht="15" customHeight="1">
      <c r="A30" s="107">
        <f>'DATA SISWA'!A28</f>
        <v>24</v>
      </c>
      <c r="B30" s="107" t="str">
        <f>'DATA SISWA'!B28</f>
        <v>7665</v>
      </c>
      <c r="C30" s="116" t="str">
        <f>'DATA SISWA'!C28</f>
        <v>MOHAMMAD ROFI'I</v>
      </c>
      <c r="D30" s="116" t="str">
        <f>'DATA SISWA'!D28</f>
        <v>L</v>
      </c>
      <c r="E30" s="107" t="str">
        <f>'DATA SISWA'!E28</f>
        <v>VII-J</v>
      </c>
      <c r="F30" s="129">
        <v>3</v>
      </c>
      <c r="G30" s="129">
        <v>3</v>
      </c>
      <c r="H30" s="118">
        <f t="shared" si="0"/>
        <v>3</v>
      </c>
      <c r="I30" s="131" t="str">
        <f t="shared" si="1"/>
        <v>Melaksanakan sholat dhuhur berjemaah dan sholatt dhuha, berdo'a di awal di akhir kegiatan pembelajaran , serta melaksanakan kegiatan amaliyah siswa</v>
      </c>
      <c r="J30" s="129">
        <v>3</v>
      </c>
      <c r="K30" s="129">
        <v>3</v>
      </c>
      <c r="L30" s="129">
        <v>3</v>
      </c>
      <c r="M30" s="118">
        <f t="shared" si="2"/>
        <v>3</v>
      </c>
      <c r="N30" s="129">
        <v>3</v>
      </c>
      <c r="O30" s="129">
        <v>3</v>
      </c>
      <c r="P30" s="129">
        <v>3</v>
      </c>
      <c r="Q30" s="118">
        <f t="shared" si="3"/>
        <v>3</v>
      </c>
      <c r="R30" s="129">
        <v>3</v>
      </c>
      <c r="S30" s="129">
        <v>3</v>
      </c>
      <c r="T30" s="129">
        <v>3</v>
      </c>
      <c r="U30" s="118">
        <f t="shared" si="4"/>
        <v>3</v>
      </c>
      <c r="V30" s="129">
        <v>3</v>
      </c>
      <c r="W30" s="129">
        <v>3</v>
      </c>
      <c r="X30" s="129">
        <v>3</v>
      </c>
      <c r="Y30" s="118">
        <f t="shared" si="5"/>
        <v>3</v>
      </c>
      <c r="Z30" s="129">
        <v>3</v>
      </c>
      <c r="AA30" s="129">
        <v>3</v>
      </c>
      <c r="AB30" s="129">
        <v>3</v>
      </c>
      <c r="AC30" s="118">
        <f t="shared" si="6"/>
        <v>3</v>
      </c>
      <c r="AD30" s="129">
        <v>3</v>
      </c>
      <c r="AE30" s="129">
        <v>3</v>
      </c>
      <c r="AF30" s="129">
        <v>3</v>
      </c>
      <c r="AG30" s="118">
        <f t="shared" si="7"/>
        <v>3</v>
      </c>
      <c r="AH30" s="129">
        <v>3</v>
      </c>
      <c r="AI30" s="129">
        <v>3</v>
      </c>
      <c r="AJ30" s="129">
        <v>3</v>
      </c>
      <c r="AK30" s="118">
        <f t="shared" si="8"/>
        <v>3</v>
      </c>
      <c r="AL30" s="131" t="str">
        <f t="shared" si="9"/>
        <v>Santun dalam bersikap, disiplin dalam mentaati tata tertib madrasah, peduli pada lingkungan, orang tua, bertanggung jawab dalam melaksanakan tugas, baik sebagai individu maupun makhluk sosial</v>
      </c>
    </row>
    <row r="31" spans="1:38" ht="15" customHeight="1">
      <c r="A31" s="107">
        <f>'DATA SISWA'!A29</f>
        <v>25</v>
      </c>
      <c r="B31" s="107" t="str">
        <f>'DATA SISWA'!B29</f>
        <v>7666</v>
      </c>
      <c r="C31" s="116" t="str">
        <f>'DATA SISWA'!C29</f>
        <v>NI'MATUS SHOLIHA</v>
      </c>
      <c r="D31" s="116" t="str">
        <f>'DATA SISWA'!D29</f>
        <v>P</v>
      </c>
      <c r="E31" s="107" t="str">
        <f>'DATA SISWA'!E29</f>
        <v>VII-J</v>
      </c>
      <c r="F31" s="129">
        <v>3</v>
      </c>
      <c r="G31" s="129">
        <v>3</v>
      </c>
      <c r="H31" s="118">
        <f t="shared" si="0"/>
        <v>3</v>
      </c>
      <c r="I31" s="131" t="str">
        <f t="shared" si="1"/>
        <v>Melaksanakan sholat dhuhur berjemaah dan sholatt dhuha, berdo'a di awal di akhir kegiatan pembelajaran , serta melaksanakan kegiatan amaliyah siswa</v>
      </c>
      <c r="J31" s="129">
        <v>3</v>
      </c>
      <c r="K31" s="129">
        <v>3</v>
      </c>
      <c r="L31" s="129">
        <v>3</v>
      </c>
      <c r="M31" s="118">
        <f t="shared" si="2"/>
        <v>3</v>
      </c>
      <c r="N31" s="129">
        <v>3</v>
      </c>
      <c r="O31" s="129">
        <v>3</v>
      </c>
      <c r="P31" s="129">
        <v>3</v>
      </c>
      <c r="Q31" s="118">
        <f t="shared" si="3"/>
        <v>3</v>
      </c>
      <c r="R31" s="129">
        <v>3</v>
      </c>
      <c r="S31" s="129">
        <v>3</v>
      </c>
      <c r="T31" s="129">
        <v>3</v>
      </c>
      <c r="U31" s="118">
        <f t="shared" si="4"/>
        <v>3</v>
      </c>
      <c r="V31" s="129">
        <v>3</v>
      </c>
      <c r="W31" s="129">
        <v>3</v>
      </c>
      <c r="X31" s="129">
        <v>3</v>
      </c>
      <c r="Y31" s="118">
        <f t="shared" si="5"/>
        <v>3</v>
      </c>
      <c r="Z31" s="129">
        <v>3</v>
      </c>
      <c r="AA31" s="129">
        <v>3</v>
      </c>
      <c r="AB31" s="129">
        <v>3</v>
      </c>
      <c r="AC31" s="118">
        <f t="shared" si="6"/>
        <v>3</v>
      </c>
      <c r="AD31" s="129">
        <v>3</v>
      </c>
      <c r="AE31" s="129">
        <v>3</v>
      </c>
      <c r="AF31" s="129">
        <v>3</v>
      </c>
      <c r="AG31" s="118">
        <f t="shared" si="7"/>
        <v>3</v>
      </c>
      <c r="AH31" s="129">
        <v>3</v>
      </c>
      <c r="AI31" s="129">
        <v>3</v>
      </c>
      <c r="AJ31" s="129">
        <v>3</v>
      </c>
      <c r="AK31" s="118">
        <f t="shared" si="8"/>
        <v>3</v>
      </c>
      <c r="AL31" s="131" t="str">
        <f t="shared" si="9"/>
        <v>Santun dalam bersikap, disiplin dalam mentaati tata tertib madrasah, peduli pada lingkungan, orang tua, bertanggung jawab dalam melaksanakan tugas, baik sebagai individu maupun makhluk sosial</v>
      </c>
    </row>
    <row r="32" spans="1:38" ht="15" customHeight="1">
      <c r="A32" s="107">
        <f>'DATA SISWA'!A30</f>
        <v>26</v>
      </c>
      <c r="B32" s="107" t="str">
        <f>'DATA SISWA'!B30</f>
        <v>7676</v>
      </c>
      <c r="C32" s="116" t="str">
        <f>'DATA SISWA'!C30</f>
        <v>PANJI FIKRI ISLAMI</v>
      </c>
      <c r="D32" s="116" t="str">
        <f>'DATA SISWA'!D30</f>
        <v>L</v>
      </c>
      <c r="E32" s="107" t="str">
        <f>'DATA SISWA'!E30</f>
        <v>VII-J</v>
      </c>
      <c r="F32" s="129">
        <v>3</v>
      </c>
      <c r="G32" s="129">
        <v>3</v>
      </c>
      <c r="H32" s="118">
        <f t="shared" si="0"/>
        <v>3</v>
      </c>
      <c r="I32" s="131" t="str">
        <f t="shared" si="1"/>
        <v>Melaksanakan sholat dhuhur berjemaah dan sholatt dhuha, berdo'a di awal di akhir kegiatan pembelajaran , serta melaksanakan kegiatan amaliyah siswa</v>
      </c>
      <c r="J32" s="129">
        <v>3</v>
      </c>
      <c r="K32" s="129">
        <v>3</v>
      </c>
      <c r="L32" s="129">
        <v>3</v>
      </c>
      <c r="M32" s="118">
        <f t="shared" si="2"/>
        <v>3</v>
      </c>
      <c r="N32" s="129">
        <v>3</v>
      </c>
      <c r="O32" s="129">
        <v>3</v>
      </c>
      <c r="P32" s="129">
        <v>3</v>
      </c>
      <c r="Q32" s="118">
        <f t="shared" si="3"/>
        <v>3</v>
      </c>
      <c r="R32" s="129">
        <v>3</v>
      </c>
      <c r="S32" s="129">
        <v>3</v>
      </c>
      <c r="T32" s="129">
        <v>3</v>
      </c>
      <c r="U32" s="118">
        <f t="shared" si="4"/>
        <v>3</v>
      </c>
      <c r="V32" s="129">
        <v>3</v>
      </c>
      <c r="W32" s="129">
        <v>3</v>
      </c>
      <c r="X32" s="129">
        <v>3</v>
      </c>
      <c r="Y32" s="118">
        <f t="shared" si="5"/>
        <v>3</v>
      </c>
      <c r="Z32" s="129">
        <v>3</v>
      </c>
      <c r="AA32" s="129">
        <v>3</v>
      </c>
      <c r="AB32" s="129">
        <v>3</v>
      </c>
      <c r="AC32" s="118">
        <f t="shared" si="6"/>
        <v>3</v>
      </c>
      <c r="AD32" s="129">
        <v>3</v>
      </c>
      <c r="AE32" s="129">
        <v>3</v>
      </c>
      <c r="AF32" s="129">
        <v>3</v>
      </c>
      <c r="AG32" s="118">
        <f t="shared" si="7"/>
        <v>3</v>
      </c>
      <c r="AH32" s="129">
        <v>3</v>
      </c>
      <c r="AI32" s="129">
        <v>3</v>
      </c>
      <c r="AJ32" s="129">
        <v>3</v>
      </c>
      <c r="AK32" s="118">
        <f t="shared" si="8"/>
        <v>3</v>
      </c>
      <c r="AL32" s="131" t="str">
        <f t="shared" si="9"/>
        <v>Santun dalam bersikap, disiplin dalam mentaati tata tertib madrasah, peduli pada lingkungan, orang tua, bertanggung jawab dalam melaksanakan tugas, baik sebagai individu maupun makhluk sosial</v>
      </c>
    </row>
    <row r="33" spans="1:38" ht="15" customHeight="1">
      <c r="A33" s="107">
        <f>'DATA SISWA'!A31</f>
        <v>27</v>
      </c>
      <c r="B33" s="107" t="str">
        <f>'DATA SISWA'!B31</f>
        <v>7667</v>
      </c>
      <c r="C33" s="116" t="str">
        <f>'DATA SISWA'!C31</f>
        <v>RACMAT MAULIDI ABDANY</v>
      </c>
      <c r="D33" s="116" t="str">
        <f>'DATA SISWA'!D31</f>
        <v>L</v>
      </c>
      <c r="E33" s="107" t="str">
        <f>'DATA SISWA'!E31</f>
        <v>VII-J</v>
      </c>
      <c r="F33" s="129">
        <v>3</v>
      </c>
      <c r="G33" s="129">
        <v>3</v>
      </c>
      <c r="H33" s="118">
        <f t="shared" si="0"/>
        <v>3</v>
      </c>
      <c r="I33" s="131" t="str">
        <f t="shared" si="1"/>
        <v>Melaksanakan sholat dhuhur berjemaah dan sholatt dhuha, berdo'a di awal di akhir kegiatan pembelajaran , serta melaksanakan kegiatan amaliyah siswa</v>
      </c>
      <c r="J33" s="129">
        <v>3</v>
      </c>
      <c r="K33" s="129">
        <v>3</v>
      </c>
      <c r="L33" s="129">
        <v>3</v>
      </c>
      <c r="M33" s="118">
        <f t="shared" si="2"/>
        <v>3</v>
      </c>
      <c r="N33" s="129">
        <v>3</v>
      </c>
      <c r="O33" s="129">
        <v>3</v>
      </c>
      <c r="P33" s="129">
        <v>3</v>
      </c>
      <c r="Q33" s="118">
        <f t="shared" si="3"/>
        <v>3</v>
      </c>
      <c r="R33" s="129">
        <v>3</v>
      </c>
      <c r="S33" s="129">
        <v>3</v>
      </c>
      <c r="T33" s="129">
        <v>3</v>
      </c>
      <c r="U33" s="118">
        <f t="shared" si="4"/>
        <v>3</v>
      </c>
      <c r="V33" s="129">
        <v>3</v>
      </c>
      <c r="W33" s="129">
        <v>3</v>
      </c>
      <c r="X33" s="129">
        <v>3</v>
      </c>
      <c r="Y33" s="118">
        <f t="shared" si="5"/>
        <v>3</v>
      </c>
      <c r="Z33" s="129">
        <v>3</v>
      </c>
      <c r="AA33" s="129">
        <v>3</v>
      </c>
      <c r="AB33" s="129">
        <v>3</v>
      </c>
      <c r="AC33" s="118">
        <f t="shared" si="6"/>
        <v>3</v>
      </c>
      <c r="AD33" s="129">
        <v>3</v>
      </c>
      <c r="AE33" s="129">
        <v>3</v>
      </c>
      <c r="AF33" s="129">
        <v>3</v>
      </c>
      <c r="AG33" s="118">
        <f t="shared" si="7"/>
        <v>3</v>
      </c>
      <c r="AH33" s="129">
        <v>3</v>
      </c>
      <c r="AI33" s="129">
        <v>3</v>
      </c>
      <c r="AJ33" s="129">
        <v>3</v>
      </c>
      <c r="AK33" s="118">
        <f t="shared" si="8"/>
        <v>3</v>
      </c>
      <c r="AL33" s="131" t="str">
        <f t="shared" si="9"/>
        <v>Santun dalam bersikap, disiplin dalam mentaati tata tertib madrasah, peduli pada lingkungan, orang tua, bertanggung jawab dalam melaksanakan tugas, baik sebagai individu maupun makhluk sosial</v>
      </c>
    </row>
    <row r="34" spans="1:38" ht="15" customHeight="1">
      <c r="A34" s="107">
        <f>'DATA SISWA'!A32</f>
        <v>28</v>
      </c>
      <c r="B34" s="107" t="str">
        <f>'DATA SISWA'!B32</f>
        <v>7668</v>
      </c>
      <c r="C34" s="116" t="str">
        <f>'DATA SISWA'!C32</f>
        <v>RAIHAN</v>
      </c>
      <c r="D34" s="116" t="str">
        <f>'DATA SISWA'!D32</f>
        <v>L</v>
      </c>
      <c r="E34" s="107" t="str">
        <f>'DATA SISWA'!E32</f>
        <v>VII-J</v>
      </c>
      <c r="F34" s="129">
        <v>3</v>
      </c>
      <c r="G34" s="129">
        <v>3</v>
      </c>
      <c r="H34" s="118">
        <f t="shared" si="0"/>
        <v>3</v>
      </c>
      <c r="I34" s="131" t="str">
        <f t="shared" si="1"/>
        <v>Melaksanakan sholat dhuhur berjemaah dan sholatt dhuha, berdo'a di awal di akhir kegiatan pembelajaran , serta melaksanakan kegiatan amaliyah siswa</v>
      </c>
      <c r="J34" s="129">
        <v>3</v>
      </c>
      <c r="K34" s="129">
        <v>3</v>
      </c>
      <c r="L34" s="129">
        <v>3</v>
      </c>
      <c r="M34" s="118">
        <f t="shared" si="2"/>
        <v>3</v>
      </c>
      <c r="N34" s="129">
        <v>3</v>
      </c>
      <c r="O34" s="129">
        <v>3</v>
      </c>
      <c r="P34" s="129">
        <v>3</v>
      </c>
      <c r="Q34" s="118">
        <f t="shared" si="3"/>
        <v>3</v>
      </c>
      <c r="R34" s="129">
        <v>3</v>
      </c>
      <c r="S34" s="129">
        <v>3</v>
      </c>
      <c r="T34" s="129">
        <v>3</v>
      </c>
      <c r="U34" s="118">
        <f t="shared" si="4"/>
        <v>3</v>
      </c>
      <c r="V34" s="129">
        <v>3</v>
      </c>
      <c r="W34" s="129">
        <v>3</v>
      </c>
      <c r="X34" s="129">
        <v>3</v>
      </c>
      <c r="Y34" s="118">
        <f t="shared" si="5"/>
        <v>3</v>
      </c>
      <c r="Z34" s="129">
        <v>3</v>
      </c>
      <c r="AA34" s="129">
        <v>3</v>
      </c>
      <c r="AB34" s="129">
        <v>3</v>
      </c>
      <c r="AC34" s="118">
        <f t="shared" si="6"/>
        <v>3</v>
      </c>
      <c r="AD34" s="129">
        <v>3</v>
      </c>
      <c r="AE34" s="129">
        <v>3</v>
      </c>
      <c r="AF34" s="129">
        <v>3</v>
      </c>
      <c r="AG34" s="118">
        <f t="shared" si="7"/>
        <v>3</v>
      </c>
      <c r="AH34" s="129">
        <v>3</v>
      </c>
      <c r="AI34" s="129">
        <v>3</v>
      </c>
      <c r="AJ34" s="129">
        <v>3</v>
      </c>
      <c r="AK34" s="118">
        <f t="shared" si="8"/>
        <v>3</v>
      </c>
      <c r="AL34" s="131" t="str">
        <f t="shared" si="9"/>
        <v>Santun dalam bersikap, disiplin dalam mentaati tata tertib madrasah, peduli pada lingkungan, orang tua, bertanggung jawab dalam melaksanakan tugas, baik sebagai individu maupun makhluk sosial</v>
      </c>
    </row>
    <row r="35" spans="1:38" ht="15" customHeight="1">
      <c r="A35" s="107">
        <f>'DATA SISWA'!A33</f>
        <v>29</v>
      </c>
      <c r="B35" s="107" t="str">
        <f>'DATA SISWA'!B33</f>
        <v>7669</v>
      </c>
      <c r="C35" s="116" t="str">
        <f>'DATA SISWA'!C33</f>
        <v>REFITA ANNASTASYA</v>
      </c>
      <c r="D35" s="116" t="str">
        <f>'DATA SISWA'!D33</f>
        <v>P</v>
      </c>
      <c r="E35" s="107" t="str">
        <f>'DATA SISWA'!E33</f>
        <v>VII-J</v>
      </c>
      <c r="F35" s="129">
        <v>3</v>
      </c>
      <c r="G35" s="129">
        <v>3</v>
      </c>
      <c r="H35" s="118">
        <f t="shared" si="0"/>
        <v>3</v>
      </c>
      <c r="I35" s="131" t="str">
        <f t="shared" si="1"/>
        <v>Melaksanakan sholat dhuhur berjemaah dan sholatt dhuha, berdo'a di awal di akhir kegiatan pembelajaran , serta melaksanakan kegiatan amaliyah siswa</v>
      </c>
      <c r="J35" s="129">
        <v>3</v>
      </c>
      <c r="K35" s="129">
        <v>3</v>
      </c>
      <c r="L35" s="129">
        <v>3</v>
      </c>
      <c r="M35" s="118">
        <f t="shared" si="2"/>
        <v>3</v>
      </c>
      <c r="N35" s="129">
        <v>3</v>
      </c>
      <c r="O35" s="129">
        <v>3</v>
      </c>
      <c r="P35" s="129">
        <v>3</v>
      </c>
      <c r="Q35" s="118">
        <f t="shared" si="3"/>
        <v>3</v>
      </c>
      <c r="R35" s="129">
        <v>3</v>
      </c>
      <c r="S35" s="129">
        <v>3</v>
      </c>
      <c r="T35" s="129">
        <v>3</v>
      </c>
      <c r="U35" s="118">
        <f t="shared" si="4"/>
        <v>3</v>
      </c>
      <c r="V35" s="129">
        <v>3</v>
      </c>
      <c r="W35" s="129">
        <v>3</v>
      </c>
      <c r="X35" s="129">
        <v>3</v>
      </c>
      <c r="Y35" s="118">
        <f t="shared" si="5"/>
        <v>3</v>
      </c>
      <c r="Z35" s="129">
        <v>3</v>
      </c>
      <c r="AA35" s="129">
        <v>3</v>
      </c>
      <c r="AB35" s="129">
        <v>3</v>
      </c>
      <c r="AC35" s="118">
        <f t="shared" si="6"/>
        <v>3</v>
      </c>
      <c r="AD35" s="129">
        <v>3</v>
      </c>
      <c r="AE35" s="129">
        <v>3</v>
      </c>
      <c r="AF35" s="129">
        <v>3</v>
      </c>
      <c r="AG35" s="118">
        <f t="shared" si="7"/>
        <v>3</v>
      </c>
      <c r="AH35" s="129">
        <v>3</v>
      </c>
      <c r="AI35" s="129">
        <v>3</v>
      </c>
      <c r="AJ35" s="129">
        <v>3</v>
      </c>
      <c r="AK35" s="118">
        <f t="shared" si="8"/>
        <v>3</v>
      </c>
      <c r="AL35" s="131" t="str">
        <f t="shared" si="9"/>
        <v>Santun dalam bersikap, disiplin dalam mentaati tata tertib madrasah, peduli pada lingkungan, orang tua, bertanggung jawab dalam melaksanakan tugas, baik sebagai individu maupun makhluk sosial</v>
      </c>
    </row>
    <row r="36" spans="1:38" ht="15" customHeight="1">
      <c r="A36" s="107">
        <f>'DATA SISWA'!A34</f>
        <v>30</v>
      </c>
      <c r="B36" s="107" t="str">
        <f>'DATA SISWA'!B34</f>
        <v>7670</v>
      </c>
      <c r="C36" s="116" t="str">
        <f>'DATA SISWA'!C34</f>
        <v>RISKIYAH</v>
      </c>
      <c r="D36" s="116" t="str">
        <f>'DATA SISWA'!D34</f>
        <v>P</v>
      </c>
      <c r="E36" s="107" t="str">
        <f>'DATA SISWA'!E34</f>
        <v>VII-J</v>
      </c>
      <c r="F36" s="129">
        <v>3</v>
      </c>
      <c r="G36" s="129">
        <v>3</v>
      </c>
      <c r="H36" s="118">
        <f t="shared" si="0"/>
        <v>3</v>
      </c>
      <c r="I36" s="131" t="str">
        <f t="shared" si="1"/>
        <v>Melaksanakan sholat dhuhur berjemaah dan sholatt dhuha, berdo'a di awal di akhir kegiatan pembelajaran , serta melaksanakan kegiatan amaliyah siswa</v>
      </c>
      <c r="J36" s="129">
        <v>3</v>
      </c>
      <c r="K36" s="129">
        <v>3</v>
      </c>
      <c r="L36" s="129">
        <v>3</v>
      </c>
      <c r="M36" s="118">
        <f t="shared" si="2"/>
        <v>3</v>
      </c>
      <c r="N36" s="129">
        <v>3</v>
      </c>
      <c r="O36" s="129">
        <v>3</v>
      </c>
      <c r="P36" s="129">
        <v>3</v>
      </c>
      <c r="Q36" s="118">
        <f t="shared" si="3"/>
        <v>3</v>
      </c>
      <c r="R36" s="129">
        <v>3</v>
      </c>
      <c r="S36" s="129">
        <v>3</v>
      </c>
      <c r="T36" s="129">
        <v>3</v>
      </c>
      <c r="U36" s="118">
        <f t="shared" si="4"/>
        <v>3</v>
      </c>
      <c r="V36" s="129">
        <v>3</v>
      </c>
      <c r="W36" s="129">
        <v>3</v>
      </c>
      <c r="X36" s="129">
        <v>3</v>
      </c>
      <c r="Y36" s="118">
        <f t="shared" si="5"/>
        <v>3</v>
      </c>
      <c r="Z36" s="129">
        <v>3</v>
      </c>
      <c r="AA36" s="129">
        <v>3</v>
      </c>
      <c r="AB36" s="129">
        <v>3</v>
      </c>
      <c r="AC36" s="118">
        <f t="shared" si="6"/>
        <v>3</v>
      </c>
      <c r="AD36" s="129">
        <v>3</v>
      </c>
      <c r="AE36" s="129">
        <v>3</v>
      </c>
      <c r="AF36" s="129">
        <v>3</v>
      </c>
      <c r="AG36" s="118">
        <f t="shared" si="7"/>
        <v>3</v>
      </c>
      <c r="AH36" s="129">
        <v>3</v>
      </c>
      <c r="AI36" s="129">
        <v>3</v>
      </c>
      <c r="AJ36" s="129">
        <v>3</v>
      </c>
      <c r="AK36" s="118">
        <f t="shared" si="8"/>
        <v>3</v>
      </c>
      <c r="AL36" s="131" t="str">
        <f t="shared" si="9"/>
        <v>Santun dalam bersikap, disiplin dalam mentaati tata tertib madrasah, peduli pada lingkungan, orang tua, bertanggung jawab dalam melaksanakan tugas, baik sebagai individu maupun makhluk sosial</v>
      </c>
    </row>
    <row r="37" spans="1:38" ht="15" customHeight="1">
      <c r="A37" s="107">
        <f>'DATA SISWA'!A35</f>
        <v>31</v>
      </c>
      <c r="B37" s="107" t="str">
        <f>'DATA SISWA'!B35</f>
        <v>7671</v>
      </c>
      <c r="C37" s="116" t="str">
        <f>'DATA SISWA'!C35</f>
        <v>SALILATUL HUSNA</v>
      </c>
      <c r="D37" s="116" t="str">
        <f>'DATA SISWA'!D35</f>
        <v>P</v>
      </c>
      <c r="E37" s="107" t="str">
        <f>'DATA SISWA'!E35</f>
        <v>VII-J</v>
      </c>
      <c r="F37" s="129">
        <v>3</v>
      </c>
      <c r="G37" s="129">
        <v>3</v>
      </c>
      <c r="H37" s="118">
        <f t="shared" si="0"/>
        <v>3</v>
      </c>
      <c r="I37" s="131" t="str">
        <f t="shared" si="1"/>
        <v>Melaksanakan sholat dhuhur berjemaah dan sholatt dhuha, berdo'a di awal di akhir kegiatan pembelajaran , serta melaksanakan kegiatan amaliyah siswa</v>
      </c>
      <c r="J37" s="129">
        <v>3</v>
      </c>
      <c r="K37" s="129">
        <v>3</v>
      </c>
      <c r="L37" s="129">
        <v>3</v>
      </c>
      <c r="M37" s="118">
        <f t="shared" si="2"/>
        <v>3</v>
      </c>
      <c r="N37" s="129">
        <v>3</v>
      </c>
      <c r="O37" s="129">
        <v>3</v>
      </c>
      <c r="P37" s="129">
        <v>3</v>
      </c>
      <c r="Q37" s="118">
        <f t="shared" si="3"/>
        <v>3</v>
      </c>
      <c r="R37" s="129">
        <v>3</v>
      </c>
      <c r="S37" s="129">
        <v>3</v>
      </c>
      <c r="T37" s="129">
        <v>3</v>
      </c>
      <c r="U37" s="118">
        <f t="shared" si="4"/>
        <v>3</v>
      </c>
      <c r="V37" s="129">
        <v>3</v>
      </c>
      <c r="W37" s="129">
        <v>3</v>
      </c>
      <c r="X37" s="129">
        <v>3</v>
      </c>
      <c r="Y37" s="118">
        <f t="shared" si="5"/>
        <v>3</v>
      </c>
      <c r="Z37" s="129">
        <v>3</v>
      </c>
      <c r="AA37" s="129">
        <v>3</v>
      </c>
      <c r="AB37" s="129">
        <v>3</v>
      </c>
      <c r="AC37" s="118">
        <f t="shared" si="6"/>
        <v>3</v>
      </c>
      <c r="AD37" s="129">
        <v>3</v>
      </c>
      <c r="AE37" s="129">
        <v>3</v>
      </c>
      <c r="AF37" s="129">
        <v>3</v>
      </c>
      <c r="AG37" s="118">
        <f t="shared" si="7"/>
        <v>3</v>
      </c>
      <c r="AH37" s="129">
        <v>3</v>
      </c>
      <c r="AI37" s="129">
        <v>3</v>
      </c>
      <c r="AJ37" s="129">
        <v>3</v>
      </c>
      <c r="AK37" s="118">
        <f t="shared" si="8"/>
        <v>3</v>
      </c>
      <c r="AL37" s="131" t="str">
        <f t="shared" si="9"/>
        <v>Santun dalam bersikap, disiplin dalam mentaati tata tertib madrasah, peduli pada lingkungan, orang tua, bertanggung jawab dalam melaksanakan tugas, baik sebagai individu maupun makhluk sosial</v>
      </c>
    </row>
    <row r="38" spans="1:38" ht="15" customHeight="1">
      <c r="A38" s="107">
        <f>'DATA SISWA'!A36</f>
        <v>32</v>
      </c>
      <c r="B38" s="107" t="str">
        <f>'DATA SISWA'!B36</f>
        <v>7672</v>
      </c>
      <c r="C38" s="116" t="str">
        <f>'DATA SISWA'!C36</f>
        <v>SALMA NABILA</v>
      </c>
      <c r="D38" s="116" t="str">
        <f>'DATA SISWA'!D36</f>
        <v>P</v>
      </c>
      <c r="E38" s="107" t="str">
        <f>'DATA SISWA'!E36</f>
        <v>VII-J</v>
      </c>
      <c r="F38" s="129">
        <v>3</v>
      </c>
      <c r="G38" s="129">
        <v>3</v>
      </c>
      <c r="H38" s="118">
        <f t="shared" si="0"/>
        <v>3</v>
      </c>
      <c r="I38" s="131" t="str">
        <f t="shared" si="1"/>
        <v>Melaksanakan sholat dhuhur berjemaah dan sholatt dhuha, berdo'a di awal di akhir kegiatan pembelajaran , serta melaksanakan kegiatan amaliyah siswa</v>
      </c>
      <c r="J38" s="129">
        <v>3</v>
      </c>
      <c r="K38" s="129">
        <v>3</v>
      </c>
      <c r="L38" s="129">
        <v>3</v>
      </c>
      <c r="M38" s="118">
        <f t="shared" si="2"/>
        <v>3</v>
      </c>
      <c r="N38" s="129">
        <v>3</v>
      </c>
      <c r="O38" s="129">
        <v>3</v>
      </c>
      <c r="P38" s="129">
        <v>3</v>
      </c>
      <c r="Q38" s="118">
        <f t="shared" si="3"/>
        <v>3</v>
      </c>
      <c r="R38" s="129">
        <v>3</v>
      </c>
      <c r="S38" s="129">
        <v>3</v>
      </c>
      <c r="T38" s="129">
        <v>3</v>
      </c>
      <c r="U38" s="118">
        <f t="shared" si="4"/>
        <v>3</v>
      </c>
      <c r="V38" s="129">
        <v>3</v>
      </c>
      <c r="W38" s="129">
        <v>3</v>
      </c>
      <c r="X38" s="129">
        <v>3</v>
      </c>
      <c r="Y38" s="118">
        <f t="shared" si="5"/>
        <v>3</v>
      </c>
      <c r="Z38" s="129">
        <v>3</v>
      </c>
      <c r="AA38" s="129">
        <v>3</v>
      </c>
      <c r="AB38" s="129">
        <v>3</v>
      </c>
      <c r="AC38" s="118">
        <f t="shared" si="6"/>
        <v>3</v>
      </c>
      <c r="AD38" s="129">
        <v>3</v>
      </c>
      <c r="AE38" s="129">
        <v>3</v>
      </c>
      <c r="AF38" s="129">
        <v>3</v>
      </c>
      <c r="AG38" s="118">
        <f t="shared" si="7"/>
        <v>3</v>
      </c>
      <c r="AH38" s="129">
        <v>3</v>
      </c>
      <c r="AI38" s="129">
        <v>3</v>
      </c>
      <c r="AJ38" s="129">
        <v>3</v>
      </c>
      <c r="AK38" s="118">
        <f t="shared" si="8"/>
        <v>3</v>
      </c>
      <c r="AL38" s="131" t="str">
        <f t="shared" si="9"/>
        <v>Santun dalam bersikap, disiplin dalam mentaati tata tertib madrasah, peduli pada lingkungan, orang tua, bertanggung jawab dalam melaksanakan tugas, baik sebagai individu maupun makhluk sosial</v>
      </c>
    </row>
    <row r="39" spans="1:38" ht="15" customHeight="1">
      <c r="A39" s="107">
        <f>'DATA SISWA'!A37</f>
        <v>33</v>
      </c>
      <c r="B39" s="107" t="str">
        <f>'DATA SISWA'!B37</f>
        <v>7673</v>
      </c>
      <c r="C39" s="116" t="str">
        <f>'DATA SISWA'!C37</f>
        <v>SITI AINUR ROHIMAH</v>
      </c>
      <c r="D39" s="116" t="str">
        <f>'DATA SISWA'!D37</f>
        <v>P</v>
      </c>
      <c r="E39" s="107" t="str">
        <f>'DATA SISWA'!E37</f>
        <v>VII-J</v>
      </c>
      <c r="F39" s="129">
        <v>3</v>
      </c>
      <c r="G39" s="129">
        <v>3</v>
      </c>
      <c r="H39" s="118">
        <f t="shared" si="0"/>
        <v>3</v>
      </c>
      <c r="I39" s="131" t="str">
        <f t="shared" si="1"/>
        <v>Melaksanakan sholat dhuhur berjemaah dan sholatt dhuha, berdo'a di awal di akhir kegiatan pembelajaran , serta melaksanakan kegiatan amaliyah siswa</v>
      </c>
      <c r="J39" s="129">
        <v>3</v>
      </c>
      <c r="K39" s="129">
        <v>3</v>
      </c>
      <c r="L39" s="129">
        <v>3</v>
      </c>
      <c r="M39" s="118">
        <f t="shared" si="2"/>
        <v>3</v>
      </c>
      <c r="N39" s="129">
        <v>3</v>
      </c>
      <c r="O39" s="129">
        <v>3</v>
      </c>
      <c r="P39" s="129">
        <v>3</v>
      </c>
      <c r="Q39" s="118">
        <f t="shared" si="3"/>
        <v>3</v>
      </c>
      <c r="R39" s="129">
        <v>3</v>
      </c>
      <c r="S39" s="129">
        <v>3</v>
      </c>
      <c r="T39" s="129">
        <v>3</v>
      </c>
      <c r="U39" s="118">
        <f t="shared" si="4"/>
        <v>3</v>
      </c>
      <c r="V39" s="129">
        <v>3</v>
      </c>
      <c r="W39" s="129">
        <v>3</v>
      </c>
      <c r="X39" s="129">
        <v>3</v>
      </c>
      <c r="Y39" s="118">
        <f t="shared" si="5"/>
        <v>3</v>
      </c>
      <c r="Z39" s="129">
        <v>3</v>
      </c>
      <c r="AA39" s="129">
        <v>3</v>
      </c>
      <c r="AB39" s="129">
        <v>3</v>
      </c>
      <c r="AC39" s="118">
        <f t="shared" si="6"/>
        <v>3</v>
      </c>
      <c r="AD39" s="129">
        <v>3</v>
      </c>
      <c r="AE39" s="129">
        <v>3</v>
      </c>
      <c r="AF39" s="129">
        <v>3</v>
      </c>
      <c r="AG39" s="118">
        <f t="shared" si="7"/>
        <v>3</v>
      </c>
      <c r="AH39" s="129">
        <v>3</v>
      </c>
      <c r="AI39" s="129">
        <v>3</v>
      </c>
      <c r="AJ39" s="129">
        <v>3</v>
      </c>
      <c r="AK39" s="118">
        <f t="shared" si="8"/>
        <v>3</v>
      </c>
      <c r="AL39" s="131" t="str">
        <f t="shared" si="9"/>
        <v>Santun dalam bersikap, disiplin dalam mentaati tata tertib madrasah, peduli pada lingkungan, orang tua, bertanggung jawab dalam melaksanakan tugas, baik sebagai individu maupun makhluk sosial</v>
      </c>
    </row>
    <row r="40" spans="1:38" ht="15" customHeight="1">
      <c r="A40" s="107">
        <f>'DATA SISWA'!A38</f>
        <v>34</v>
      </c>
      <c r="B40" s="107" t="str">
        <f>'DATA SISWA'!B38</f>
        <v>7675</v>
      </c>
      <c r="C40" s="116" t="str">
        <f>'DATA SISWA'!C38</f>
        <v>SYARIF HIDAYATULLOH</v>
      </c>
      <c r="D40" s="116" t="str">
        <f>'DATA SISWA'!D38</f>
        <v>L</v>
      </c>
      <c r="E40" s="107" t="str">
        <f>'DATA SISWA'!E38</f>
        <v>VII-J</v>
      </c>
      <c r="F40" s="129">
        <v>3</v>
      </c>
      <c r="G40" s="129">
        <v>3</v>
      </c>
      <c r="H40" s="118">
        <f t="shared" si="0"/>
        <v>3</v>
      </c>
      <c r="I40" s="131" t="str">
        <f t="shared" si="1"/>
        <v>Melaksanakan sholat dhuhur berjemaah dan sholatt dhuha, berdo'a di awal di akhir kegiatan pembelajaran , serta melaksanakan kegiatan amaliyah siswa</v>
      </c>
      <c r="J40" s="129">
        <v>3</v>
      </c>
      <c r="K40" s="129">
        <v>3</v>
      </c>
      <c r="L40" s="129">
        <v>3</v>
      </c>
      <c r="M40" s="118">
        <f t="shared" si="2"/>
        <v>3</v>
      </c>
      <c r="N40" s="129">
        <v>3</v>
      </c>
      <c r="O40" s="129">
        <v>3</v>
      </c>
      <c r="P40" s="129">
        <v>3</v>
      </c>
      <c r="Q40" s="118">
        <f t="shared" si="3"/>
        <v>3</v>
      </c>
      <c r="R40" s="129">
        <v>3</v>
      </c>
      <c r="S40" s="129">
        <v>3</v>
      </c>
      <c r="T40" s="129">
        <v>3</v>
      </c>
      <c r="U40" s="118">
        <f t="shared" si="4"/>
        <v>3</v>
      </c>
      <c r="V40" s="129">
        <v>3</v>
      </c>
      <c r="W40" s="129">
        <v>3</v>
      </c>
      <c r="X40" s="129">
        <v>3</v>
      </c>
      <c r="Y40" s="118">
        <f t="shared" si="5"/>
        <v>3</v>
      </c>
      <c r="Z40" s="129">
        <v>3</v>
      </c>
      <c r="AA40" s="129">
        <v>3</v>
      </c>
      <c r="AB40" s="129">
        <v>3</v>
      </c>
      <c r="AC40" s="118">
        <f t="shared" si="6"/>
        <v>3</v>
      </c>
      <c r="AD40" s="129">
        <v>3</v>
      </c>
      <c r="AE40" s="129">
        <v>3</v>
      </c>
      <c r="AF40" s="129">
        <v>3</v>
      </c>
      <c r="AG40" s="118">
        <f t="shared" si="7"/>
        <v>3</v>
      </c>
      <c r="AH40" s="129">
        <v>3</v>
      </c>
      <c r="AI40" s="129">
        <v>3</v>
      </c>
      <c r="AJ40" s="129">
        <v>3</v>
      </c>
      <c r="AK40" s="118">
        <f t="shared" si="8"/>
        <v>3</v>
      </c>
      <c r="AL40" s="131" t="str">
        <f t="shared" si="9"/>
        <v>Santun dalam bersikap, disiplin dalam mentaati tata tertib madrasah, peduli pada lingkungan, orang tua, bertanggung jawab dalam melaksanakan tugas, baik sebagai individu maupun makhluk sosial</v>
      </c>
    </row>
    <row r="41" spans="1:38" ht="15" customHeight="1">
      <c r="A41" s="107">
        <f>'DATA SISWA'!A39</f>
        <v>35</v>
      </c>
      <c r="B41" s="107" t="str">
        <f>'DATA SISWA'!B39</f>
        <v>7444</v>
      </c>
      <c r="C41" s="116" t="str">
        <f>'DATA SISWA'!C39</f>
        <v>URVIA ZAHNA ROHANDY</v>
      </c>
      <c r="D41" s="116" t="str">
        <f>'DATA SISWA'!D39</f>
        <v>P</v>
      </c>
      <c r="E41" s="107" t="str">
        <f>'DATA SISWA'!E39</f>
        <v>VII-J</v>
      </c>
      <c r="F41" s="129">
        <v>3</v>
      </c>
      <c r="G41" s="129">
        <v>3</v>
      </c>
      <c r="H41" s="118">
        <f t="shared" si="0"/>
        <v>3</v>
      </c>
      <c r="I41" s="131" t="str">
        <f t="shared" si="1"/>
        <v>Melaksanakan sholat dhuhur berjemaah dan sholatt dhuha, berdo'a di awal di akhir kegiatan pembelajaran , serta melaksanakan kegiatan amaliyah siswa</v>
      </c>
      <c r="J41" s="129">
        <v>3</v>
      </c>
      <c r="K41" s="129">
        <v>3</v>
      </c>
      <c r="L41" s="129">
        <v>3</v>
      </c>
      <c r="M41" s="118">
        <f t="shared" si="2"/>
        <v>3</v>
      </c>
      <c r="N41" s="129">
        <v>3</v>
      </c>
      <c r="O41" s="129">
        <v>3</v>
      </c>
      <c r="P41" s="129">
        <v>3</v>
      </c>
      <c r="Q41" s="118">
        <f t="shared" si="3"/>
        <v>3</v>
      </c>
      <c r="R41" s="129">
        <v>3</v>
      </c>
      <c r="S41" s="129">
        <v>3</v>
      </c>
      <c r="T41" s="129">
        <v>3</v>
      </c>
      <c r="U41" s="118">
        <f t="shared" si="4"/>
        <v>3</v>
      </c>
      <c r="V41" s="129">
        <v>3</v>
      </c>
      <c r="W41" s="129">
        <v>3</v>
      </c>
      <c r="X41" s="129">
        <v>3</v>
      </c>
      <c r="Y41" s="118">
        <f t="shared" si="5"/>
        <v>3</v>
      </c>
      <c r="Z41" s="129">
        <v>3</v>
      </c>
      <c r="AA41" s="129">
        <v>3</v>
      </c>
      <c r="AB41" s="129">
        <v>3</v>
      </c>
      <c r="AC41" s="118">
        <f t="shared" si="6"/>
        <v>3</v>
      </c>
      <c r="AD41" s="129">
        <v>3</v>
      </c>
      <c r="AE41" s="129">
        <v>3</v>
      </c>
      <c r="AF41" s="129">
        <v>3</v>
      </c>
      <c r="AG41" s="118">
        <f t="shared" si="7"/>
        <v>3</v>
      </c>
      <c r="AH41" s="129">
        <v>3</v>
      </c>
      <c r="AI41" s="129">
        <v>3</v>
      </c>
      <c r="AJ41" s="129">
        <v>3</v>
      </c>
      <c r="AK41" s="118">
        <f t="shared" si="8"/>
        <v>3</v>
      </c>
      <c r="AL41" s="131" t="str">
        <f t="shared" si="9"/>
        <v>Santun dalam bersikap, disiplin dalam mentaati tata tertib madrasah, peduli pada lingkungan, orang tua, bertanggung jawab dalam melaksanakan tugas, baik sebagai individu maupun makhluk sosial</v>
      </c>
    </row>
    <row r="42" spans="1:38" ht="15" customHeight="1">
      <c r="A42" s="107">
        <f>'DATA SISWA'!A40</f>
        <v>36</v>
      </c>
      <c r="B42" s="107">
        <f>'DATA SISWA'!B40</f>
        <v>0</v>
      </c>
      <c r="C42" s="116">
        <f>'DATA SISWA'!C40</f>
        <v>0</v>
      </c>
      <c r="D42" s="116">
        <f>'DATA SISWA'!D40</f>
        <v>0</v>
      </c>
      <c r="E42" s="107" t="str">
        <f>'DATA SISWA'!E40</f>
        <v>VII-J</v>
      </c>
      <c r="F42" s="129"/>
      <c r="G42" s="129"/>
      <c r="H42" s="118" t="str">
        <f t="shared" si="0"/>
        <v/>
      </c>
      <c r="I42" s="131" t="str">
        <f t="shared" si="1"/>
        <v/>
      </c>
      <c r="J42" s="129"/>
      <c r="K42" s="129"/>
      <c r="L42" s="129"/>
      <c r="M42" s="118" t="str">
        <f t="shared" si="2"/>
        <v/>
      </c>
      <c r="N42" s="129"/>
      <c r="O42" s="129"/>
      <c r="P42" s="129"/>
      <c r="Q42" s="118" t="str">
        <f t="shared" si="3"/>
        <v/>
      </c>
      <c r="R42" s="129"/>
      <c r="S42" s="129"/>
      <c r="T42" s="129"/>
      <c r="U42" s="118" t="str">
        <f t="shared" si="4"/>
        <v/>
      </c>
      <c r="V42" s="129"/>
      <c r="W42" s="129"/>
      <c r="X42" s="129"/>
      <c r="Y42" s="118" t="str">
        <f t="shared" si="5"/>
        <v/>
      </c>
      <c r="Z42" s="129"/>
      <c r="AA42" s="129"/>
      <c r="AB42" s="129"/>
      <c r="AC42" s="118" t="str">
        <f t="shared" si="6"/>
        <v/>
      </c>
      <c r="AD42" s="129"/>
      <c r="AE42" s="129"/>
      <c r="AF42" s="129"/>
      <c r="AG42" s="118" t="str">
        <f t="shared" si="7"/>
        <v/>
      </c>
      <c r="AH42" s="129"/>
      <c r="AI42" s="129"/>
      <c r="AJ42" s="129"/>
      <c r="AK42" s="118" t="str">
        <f t="shared" si="8"/>
        <v/>
      </c>
      <c r="AL42" s="131" t="str">
        <f t="shared" si="9"/>
        <v/>
      </c>
    </row>
    <row r="43" spans="1:38" ht="15" customHeight="1">
      <c r="A43" s="107">
        <f>'DATA SISWA'!A41</f>
        <v>37</v>
      </c>
      <c r="B43" s="107">
        <f>'DATA SISWA'!B41</f>
        <v>0</v>
      </c>
      <c r="C43" s="116">
        <f>'DATA SISWA'!C41</f>
        <v>0</v>
      </c>
      <c r="D43" s="116">
        <f>'DATA SISWA'!D41</f>
        <v>0</v>
      </c>
      <c r="E43" s="107" t="str">
        <f>'DATA SISWA'!E41</f>
        <v>VII-J</v>
      </c>
      <c r="F43" s="129"/>
      <c r="G43" s="129"/>
      <c r="H43" s="118" t="str">
        <f t="shared" si="0"/>
        <v/>
      </c>
      <c r="I43" s="131" t="str">
        <f t="shared" si="1"/>
        <v/>
      </c>
      <c r="J43" s="129"/>
      <c r="K43" s="129"/>
      <c r="L43" s="129"/>
      <c r="M43" s="118" t="str">
        <f t="shared" si="2"/>
        <v/>
      </c>
      <c r="N43" s="129"/>
      <c r="O43" s="129"/>
      <c r="P43" s="129"/>
      <c r="Q43" s="118" t="str">
        <f t="shared" si="3"/>
        <v/>
      </c>
      <c r="R43" s="129"/>
      <c r="S43" s="129"/>
      <c r="T43" s="129"/>
      <c r="U43" s="118" t="str">
        <f t="shared" si="4"/>
        <v/>
      </c>
      <c r="V43" s="129"/>
      <c r="W43" s="129"/>
      <c r="X43" s="129"/>
      <c r="Y43" s="118" t="str">
        <f t="shared" si="5"/>
        <v/>
      </c>
      <c r="Z43" s="129"/>
      <c r="AA43" s="129"/>
      <c r="AB43" s="129"/>
      <c r="AC43" s="118" t="str">
        <f t="shared" si="6"/>
        <v/>
      </c>
      <c r="AD43" s="129"/>
      <c r="AE43" s="129"/>
      <c r="AF43" s="129"/>
      <c r="AG43" s="118" t="str">
        <f t="shared" si="7"/>
        <v/>
      </c>
      <c r="AH43" s="129"/>
      <c r="AI43" s="129"/>
      <c r="AJ43" s="129"/>
      <c r="AK43" s="118" t="str">
        <f t="shared" si="8"/>
        <v/>
      </c>
      <c r="AL43" s="131" t="str">
        <f t="shared" si="9"/>
        <v/>
      </c>
    </row>
    <row r="44" spans="1:38" ht="15" customHeight="1">
      <c r="A44" s="107">
        <f>'DATA SISWA'!A42</f>
        <v>38</v>
      </c>
      <c r="B44" s="107">
        <f>'DATA SISWA'!B42</f>
        <v>0</v>
      </c>
      <c r="C44" s="116">
        <f>'DATA SISWA'!C42</f>
        <v>0</v>
      </c>
      <c r="D44" s="116">
        <f>'DATA SISWA'!D42</f>
        <v>0</v>
      </c>
      <c r="E44" s="107" t="str">
        <f>'DATA SISWA'!E42</f>
        <v>VII-J</v>
      </c>
      <c r="F44" s="129"/>
      <c r="G44" s="129"/>
      <c r="H44" s="118" t="str">
        <f t="shared" si="0"/>
        <v/>
      </c>
      <c r="I44" s="131" t="str">
        <f t="shared" si="1"/>
        <v/>
      </c>
      <c r="J44" s="129"/>
      <c r="K44" s="129"/>
      <c r="L44" s="129"/>
      <c r="M44" s="118" t="str">
        <f t="shared" si="2"/>
        <v/>
      </c>
      <c r="N44" s="129"/>
      <c r="O44" s="129"/>
      <c r="P44" s="129"/>
      <c r="Q44" s="118" t="str">
        <f t="shared" si="3"/>
        <v/>
      </c>
      <c r="R44" s="129"/>
      <c r="S44" s="129"/>
      <c r="T44" s="129"/>
      <c r="U44" s="118" t="str">
        <f t="shared" si="4"/>
        <v/>
      </c>
      <c r="V44" s="129"/>
      <c r="W44" s="129"/>
      <c r="X44" s="129"/>
      <c r="Y44" s="118" t="str">
        <f t="shared" si="5"/>
        <v/>
      </c>
      <c r="Z44" s="129"/>
      <c r="AA44" s="129"/>
      <c r="AB44" s="129"/>
      <c r="AC44" s="118" t="str">
        <f t="shared" si="6"/>
        <v/>
      </c>
      <c r="AD44" s="129"/>
      <c r="AE44" s="129"/>
      <c r="AF44" s="129"/>
      <c r="AG44" s="118" t="str">
        <f t="shared" si="7"/>
        <v/>
      </c>
      <c r="AH44" s="129"/>
      <c r="AI44" s="129"/>
      <c r="AJ44" s="129"/>
      <c r="AK44" s="118" t="str">
        <f t="shared" si="8"/>
        <v/>
      </c>
      <c r="AL44" s="131" t="str">
        <f t="shared" si="9"/>
        <v/>
      </c>
    </row>
    <row r="45" spans="1:38" ht="15" customHeight="1">
      <c r="A45" s="107">
        <f>'DATA SISWA'!A43</f>
        <v>39</v>
      </c>
      <c r="B45" s="107">
        <f>'DATA SISWA'!B43</f>
        <v>0</v>
      </c>
      <c r="C45" s="116">
        <f>'DATA SISWA'!C43</f>
        <v>0</v>
      </c>
      <c r="D45" s="116">
        <f>'DATA SISWA'!D43</f>
        <v>0</v>
      </c>
      <c r="E45" s="107" t="str">
        <f>'DATA SISWA'!E43</f>
        <v>VII-J</v>
      </c>
      <c r="F45" s="129"/>
      <c r="G45" s="129"/>
      <c r="H45" s="118" t="str">
        <f t="shared" si="0"/>
        <v/>
      </c>
      <c r="I45" s="131" t="str">
        <f t="shared" si="1"/>
        <v/>
      </c>
      <c r="J45" s="129"/>
      <c r="K45" s="129"/>
      <c r="L45" s="129"/>
      <c r="M45" s="118" t="str">
        <f t="shared" si="2"/>
        <v/>
      </c>
      <c r="N45" s="129"/>
      <c r="O45" s="129"/>
      <c r="P45" s="129"/>
      <c r="Q45" s="118" t="str">
        <f t="shared" si="3"/>
        <v/>
      </c>
      <c r="R45" s="129"/>
      <c r="S45" s="129"/>
      <c r="T45" s="129"/>
      <c r="U45" s="118" t="str">
        <f t="shared" si="4"/>
        <v/>
      </c>
      <c r="V45" s="129"/>
      <c r="W45" s="129"/>
      <c r="X45" s="129"/>
      <c r="Y45" s="118" t="str">
        <f t="shared" si="5"/>
        <v/>
      </c>
      <c r="Z45" s="129"/>
      <c r="AA45" s="129"/>
      <c r="AB45" s="129"/>
      <c r="AC45" s="118" t="str">
        <f t="shared" si="6"/>
        <v/>
      </c>
      <c r="AD45" s="129"/>
      <c r="AE45" s="129"/>
      <c r="AF45" s="129"/>
      <c r="AG45" s="118" t="str">
        <f t="shared" si="7"/>
        <v/>
      </c>
      <c r="AH45" s="129"/>
      <c r="AI45" s="129"/>
      <c r="AJ45" s="129"/>
      <c r="AK45" s="118" t="str">
        <f t="shared" si="8"/>
        <v/>
      </c>
      <c r="AL45" s="131" t="str">
        <f t="shared" si="9"/>
        <v/>
      </c>
    </row>
    <row r="46" spans="1:38" ht="15" customHeight="1">
      <c r="A46" s="107">
        <f>'DATA SISWA'!A44</f>
        <v>40</v>
      </c>
      <c r="B46" s="107">
        <f>'DATA SISWA'!B44</f>
        <v>0</v>
      </c>
      <c r="C46" s="116">
        <f>'DATA SISWA'!C44</f>
        <v>0</v>
      </c>
      <c r="D46" s="116">
        <f>'DATA SISWA'!D44</f>
        <v>0</v>
      </c>
      <c r="E46" s="107" t="str">
        <f>'DATA SISWA'!E44</f>
        <v>VII-J</v>
      </c>
      <c r="F46" s="129"/>
      <c r="G46" s="129"/>
      <c r="H46" s="118" t="str">
        <f t="shared" si="0"/>
        <v/>
      </c>
      <c r="I46" s="131" t="str">
        <f t="shared" si="1"/>
        <v/>
      </c>
      <c r="J46" s="129"/>
      <c r="K46" s="129"/>
      <c r="L46" s="129"/>
      <c r="M46" s="118" t="str">
        <f t="shared" si="2"/>
        <v/>
      </c>
      <c r="N46" s="129"/>
      <c r="O46" s="129"/>
      <c r="P46" s="129"/>
      <c r="Q46" s="118" t="str">
        <f t="shared" si="3"/>
        <v/>
      </c>
      <c r="R46" s="129"/>
      <c r="S46" s="129"/>
      <c r="T46" s="129"/>
      <c r="U46" s="118" t="str">
        <f t="shared" si="4"/>
        <v/>
      </c>
      <c r="V46" s="129"/>
      <c r="W46" s="129"/>
      <c r="X46" s="129"/>
      <c r="Y46" s="118" t="str">
        <f t="shared" si="5"/>
        <v/>
      </c>
      <c r="Z46" s="129"/>
      <c r="AA46" s="129"/>
      <c r="AB46" s="129"/>
      <c r="AC46" s="118" t="str">
        <f t="shared" si="6"/>
        <v/>
      </c>
      <c r="AD46" s="129"/>
      <c r="AE46" s="129"/>
      <c r="AF46" s="129"/>
      <c r="AG46" s="118" t="str">
        <f t="shared" si="7"/>
        <v/>
      </c>
      <c r="AH46" s="129"/>
      <c r="AI46" s="129"/>
      <c r="AJ46" s="129"/>
      <c r="AK46" s="118" t="str">
        <f t="shared" si="8"/>
        <v/>
      </c>
      <c r="AL46" s="131" t="str">
        <f t="shared" si="9"/>
        <v/>
      </c>
    </row>
    <row r="47" spans="1:38" ht="15" customHeight="1">
      <c r="A47" s="107">
        <f>'DATA SISWA'!A45</f>
        <v>41</v>
      </c>
      <c r="B47" s="107">
        <f>'DATA SISWA'!B45</f>
        <v>0</v>
      </c>
      <c r="C47" s="116">
        <f>'DATA SISWA'!C45</f>
        <v>0</v>
      </c>
      <c r="D47" s="116">
        <f>'DATA SISWA'!D45</f>
        <v>0</v>
      </c>
      <c r="E47" s="107" t="str">
        <f>'DATA SISWA'!E45</f>
        <v>VII-J</v>
      </c>
      <c r="F47" s="129"/>
      <c r="G47" s="129"/>
      <c r="H47" s="118" t="str">
        <f t="shared" si="0"/>
        <v/>
      </c>
      <c r="I47" s="131" t="str">
        <f t="shared" si="1"/>
        <v/>
      </c>
      <c r="J47" s="129"/>
      <c r="K47" s="129"/>
      <c r="L47" s="129"/>
      <c r="M47" s="118" t="str">
        <f t="shared" si="2"/>
        <v/>
      </c>
      <c r="N47" s="129"/>
      <c r="O47" s="129"/>
      <c r="P47" s="129"/>
      <c r="Q47" s="118" t="str">
        <f t="shared" si="3"/>
        <v/>
      </c>
      <c r="R47" s="129"/>
      <c r="S47" s="129"/>
      <c r="T47" s="129"/>
      <c r="U47" s="118" t="str">
        <f t="shared" si="4"/>
        <v/>
      </c>
      <c r="V47" s="129"/>
      <c r="W47" s="129"/>
      <c r="X47" s="129"/>
      <c r="Y47" s="118" t="str">
        <f t="shared" si="5"/>
        <v/>
      </c>
      <c r="Z47" s="129"/>
      <c r="AA47" s="129"/>
      <c r="AB47" s="129"/>
      <c r="AC47" s="118" t="str">
        <f t="shared" si="6"/>
        <v/>
      </c>
      <c r="AD47" s="129"/>
      <c r="AE47" s="129"/>
      <c r="AF47" s="129"/>
      <c r="AG47" s="118" t="str">
        <f t="shared" si="7"/>
        <v/>
      </c>
      <c r="AH47" s="129"/>
      <c r="AI47" s="129"/>
      <c r="AJ47" s="129"/>
      <c r="AK47" s="118" t="str">
        <f t="shared" si="8"/>
        <v/>
      </c>
      <c r="AL47" s="131" t="str">
        <f t="shared" si="9"/>
        <v/>
      </c>
    </row>
    <row r="48" spans="1:38" ht="15" customHeight="1">
      <c r="A48" s="107">
        <f>'DATA SISWA'!A46</f>
        <v>42</v>
      </c>
      <c r="B48" s="107">
        <f>'DATA SISWA'!B46</f>
        <v>0</v>
      </c>
      <c r="C48" s="116">
        <f>'DATA SISWA'!C46</f>
        <v>0</v>
      </c>
      <c r="D48" s="116">
        <f>'DATA SISWA'!D46</f>
        <v>0</v>
      </c>
      <c r="E48" s="107" t="str">
        <f>'DATA SISWA'!E46</f>
        <v>VII-J</v>
      </c>
      <c r="F48" s="129"/>
      <c r="G48" s="129"/>
      <c r="H48" s="118" t="str">
        <f t="shared" si="0"/>
        <v/>
      </c>
      <c r="I48" s="131" t="str">
        <f t="shared" si="1"/>
        <v/>
      </c>
      <c r="J48" s="129"/>
      <c r="K48" s="129"/>
      <c r="L48" s="129"/>
      <c r="M48" s="118" t="str">
        <f t="shared" si="2"/>
        <v/>
      </c>
      <c r="N48" s="129"/>
      <c r="O48" s="129"/>
      <c r="P48" s="129"/>
      <c r="Q48" s="118" t="str">
        <f t="shared" si="3"/>
        <v/>
      </c>
      <c r="R48" s="129"/>
      <c r="S48" s="129"/>
      <c r="T48" s="129"/>
      <c r="U48" s="118" t="str">
        <f t="shared" si="4"/>
        <v/>
      </c>
      <c r="V48" s="129"/>
      <c r="W48" s="129"/>
      <c r="X48" s="129"/>
      <c r="Y48" s="118" t="str">
        <f t="shared" si="5"/>
        <v/>
      </c>
      <c r="Z48" s="129"/>
      <c r="AA48" s="129"/>
      <c r="AB48" s="129"/>
      <c r="AC48" s="118" t="str">
        <f t="shared" si="6"/>
        <v/>
      </c>
      <c r="AD48" s="129"/>
      <c r="AE48" s="129"/>
      <c r="AF48" s="129"/>
      <c r="AG48" s="118" t="str">
        <f t="shared" si="7"/>
        <v/>
      </c>
      <c r="AH48" s="129"/>
      <c r="AI48" s="129"/>
      <c r="AJ48" s="129"/>
      <c r="AK48" s="118" t="str">
        <f t="shared" si="8"/>
        <v/>
      </c>
      <c r="AL48" s="131" t="str">
        <f t="shared" si="9"/>
        <v/>
      </c>
    </row>
    <row r="49" spans="1:38" ht="15" customHeight="1">
      <c r="A49" s="107">
        <f>'DATA SISWA'!A47</f>
        <v>43</v>
      </c>
      <c r="B49" s="107">
        <f>'DATA SISWA'!B47</f>
        <v>0</v>
      </c>
      <c r="C49" s="116">
        <f>'DATA SISWA'!C47</f>
        <v>0</v>
      </c>
      <c r="D49" s="116">
        <f>'DATA SISWA'!D47</f>
        <v>0</v>
      </c>
      <c r="E49" s="107" t="str">
        <f>'DATA SISWA'!E47</f>
        <v>VII-J</v>
      </c>
      <c r="F49" s="129"/>
      <c r="G49" s="129"/>
      <c r="H49" s="118" t="str">
        <f t="shared" si="0"/>
        <v/>
      </c>
      <c r="I49" s="131" t="str">
        <f t="shared" si="1"/>
        <v/>
      </c>
      <c r="J49" s="129"/>
      <c r="K49" s="129"/>
      <c r="L49" s="129"/>
      <c r="M49" s="118" t="str">
        <f t="shared" si="2"/>
        <v/>
      </c>
      <c r="N49" s="129"/>
      <c r="O49" s="129"/>
      <c r="P49" s="129"/>
      <c r="Q49" s="118" t="str">
        <f t="shared" si="3"/>
        <v/>
      </c>
      <c r="R49" s="129"/>
      <c r="S49" s="129"/>
      <c r="T49" s="129"/>
      <c r="U49" s="118" t="str">
        <f t="shared" si="4"/>
        <v/>
      </c>
      <c r="V49" s="129"/>
      <c r="W49" s="129"/>
      <c r="X49" s="129"/>
      <c r="Y49" s="118" t="str">
        <f t="shared" si="5"/>
        <v/>
      </c>
      <c r="Z49" s="129"/>
      <c r="AA49" s="129"/>
      <c r="AB49" s="129"/>
      <c r="AC49" s="118" t="str">
        <f t="shared" si="6"/>
        <v/>
      </c>
      <c r="AD49" s="129"/>
      <c r="AE49" s="129"/>
      <c r="AF49" s="129"/>
      <c r="AG49" s="118" t="str">
        <f t="shared" si="7"/>
        <v/>
      </c>
      <c r="AH49" s="129"/>
      <c r="AI49" s="129"/>
      <c r="AJ49" s="129"/>
      <c r="AK49" s="118" t="str">
        <f t="shared" si="8"/>
        <v/>
      </c>
      <c r="AL49" s="131" t="str">
        <f t="shared" si="9"/>
        <v/>
      </c>
    </row>
    <row r="50" spans="1:38" ht="15" customHeight="1">
      <c r="A50" s="107">
        <f>'DATA SISWA'!A48</f>
        <v>44</v>
      </c>
      <c r="B50" s="107">
        <f>'DATA SISWA'!B48</f>
        <v>0</v>
      </c>
      <c r="C50" s="116">
        <f>'DATA SISWA'!C48</f>
        <v>0</v>
      </c>
      <c r="D50" s="116">
        <f>'DATA SISWA'!D48</f>
        <v>0</v>
      </c>
      <c r="E50" s="107" t="str">
        <f>'DATA SISWA'!E48</f>
        <v>VII-J</v>
      </c>
      <c r="F50" s="129"/>
      <c r="G50" s="129"/>
      <c r="H50" s="118" t="str">
        <f t="shared" si="0"/>
        <v/>
      </c>
      <c r="I50" s="131" t="str">
        <f t="shared" si="1"/>
        <v/>
      </c>
      <c r="J50" s="129"/>
      <c r="K50" s="129"/>
      <c r="L50" s="129"/>
      <c r="M50" s="118" t="str">
        <f t="shared" si="2"/>
        <v/>
      </c>
      <c r="N50" s="129"/>
      <c r="O50" s="129"/>
      <c r="P50" s="129"/>
      <c r="Q50" s="118" t="str">
        <f t="shared" si="3"/>
        <v/>
      </c>
      <c r="R50" s="129"/>
      <c r="S50" s="129"/>
      <c r="T50" s="129"/>
      <c r="U50" s="118" t="str">
        <f t="shared" si="4"/>
        <v/>
      </c>
      <c r="V50" s="129"/>
      <c r="W50" s="129"/>
      <c r="X50" s="129"/>
      <c r="Y50" s="118" t="str">
        <f t="shared" si="5"/>
        <v/>
      </c>
      <c r="Z50" s="129"/>
      <c r="AA50" s="129"/>
      <c r="AB50" s="129"/>
      <c r="AC50" s="118" t="str">
        <f t="shared" si="6"/>
        <v/>
      </c>
      <c r="AD50" s="129"/>
      <c r="AE50" s="129"/>
      <c r="AF50" s="129"/>
      <c r="AG50" s="118" t="str">
        <f t="shared" si="7"/>
        <v/>
      </c>
      <c r="AH50" s="129"/>
      <c r="AI50" s="129"/>
      <c r="AJ50" s="129"/>
      <c r="AK50" s="118" t="str">
        <f t="shared" si="8"/>
        <v/>
      </c>
      <c r="AL50" s="131" t="str">
        <f t="shared" si="9"/>
        <v/>
      </c>
    </row>
    <row r="51" spans="1:38" ht="15" customHeight="1">
      <c r="A51" s="107">
        <f>'DATA SISWA'!A49</f>
        <v>45</v>
      </c>
      <c r="B51" s="107">
        <f>'DATA SISWA'!B49</f>
        <v>0</v>
      </c>
      <c r="C51" s="116">
        <f>'DATA SISWA'!C49</f>
        <v>0</v>
      </c>
      <c r="D51" s="116">
        <f>'DATA SISWA'!D49</f>
        <v>0</v>
      </c>
      <c r="E51" s="107" t="str">
        <f>'DATA SISWA'!E49</f>
        <v>VII-J</v>
      </c>
      <c r="F51" s="129"/>
      <c r="G51" s="129"/>
      <c r="H51" s="118" t="str">
        <f t="shared" si="0"/>
        <v/>
      </c>
      <c r="I51" s="131" t="str">
        <f t="shared" si="1"/>
        <v/>
      </c>
      <c r="J51" s="129"/>
      <c r="K51" s="129"/>
      <c r="L51" s="129"/>
      <c r="M51" s="118" t="str">
        <f t="shared" si="2"/>
        <v/>
      </c>
      <c r="N51" s="129"/>
      <c r="O51" s="129"/>
      <c r="P51" s="129"/>
      <c r="Q51" s="118" t="str">
        <f t="shared" si="3"/>
        <v/>
      </c>
      <c r="R51" s="129"/>
      <c r="S51" s="129"/>
      <c r="T51" s="129"/>
      <c r="U51" s="118" t="str">
        <f t="shared" si="4"/>
        <v/>
      </c>
      <c r="V51" s="129"/>
      <c r="W51" s="129"/>
      <c r="X51" s="129"/>
      <c r="Y51" s="118" t="str">
        <f t="shared" si="5"/>
        <v/>
      </c>
      <c r="Z51" s="129"/>
      <c r="AA51" s="129"/>
      <c r="AB51" s="129"/>
      <c r="AC51" s="118" t="str">
        <f t="shared" si="6"/>
        <v/>
      </c>
      <c r="AD51" s="129"/>
      <c r="AE51" s="129"/>
      <c r="AF51" s="129"/>
      <c r="AG51" s="118" t="str">
        <f t="shared" si="7"/>
        <v/>
      </c>
      <c r="AH51" s="129"/>
      <c r="AI51" s="129"/>
      <c r="AJ51" s="129"/>
      <c r="AK51" s="118" t="str">
        <f t="shared" si="8"/>
        <v/>
      </c>
      <c r="AL51" s="131" t="str">
        <f t="shared" si="9"/>
        <v/>
      </c>
    </row>
    <row r="52" spans="1:38" ht="15" customHeight="1">
      <c r="A52" s="107">
        <f>'DATA SISWA'!A50</f>
        <v>46</v>
      </c>
      <c r="B52" s="107">
        <f>'DATA SISWA'!B50</f>
        <v>0</v>
      </c>
      <c r="C52" s="116">
        <f>'DATA SISWA'!C50</f>
        <v>0</v>
      </c>
      <c r="D52" s="116">
        <f>'DATA SISWA'!D50</f>
        <v>0</v>
      </c>
      <c r="E52" s="107" t="str">
        <f>'DATA SISWA'!E50</f>
        <v>VII-J</v>
      </c>
      <c r="F52" s="129"/>
      <c r="G52" s="129"/>
      <c r="H52" s="118" t="str">
        <f t="shared" si="0"/>
        <v/>
      </c>
      <c r="I52" s="131" t="str">
        <f t="shared" si="1"/>
        <v/>
      </c>
      <c r="J52" s="129"/>
      <c r="K52" s="129"/>
      <c r="L52" s="129"/>
      <c r="M52" s="118" t="str">
        <f t="shared" si="2"/>
        <v/>
      </c>
      <c r="N52" s="129"/>
      <c r="O52" s="129"/>
      <c r="P52" s="129"/>
      <c r="Q52" s="118" t="str">
        <f t="shared" si="3"/>
        <v/>
      </c>
      <c r="R52" s="129"/>
      <c r="S52" s="129"/>
      <c r="T52" s="129"/>
      <c r="U52" s="118" t="str">
        <f t="shared" si="4"/>
        <v/>
      </c>
      <c r="V52" s="129"/>
      <c r="W52" s="129"/>
      <c r="X52" s="129"/>
      <c r="Y52" s="118" t="str">
        <f t="shared" si="5"/>
        <v/>
      </c>
      <c r="Z52" s="129"/>
      <c r="AA52" s="129"/>
      <c r="AB52" s="129"/>
      <c r="AC52" s="118" t="str">
        <f t="shared" si="6"/>
        <v/>
      </c>
      <c r="AD52" s="129"/>
      <c r="AE52" s="129"/>
      <c r="AF52" s="129"/>
      <c r="AG52" s="118" t="str">
        <f t="shared" si="7"/>
        <v/>
      </c>
      <c r="AH52" s="129"/>
      <c r="AI52" s="129"/>
      <c r="AJ52" s="129"/>
      <c r="AK52" s="118" t="str">
        <f t="shared" si="8"/>
        <v/>
      </c>
      <c r="AL52" s="131" t="str">
        <f t="shared" si="9"/>
        <v/>
      </c>
    </row>
    <row r="53" spans="1:38" ht="15" customHeight="1">
      <c r="A53" s="107">
        <f>'DATA SISWA'!A51</f>
        <v>47</v>
      </c>
      <c r="B53" s="107">
        <f>'DATA SISWA'!B51</f>
        <v>0</v>
      </c>
      <c r="C53" s="116">
        <f>'DATA SISWA'!C51</f>
        <v>0</v>
      </c>
      <c r="D53" s="116">
        <f>'DATA SISWA'!D51</f>
        <v>0</v>
      </c>
      <c r="E53" s="107" t="str">
        <f>'DATA SISWA'!E51</f>
        <v>VII-J</v>
      </c>
      <c r="F53" s="129"/>
      <c r="G53" s="129"/>
      <c r="H53" s="118" t="str">
        <f t="shared" si="0"/>
        <v/>
      </c>
      <c r="I53" s="131" t="str">
        <f t="shared" si="1"/>
        <v/>
      </c>
      <c r="J53" s="129"/>
      <c r="K53" s="129"/>
      <c r="L53" s="129"/>
      <c r="M53" s="118" t="str">
        <f t="shared" si="2"/>
        <v/>
      </c>
      <c r="N53" s="129"/>
      <c r="O53" s="129"/>
      <c r="P53" s="129"/>
      <c r="Q53" s="118" t="str">
        <f t="shared" si="3"/>
        <v/>
      </c>
      <c r="R53" s="129"/>
      <c r="S53" s="129"/>
      <c r="T53" s="129"/>
      <c r="U53" s="118" t="str">
        <f t="shared" si="4"/>
        <v/>
      </c>
      <c r="V53" s="129"/>
      <c r="W53" s="129"/>
      <c r="X53" s="129"/>
      <c r="Y53" s="118" t="str">
        <f t="shared" si="5"/>
        <v/>
      </c>
      <c r="Z53" s="129"/>
      <c r="AA53" s="129"/>
      <c r="AB53" s="129"/>
      <c r="AC53" s="118" t="str">
        <f t="shared" si="6"/>
        <v/>
      </c>
      <c r="AD53" s="129"/>
      <c r="AE53" s="129"/>
      <c r="AF53" s="129"/>
      <c r="AG53" s="118" t="str">
        <f t="shared" si="7"/>
        <v/>
      </c>
      <c r="AH53" s="129"/>
      <c r="AI53" s="129"/>
      <c r="AJ53" s="129"/>
      <c r="AK53" s="118" t="str">
        <f t="shared" si="8"/>
        <v/>
      </c>
      <c r="AL53" s="131" t="str">
        <f t="shared" si="9"/>
        <v/>
      </c>
    </row>
    <row r="54" spans="1:38" ht="15" customHeight="1">
      <c r="A54" s="107">
        <f>'DATA SISWA'!A52</f>
        <v>48</v>
      </c>
      <c r="B54" s="107">
        <f>'DATA SISWA'!B52</f>
        <v>0</v>
      </c>
      <c r="C54" s="116">
        <f>'DATA SISWA'!C52</f>
        <v>0</v>
      </c>
      <c r="D54" s="116">
        <f>'DATA SISWA'!D52</f>
        <v>0</v>
      </c>
      <c r="E54" s="107" t="str">
        <f>'DATA SISWA'!E52</f>
        <v>VII-J</v>
      </c>
      <c r="F54" s="129"/>
      <c r="G54" s="129"/>
      <c r="H54" s="118" t="str">
        <f t="shared" si="0"/>
        <v/>
      </c>
      <c r="I54" s="131" t="str">
        <f t="shared" si="1"/>
        <v/>
      </c>
      <c r="J54" s="129"/>
      <c r="K54" s="129"/>
      <c r="L54" s="129"/>
      <c r="M54" s="118" t="str">
        <f t="shared" si="2"/>
        <v/>
      </c>
      <c r="N54" s="129"/>
      <c r="O54" s="129"/>
      <c r="P54" s="129"/>
      <c r="Q54" s="118" t="str">
        <f t="shared" si="3"/>
        <v/>
      </c>
      <c r="R54" s="129"/>
      <c r="S54" s="129"/>
      <c r="T54" s="129"/>
      <c r="U54" s="118" t="str">
        <f t="shared" si="4"/>
        <v/>
      </c>
      <c r="V54" s="129"/>
      <c r="W54" s="129"/>
      <c r="X54" s="129"/>
      <c r="Y54" s="118" t="str">
        <f t="shared" si="5"/>
        <v/>
      </c>
      <c r="Z54" s="129"/>
      <c r="AA54" s="129"/>
      <c r="AB54" s="129"/>
      <c r="AC54" s="118" t="str">
        <f t="shared" si="6"/>
        <v/>
      </c>
      <c r="AD54" s="129"/>
      <c r="AE54" s="129"/>
      <c r="AF54" s="129"/>
      <c r="AG54" s="118" t="str">
        <f t="shared" si="7"/>
        <v/>
      </c>
      <c r="AH54" s="129"/>
      <c r="AI54" s="129"/>
      <c r="AJ54" s="129"/>
      <c r="AK54" s="118" t="str">
        <f t="shared" si="8"/>
        <v/>
      </c>
      <c r="AL54" s="131" t="str">
        <f t="shared" si="9"/>
        <v/>
      </c>
    </row>
  </sheetData>
  <sheetProtection password="CD5A" sheet="1" objects="1" scenarios="1" formatCells="0" formatColumns="0" formatRows="0" insertColumns="0" insertRows="0" insertHyperlinks="0" deleteColumns="0" deleteRows="0" sort="0" autoFilter="0"/>
  <mergeCells count="25">
    <mergeCell ref="F1:I2"/>
    <mergeCell ref="J1:AJ2"/>
    <mergeCell ref="R3:T4"/>
    <mergeCell ref="AL3:AL5"/>
    <mergeCell ref="AD3:AF4"/>
    <mergeCell ref="AG3:AG5"/>
    <mergeCell ref="AC3:AC5"/>
    <mergeCell ref="AK3:AK5"/>
    <mergeCell ref="Q3:Q5"/>
    <mergeCell ref="N3:P4"/>
    <mergeCell ref="AH3:AJ4"/>
    <mergeCell ref="Z3:AB4"/>
    <mergeCell ref="F3:G4"/>
    <mergeCell ref="U3:U5"/>
    <mergeCell ref="H3:H5"/>
    <mergeCell ref="I3:I5"/>
    <mergeCell ref="V3:X4"/>
    <mergeCell ref="Y3:Y5"/>
    <mergeCell ref="J3:L4"/>
    <mergeCell ref="M3:M5"/>
    <mergeCell ref="A3:A5"/>
    <mergeCell ref="B3:B5"/>
    <mergeCell ref="C3:C5"/>
    <mergeCell ref="D3:D5"/>
    <mergeCell ref="E3:E5"/>
  </mergeCells>
  <dataValidations count="1">
    <dataValidation type="whole" allowBlank="1" showInputMessage="1" showErrorMessage="1" errorTitle="SALAH" error="NILAI SING OLEH DILEBOKNO 1- 4" promptTitle="NILAI" prompt="1-4" sqref="F7:G54 J7:L54 N7:P54 R7:T54 V7:X54 Z7:AB54 AD7:AF54 AH7:AJ54">
      <formula1>1</formula1>
      <formula2>4</formula2>
    </dataValidation>
  </dataValidations>
  <pageMargins left="0.7" right="0.7" top="0.75" bottom="0.75" header="0.3" footer="0.3"/>
  <pageSetup paperSize="9" orientation="portrait" horizontalDpi="300" verticalDpi="300" r:id="rId1"/>
  <drawing r:id="rId2"/>
</worksheet>
</file>

<file path=xl/worksheets/sheet22.xml><?xml version="1.0" encoding="utf-8"?>
<worksheet xmlns="http://schemas.openxmlformats.org/spreadsheetml/2006/main" xmlns:r="http://schemas.openxmlformats.org/officeDocument/2006/relationships">
  <sheetPr codeName="Sheet22"/>
  <dimension ref="A1:AY54"/>
  <sheetViews>
    <sheetView workbookViewId="0"/>
  </sheetViews>
  <sheetFormatPr defaultRowHeight="15" customHeight="1"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7" t="s">
        <v>237</v>
      </c>
      <c r="B1" s="158"/>
      <c r="C1" s="158"/>
      <c r="D1" s="176" t="e">
        <f>#REF!</f>
        <v>#REF!</v>
      </c>
      <c r="E1" s="176" t="e">
        <f>#REF!</f>
        <v>#REF!</v>
      </c>
      <c r="F1" s="176" t="e">
        <f>#REF!</f>
        <v>#REF!</v>
      </c>
      <c r="G1" s="176" t="e">
        <f>#REF!</f>
        <v>#REF!</v>
      </c>
      <c r="H1" s="176" t="e">
        <f>#REF!</f>
        <v>#REF!</v>
      </c>
      <c r="I1" s="176" t="e">
        <f>#REF!</f>
        <v>#REF!</v>
      </c>
      <c r="J1" s="176" t="e">
        <f>#REF!</f>
        <v>#REF!</v>
      </c>
      <c r="K1" s="176" t="e">
        <f>#REF!</f>
        <v>#REF!</v>
      </c>
      <c r="L1" s="176" t="e">
        <f>#REF!</f>
        <v>#REF!</v>
      </c>
      <c r="M1" s="176" t="e">
        <f>#REF!</f>
        <v>#REF!</v>
      </c>
      <c r="N1" s="176" t="e">
        <f>#REF!</f>
        <v>#REF!</v>
      </c>
      <c r="O1" s="176" t="e">
        <f>#REF!</f>
        <v>#REF!</v>
      </c>
      <c r="P1" s="176" t="e">
        <f>#REF!</f>
        <v>#REF!</v>
      </c>
      <c r="Q1" s="176" t="e">
        <f>#REF!</f>
        <v>#REF!</v>
      </c>
      <c r="R1" s="176" t="e">
        <f>#REF!</f>
        <v>#REF!</v>
      </c>
      <c r="S1" s="176" t="e">
        <f>#REF!</f>
        <v>#REF!</v>
      </c>
      <c r="T1" s="176" t="e">
        <f>#REF!</f>
        <v>#REF!</v>
      </c>
      <c r="U1" s="176" t="e">
        <f>#REF!</f>
        <v>#REF!</v>
      </c>
      <c r="V1" s="176" t="e">
        <f>#REF!</f>
        <v>#REF!</v>
      </c>
      <c r="W1" s="176" t="e">
        <f>#REF!</f>
        <v>#REF!</v>
      </c>
      <c r="X1" s="176" t="e">
        <f>#REF!</f>
        <v>#REF!</v>
      </c>
      <c r="Y1" s="176" t="e">
        <f>#REF!</f>
        <v>#REF!</v>
      </c>
      <c r="Z1" s="176" t="e">
        <f>#REF!</f>
        <v>#REF!</v>
      </c>
      <c r="AA1" s="176" t="e">
        <f>#REF!</f>
        <v>#REF!</v>
      </c>
      <c r="AB1" s="176" t="e">
        <f>#REF!</f>
        <v>#REF!</v>
      </c>
      <c r="AC1" s="176" t="e">
        <f>#REF!</f>
        <v>#REF!</v>
      </c>
      <c r="AD1" s="176" t="e">
        <f>#REF!</f>
        <v>#REF!</v>
      </c>
      <c r="AE1" s="176" t="e">
        <f>#REF!</f>
        <v>#REF!</v>
      </c>
      <c r="AF1" s="176" t="e">
        <f>#REF!</f>
        <v>#REF!</v>
      </c>
      <c r="AG1" s="176" t="e">
        <f>#REF!</f>
        <v>#REF!</v>
      </c>
      <c r="AH1" s="176" t="e">
        <f>#REF!</f>
        <v>#REF!</v>
      </c>
      <c r="AI1" s="176" t="e">
        <f>#REF!</f>
        <v>#REF!</v>
      </c>
      <c r="AJ1" s="176" t="e">
        <f>#REF!</f>
        <v>#REF!</v>
      </c>
      <c r="AK1" s="176" t="e">
        <f>#REF!</f>
        <v>#REF!</v>
      </c>
      <c r="AL1" s="176" t="e">
        <f>#REF!</f>
        <v>#REF!</v>
      </c>
      <c r="AM1" s="176" t="e">
        <f>#REF!</f>
        <v>#REF!</v>
      </c>
      <c r="AN1" s="176" t="e">
        <f>#REF!</f>
        <v>#REF!</v>
      </c>
      <c r="AO1" s="176" t="e">
        <f>#REF!</f>
        <v>#REF!</v>
      </c>
      <c r="AP1" s="176" t="e">
        <f>#REF!</f>
        <v>#REF!</v>
      </c>
      <c r="AQ1" s="176" t="e">
        <f>#REF!</f>
        <v>#REF!</v>
      </c>
      <c r="AR1" s="176" t="e">
        <f>#REF!</f>
        <v>#REF!</v>
      </c>
      <c r="AS1" s="176" t="e">
        <f>#REF!</f>
        <v>#REF!</v>
      </c>
      <c r="AT1" s="176" t="e">
        <f>#REF!</f>
        <v>#REF!</v>
      </c>
      <c r="AU1" s="176" t="e">
        <f>#REF!</f>
        <v>#REF!</v>
      </c>
      <c r="AV1" s="176" t="e">
        <f>#REF!</f>
        <v>#REF!</v>
      </c>
      <c r="AW1" s="176" t="e">
        <f>#REF!</f>
        <v>#REF!</v>
      </c>
      <c r="AX1" s="176" t="e">
        <f>#REF!</f>
        <v>#REF!</v>
      </c>
      <c r="AY1" s="176" t="e">
        <f>#REF!</f>
        <v>#REF!</v>
      </c>
    </row>
    <row r="2" spans="1:51" ht="15.75" thickBot="1">
      <c r="A2" s="161" t="s">
        <v>14</v>
      </c>
      <c r="B2" s="161" t="s">
        <v>34</v>
      </c>
      <c r="C2" s="161" t="s">
        <v>114</v>
      </c>
      <c r="D2" s="162"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row>
    <row r="3" spans="1:51" ht="15.75" thickTop="1">
      <c r="A3" s="619" t="s">
        <v>207</v>
      </c>
      <c r="B3" s="173" t="s">
        <v>208</v>
      </c>
      <c r="C3" s="174" t="s">
        <v>209</v>
      </c>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row>
    <row r="4" spans="1:51">
      <c r="A4" s="617"/>
      <c r="B4" s="164" t="s">
        <v>210</v>
      </c>
      <c r="C4" s="165" t="s">
        <v>211</v>
      </c>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row>
    <row r="5" spans="1:51">
      <c r="A5" s="617"/>
      <c r="B5" s="164" t="s">
        <v>212</v>
      </c>
      <c r="C5" s="165" t="s">
        <v>213</v>
      </c>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row>
    <row r="6" spans="1:51">
      <c r="A6" s="617"/>
      <c r="B6" s="164" t="s">
        <v>214</v>
      </c>
      <c r="C6" s="165" t="s">
        <v>215</v>
      </c>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row>
    <row r="7" spans="1:51">
      <c r="A7" s="617"/>
      <c r="B7" s="164" t="s">
        <v>216</v>
      </c>
      <c r="C7" s="165" t="s">
        <v>217</v>
      </c>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row>
    <row r="8" spans="1:51">
      <c r="A8" s="617"/>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row>
    <row r="9" spans="1:51">
      <c r="A9" s="618" t="s">
        <v>8</v>
      </c>
      <c r="B9" s="164" t="s">
        <v>149</v>
      </c>
      <c r="C9" s="165" t="s">
        <v>150</v>
      </c>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row>
    <row r="10" spans="1:51">
      <c r="A10" s="618"/>
      <c r="B10" s="164" t="s">
        <v>151</v>
      </c>
      <c r="C10" s="165" t="s">
        <v>152</v>
      </c>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row>
    <row r="11" spans="1:51">
      <c r="A11" s="618"/>
      <c r="B11" s="164" t="s">
        <v>153</v>
      </c>
      <c r="C11" s="165" t="s">
        <v>154</v>
      </c>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row>
    <row r="12" spans="1:51">
      <c r="A12" s="618"/>
      <c r="B12" s="164" t="s">
        <v>155</v>
      </c>
      <c r="C12" s="165" t="s">
        <v>64</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row>
    <row r="13" spans="1:51">
      <c r="A13" s="618"/>
      <c r="B13" s="164" t="s">
        <v>156</v>
      </c>
      <c r="C13" s="165" t="s">
        <v>65</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row>
    <row r="14" spans="1:51">
      <c r="A14" s="618"/>
      <c r="B14" s="166"/>
      <c r="C14" s="167"/>
      <c r="D14" s="171" t="str">
        <f>IF(AND(D9="",D10="",D11="",D12="",D13=""),"",AVERAGE(D9:D13))</f>
        <v/>
      </c>
      <c r="E14" s="171" t="str">
        <f t="shared" ref="E14:AY14" si="1">IF(AND(E9="",E10="",E11="",E12="",E13=""),"",AVERAGE(E9:E13))</f>
        <v/>
      </c>
      <c r="F14" s="171" t="str">
        <f t="shared" si="1"/>
        <v/>
      </c>
      <c r="G14" s="171" t="str">
        <f t="shared" si="1"/>
        <v/>
      </c>
      <c r="H14" s="171" t="str">
        <f t="shared" si="1"/>
        <v/>
      </c>
      <c r="I14" s="171" t="str">
        <f t="shared" si="1"/>
        <v/>
      </c>
      <c r="J14" s="171" t="str">
        <f t="shared" si="1"/>
        <v/>
      </c>
      <c r="K14" s="171" t="str">
        <f t="shared" si="1"/>
        <v/>
      </c>
      <c r="L14" s="171" t="str">
        <f t="shared" si="1"/>
        <v/>
      </c>
      <c r="M14" s="171" t="str">
        <f t="shared" si="1"/>
        <v/>
      </c>
      <c r="N14" s="171" t="str">
        <f t="shared" si="1"/>
        <v/>
      </c>
      <c r="O14" s="171" t="str">
        <f t="shared" si="1"/>
        <v/>
      </c>
      <c r="P14" s="171" t="str">
        <f t="shared" si="1"/>
        <v/>
      </c>
      <c r="Q14" s="171" t="str">
        <f t="shared" si="1"/>
        <v/>
      </c>
      <c r="R14" s="171" t="str">
        <f t="shared" si="1"/>
        <v/>
      </c>
      <c r="S14" s="171" t="str">
        <f t="shared" si="1"/>
        <v/>
      </c>
      <c r="T14" s="171" t="str">
        <f t="shared" si="1"/>
        <v/>
      </c>
      <c r="U14" s="171" t="str">
        <f t="shared" si="1"/>
        <v/>
      </c>
      <c r="V14" s="171" t="str">
        <f t="shared" si="1"/>
        <v/>
      </c>
      <c r="W14" s="171" t="str">
        <f t="shared" si="1"/>
        <v/>
      </c>
      <c r="X14" s="171" t="str">
        <f t="shared" si="1"/>
        <v/>
      </c>
      <c r="Y14" s="171" t="str">
        <f t="shared" si="1"/>
        <v/>
      </c>
      <c r="Z14" s="171" t="str">
        <f t="shared" si="1"/>
        <v/>
      </c>
      <c r="AA14" s="171" t="str">
        <f t="shared" si="1"/>
        <v/>
      </c>
      <c r="AB14" s="171" t="str">
        <f t="shared" si="1"/>
        <v/>
      </c>
      <c r="AC14" s="171" t="str">
        <f t="shared" si="1"/>
        <v/>
      </c>
      <c r="AD14" s="171" t="str">
        <f t="shared" si="1"/>
        <v/>
      </c>
      <c r="AE14" s="171" t="str">
        <f t="shared" si="1"/>
        <v/>
      </c>
      <c r="AF14" s="171" t="str">
        <f t="shared" si="1"/>
        <v/>
      </c>
      <c r="AG14" s="171" t="str">
        <f t="shared" si="1"/>
        <v/>
      </c>
      <c r="AH14" s="171" t="str">
        <f t="shared" si="1"/>
        <v/>
      </c>
      <c r="AI14" s="171" t="str">
        <f t="shared" si="1"/>
        <v/>
      </c>
      <c r="AJ14" s="171" t="str">
        <f t="shared" si="1"/>
        <v/>
      </c>
      <c r="AK14" s="171" t="str">
        <f t="shared" si="1"/>
        <v/>
      </c>
      <c r="AL14" s="171" t="str">
        <f t="shared" si="1"/>
        <v/>
      </c>
      <c r="AM14" s="171" t="str">
        <f t="shared" si="1"/>
        <v/>
      </c>
      <c r="AN14" s="171" t="str">
        <f t="shared" si="1"/>
        <v/>
      </c>
      <c r="AO14" s="171" t="str">
        <f t="shared" si="1"/>
        <v/>
      </c>
      <c r="AP14" s="171" t="str">
        <f t="shared" si="1"/>
        <v/>
      </c>
      <c r="AQ14" s="171" t="str">
        <f t="shared" si="1"/>
        <v/>
      </c>
      <c r="AR14" s="171" t="str">
        <f t="shared" si="1"/>
        <v/>
      </c>
      <c r="AS14" s="171" t="str">
        <f t="shared" si="1"/>
        <v/>
      </c>
      <c r="AT14" s="171" t="str">
        <f t="shared" si="1"/>
        <v/>
      </c>
      <c r="AU14" s="171" t="str">
        <f t="shared" si="1"/>
        <v/>
      </c>
      <c r="AV14" s="171" t="str">
        <f t="shared" si="1"/>
        <v/>
      </c>
      <c r="AW14" s="171" t="str">
        <f t="shared" si="1"/>
        <v/>
      </c>
      <c r="AX14" s="171" t="str">
        <f t="shared" si="1"/>
        <v/>
      </c>
      <c r="AY14" s="171" t="str">
        <f t="shared" si="1"/>
        <v/>
      </c>
    </row>
    <row r="15" spans="1:51">
      <c r="A15" s="617" t="s">
        <v>9</v>
      </c>
      <c r="B15" s="164" t="s">
        <v>157</v>
      </c>
      <c r="C15" s="165" t="s">
        <v>158</v>
      </c>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row>
    <row r="16" spans="1:51">
      <c r="A16" s="617"/>
      <c r="B16" s="164" t="s">
        <v>159</v>
      </c>
      <c r="C16" s="165" t="s">
        <v>67</v>
      </c>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row>
    <row r="17" spans="1:51">
      <c r="A17" s="617"/>
      <c r="B17" s="164" t="s">
        <v>160</v>
      </c>
      <c r="C17" s="165" t="s">
        <v>68</v>
      </c>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row>
    <row r="18" spans="1:51">
      <c r="A18" s="617"/>
      <c r="B18" s="164" t="s">
        <v>161</v>
      </c>
      <c r="C18" s="165" t="s">
        <v>69</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row>
    <row r="19" spans="1:51">
      <c r="A19" s="617"/>
      <c r="B19" s="164" t="s">
        <v>162</v>
      </c>
      <c r="C19" s="165" t="s">
        <v>70</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row>
    <row r="20" spans="1:51">
      <c r="A20" s="617"/>
      <c r="B20" s="164" t="s">
        <v>163</v>
      </c>
      <c r="C20" s="165" t="s">
        <v>164</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row>
    <row r="21" spans="1:51">
      <c r="A21" s="617"/>
      <c r="B21" s="164" t="s">
        <v>165</v>
      </c>
      <c r="C21" s="165" t="s">
        <v>166</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row>
    <row r="22" spans="1:51">
      <c r="A22" s="617"/>
      <c r="B22" s="164" t="s">
        <v>167</v>
      </c>
      <c r="C22" s="165" t="s">
        <v>168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row>
    <row r="23" spans="1:51">
      <c r="A23" s="617"/>
      <c r="B23" s="166"/>
      <c r="C23" s="167"/>
      <c r="D23" s="171" t="str">
        <f>IF(AND(D16="",D16="",D17="",D18="",D19="",D20="",D21="",D22=""),"",AVERAGE(D15:D22))</f>
        <v/>
      </c>
      <c r="E23" s="171" t="str">
        <f t="shared" ref="E23:AY23" si="2">IF(AND(E16="",E16="",E17="",E18="",E19="",E20="",E21="",E22=""),"",AVERAGE(E15:E22))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row>
    <row r="24" spans="1:51" ht="15" customHeight="1">
      <c r="A24" s="618" t="s">
        <v>169</v>
      </c>
      <c r="B24" s="164" t="s">
        <v>170</v>
      </c>
      <c r="C24" s="165" t="s">
        <v>74</v>
      </c>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row>
    <row r="25" spans="1:51">
      <c r="A25" s="618"/>
      <c r="B25" s="164" t="s">
        <v>171</v>
      </c>
      <c r="C25" s="165" t="s">
        <v>75</v>
      </c>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row>
    <row r="26" spans="1:51">
      <c r="A26" s="618"/>
      <c r="B26" s="164" t="s">
        <v>172</v>
      </c>
      <c r="C26" s="165" t="s">
        <v>173</v>
      </c>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row>
    <row r="27" spans="1:51">
      <c r="A27" s="618"/>
      <c r="B27" s="164" t="s">
        <v>174</v>
      </c>
      <c r="C27" s="165" t="s">
        <v>77</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row>
    <row r="28" spans="1:51">
      <c r="A28" s="618"/>
      <c r="B28" s="164" t="s">
        <v>175</v>
      </c>
      <c r="C28" s="165" t="s">
        <v>78</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row>
    <row r="29" spans="1:51">
      <c r="A29" s="618"/>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row>
    <row r="30" spans="1:51" ht="15" customHeight="1">
      <c r="A30" s="617" t="s">
        <v>10</v>
      </c>
      <c r="B30" s="164" t="s">
        <v>176</v>
      </c>
      <c r="C30" s="165" t="s">
        <v>177</v>
      </c>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row>
    <row r="31" spans="1:51">
      <c r="A31" s="617"/>
      <c r="B31" s="164" t="s">
        <v>178</v>
      </c>
      <c r="C31" s="165" t="s">
        <v>179</v>
      </c>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row>
    <row r="32" spans="1:51">
      <c r="A32" s="617"/>
      <c r="B32" s="164" t="s">
        <v>180</v>
      </c>
      <c r="C32" s="165" t="s">
        <v>181</v>
      </c>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row>
    <row r="33" spans="1:51">
      <c r="A33" s="617"/>
      <c r="B33" s="164" t="s">
        <v>182</v>
      </c>
      <c r="C33" s="165" t="s">
        <v>82</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row>
    <row r="34" spans="1:51">
      <c r="A34" s="617"/>
      <c r="B34" s="164" t="s">
        <v>183</v>
      </c>
      <c r="C34" s="165" t="s">
        <v>83</v>
      </c>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row>
    <row r="35" spans="1:51">
      <c r="A35" s="617"/>
      <c r="B35" s="166"/>
      <c r="C35" s="167"/>
      <c r="D35" s="171" t="str">
        <f>IF(AND(D30="",D31="",D32="",D33="",D34=""),"",AVERAGE(D30:D34))</f>
        <v/>
      </c>
      <c r="E35" s="171" t="str">
        <f t="shared" ref="E35:AY35" si="4">IF(AND(E30="",E31="",E32="",E33="",E34=""),"",AVERAGE(E30:E34))</f>
        <v/>
      </c>
      <c r="F35" s="171" t="str">
        <f t="shared" si="4"/>
        <v/>
      </c>
      <c r="G35" s="171" t="str">
        <f t="shared" si="4"/>
        <v/>
      </c>
      <c r="H35" s="171" t="str">
        <f t="shared" si="4"/>
        <v/>
      </c>
      <c r="I35" s="171" t="str">
        <f t="shared" si="4"/>
        <v/>
      </c>
      <c r="J35" s="171" t="str">
        <f t="shared" si="4"/>
        <v/>
      </c>
      <c r="K35" s="171" t="str">
        <f t="shared" si="4"/>
        <v/>
      </c>
      <c r="L35" s="171" t="str">
        <f t="shared" si="4"/>
        <v/>
      </c>
      <c r="M35" s="171" t="str">
        <f t="shared" si="4"/>
        <v/>
      </c>
      <c r="N35" s="171" t="str">
        <f t="shared" si="4"/>
        <v/>
      </c>
      <c r="O35" s="171" t="str">
        <f t="shared" si="4"/>
        <v/>
      </c>
      <c r="P35" s="171" t="str">
        <f t="shared" si="4"/>
        <v/>
      </c>
      <c r="Q35" s="171" t="str">
        <f t="shared" si="4"/>
        <v/>
      </c>
      <c r="R35" s="171" t="str">
        <f t="shared" si="4"/>
        <v/>
      </c>
      <c r="S35" s="171" t="str">
        <f t="shared" si="4"/>
        <v/>
      </c>
      <c r="T35" s="171" t="str">
        <f t="shared" si="4"/>
        <v/>
      </c>
      <c r="U35" s="171" t="str">
        <f t="shared" si="4"/>
        <v/>
      </c>
      <c r="V35" s="171" t="str">
        <f t="shared" si="4"/>
        <v/>
      </c>
      <c r="W35" s="171" t="str">
        <f t="shared" si="4"/>
        <v/>
      </c>
      <c r="X35" s="171" t="str">
        <f t="shared" si="4"/>
        <v/>
      </c>
      <c r="Y35" s="171" t="str">
        <f t="shared" si="4"/>
        <v/>
      </c>
      <c r="Z35" s="171" t="str">
        <f t="shared" si="4"/>
        <v/>
      </c>
      <c r="AA35" s="171" t="str">
        <f t="shared" si="4"/>
        <v/>
      </c>
      <c r="AB35" s="171" t="str">
        <f t="shared" si="4"/>
        <v/>
      </c>
      <c r="AC35" s="171" t="str">
        <f t="shared" si="4"/>
        <v/>
      </c>
      <c r="AD35" s="171" t="str">
        <f t="shared" si="4"/>
        <v/>
      </c>
      <c r="AE35" s="171" t="str">
        <f t="shared" si="4"/>
        <v/>
      </c>
      <c r="AF35" s="171" t="str">
        <f t="shared" si="4"/>
        <v/>
      </c>
      <c r="AG35" s="171" t="str">
        <f t="shared" si="4"/>
        <v/>
      </c>
      <c r="AH35" s="171" t="str">
        <f t="shared" si="4"/>
        <v/>
      </c>
      <c r="AI35" s="171" t="str">
        <f t="shared" si="4"/>
        <v/>
      </c>
      <c r="AJ35" s="171" t="str">
        <f t="shared" si="4"/>
        <v/>
      </c>
      <c r="AK35" s="171" t="str">
        <f t="shared" si="4"/>
        <v/>
      </c>
      <c r="AL35" s="171" t="str">
        <f t="shared" si="4"/>
        <v/>
      </c>
      <c r="AM35" s="171" t="str">
        <f t="shared" si="4"/>
        <v/>
      </c>
      <c r="AN35" s="171" t="str">
        <f t="shared" si="4"/>
        <v/>
      </c>
      <c r="AO35" s="171" t="str">
        <f t="shared" si="4"/>
        <v/>
      </c>
      <c r="AP35" s="171" t="str">
        <f t="shared" si="4"/>
        <v/>
      </c>
      <c r="AQ35" s="171" t="str">
        <f t="shared" si="4"/>
        <v/>
      </c>
      <c r="AR35" s="171" t="str">
        <f t="shared" si="4"/>
        <v/>
      </c>
      <c r="AS35" s="171" t="str">
        <f t="shared" si="4"/>
        <v/>
      </c>
      <c r="AT35" s="171" t="str">
        <f t="shared" si="4"/>
        <v/>
      </c>
      <c r="AU35" s="171" t="str">
        <f t="shared" si="4"/>
        <v/>
      </c>
      <c r="AV35" s="171" t="str">
        <f t="shared" si="4"/>
        <v/>
      </c>
      <c r="AW35" s="171" t="str">
        <f t="shared" si="4"/>
        <v/>
      </c>
      <c r="AX35" s="171" t="str">
        <f t="shared" si="4"/>
        <v/>
      </c>
      <c r="AY35" s="171" t="str">
        <f t="shared" si="4"/>
        <v/>
      </c>
    </row>
    <row r="36" spans="1:51" ht="15" customHeight="1">
      <c r="A36" s="618" t="s">
        <v>184</v>
      </c>
      <c r="B36" s="164" t="s">
        <v>185</v>
      </c>
      <c r="C36" s="165" t="s">
        <v>84</v>
      </c>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row>
    <row r="37" spans="1:51">
      <c r="A37" s="618"/>
      <c r="B37" s="164" t="s">
        <v>186</v>
      </c>
      <c r="C37" s="165" t="s">
        <v>187</v>
      </c>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row>
    <row r="38" spans="1:51">
      <c r="A38" s="618"/>
      <c r="B38" s="164" t="s">
        <v>188</v>
      </c>
      <c r="C38" s="165" t="s">
        <v>86</v>
      </c>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row>
    <row r="39" spans="1:51">
      <c r="A39" s="618"/>
      <c r="B39" s="164" t="s">
        <v>189</v>
      </c>
      <c r="C39" s="165" t="s">
        <v>190</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row>
    <row r="40" spans="1:51">
      <c r="A40" s="618"/>
      <c r="B40" s="166"/>
      <c r="C40" s="167"/>
      <c r="D40" s="171" t="str">
        <f>IF(AND(D36="",D37="",D38="",D39=""),"",AVERAGE(D36:D39))</f>
        <v/>
      </c>
      <c r="E40" s="171" t="str">
        <f t="shared" ref="E40:AY40" si="5">IF(AND(E36="",E37="",E38="",E39=""),"",AVERAGE(E36:E39))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row>
    <row r="41" spans="1:51" ht="15" customHeight="1">
      <c r="A41" s="617" t="s">
        <v>12</v>
      </c>
      <c r="B41" s="164" t="s">
        <v>191</v>
      </c>
      <c r="C41" s="165" t="s">
        <v>88</v>
      </c>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row>
    <row r="42" spans="1:51">
      <c r="A42" s="617"/>
      <c r="B42" s="164" t="s">
        <v>192</v>
      </c>
      <c r="C42" s="165" t="s">
        <v>89</v>
      </c>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row>
    <row r="43" spans="1:51">
      <c r="A43" s="617"/>
      <c r="B43" s="164" t="s">
        <v>193</v>
      </c>
      <c r="C43" s="165" t="s">
        <v>90</v>
      </c>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row>
    <row r="44" spans="1:51">
      <c r="A44" s="617"/>
      <c r="B44" s="164" t="s">
        <v>194</v>
      </c>
      <c r="C44" s="165" t="s">
        <v>195</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row>
    <row r="45" spans="1:51">
      <c r="A45" s="617"/>
      <c r="B45" s="164" t="s">
        <v>196</v>
      </c>
      <c r="C45" s="165" t="s">
        <v>197</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row>
    <row r="46" spans="1:51">
      <c r="A46" s="617"/>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row>
    <row r="47" spans="1:51" ht="15" customHeight="1">
      <c r="A47" s="618" t="s">
        <v>13</v>
      </c>
      <c r="B47" s="164" t="s">
        <v>198</v>
      </c>
      <c r="C47" s="165" t="s">
        <v>93</v>
      </c>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row>
    <row r="48" spans="1:51">
      <c r="A48" s="618"/>
      <c r="B48" s="164" t="s">
        <v>199</v>
      </c>
      <c r="C48" s="165" t="s">
        <v>94</v>
      </c>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row>
    <row r="49" spans="1:51">
      <c r="A49" s="618"/>
      <c r="B49" s="164" t="s">
        <v>200</v>
      </c>
      <c r="C49" s="165" t="s">
        <v>201</v>
      </c>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row>
    <row r="50" spans="1:51">
      <c r="A50" s="618"/>
      <c r="B50" s="164" t="s">
        <v>202</v>
      </c>
      <c r="C50" s="165" t="s">
        <v>203</v>
      </c>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row>
    <row r="51" spans="1:51">
      <c r="A51" s="618"/>
      <c r="B51" s="164" t="s">
        <v>204</v>
      </c>
      <c r="C51" s="165" t="s">
        <v>205</v>
      </c>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row>
    <row r="52" spans="1:51">
      <c r="A52" s="618"/>
      <c r="B52" s="166"/>
      <c r="C52" s="167"/>
      <c r="D52" s="171" t="str">
        <f>IF(AND(D47="",D48="",D49="",D50="",D51=""),"",AVERAGE(D47:D51))</f>
        <v/>
      </c>
      <c r="E52" s="171" t="str">
        <f t="shared" ref="E52:AY52" si="7">IF(AND(E47="",E48="",E49="",E50="",E51=""),"",AVERAGE(E47:E51))</f>
        <v/>
      </c>
      <c r="F52" s="171" t="str">
        <f t="shared" si="7"/>
        <v/>
      </c>
      <c r="G52" s="171" t="str">
        <f t="shared" si="7"/>
        <v/>
      </c>
      <c r="H52" s="171" t="str">
        <f t="shared" si="7"/>
        <v/>
      </c>
      <c r="I52" s="171" t="str">
        <f t="shared" si="7"/>
        <v/>
      </c>
      <c r="J52" s="171" t="str">
        <f t="shared" si="7"/>
        <v/>
      </c>
      <c r="K52" s="171" t="str">
        <f t="shared" si="7"/>
        <v/>
      </c>
      <c r="L52" s="171" t="str">
        <f t="shared" si="7"/>
        <v/>
      </c>
      <c r="M52" s="171" t="str">
        <f t="shared" si="7"/>
        <v/>
      </c>
      <c r="N52" s="171" t="str">
        <f t="shared" si="7"/>
        <v/>
      </c>
      <c r="O52" s="171" t="str">
        <f t="shared" si="7"/>
        <v/>
      </c>
      <c r="P52" s="171" t="str">
        <f t="shared" si="7"/>
        <v/>
      </c>
      <c r="Q52" s="171" t="str">
        <f t="shared" si="7"/>
        <v/>
      </c>
      <c r="R52" s="171" t="str">
        <f t="shared" si="7"/>
        <v/>
      </c>
      <c r="S52" s="171" t="str">
        <f t="shared" si="7"/>
        <v/>
      </c>
      <c r="T52" s="171" t="str">
        <f t="shared" si="7"/>
        <v/>
      </c>
      <c r="U52" s="171" t="str">
        <f t="shared" si="7"/>
        <v/>
      </c>
      <c r="V52" s="171" t="str">
        <f t="shared" si="7"/>
        <v/>
      </c>
      <c r="W52" s="171" t="str">
        <f t="shared" si="7"/>
        <v/>
      </c>
      <c r="X52" s="171" t="str">
        <f t="shared" si="7"/>
        <v/>
      </c>
      <c r="Y52" s="171" t="str">
        <f t="shared" si="7"/>
        <v/>
      </c>
      <c r="Z52" s="171" t="str">
        <f t="shared" si="7"/>
        <v/>
      </c>
      <c r="AA52" s="171" t="str">
        <f t="shared" si="7"/>
        <v/>
      </c>
      <c r="AB52" s="171" t="str">
        <f t="shared" si="7"/>
        <v/>
      </c>
      <c r="AC52" s="171" t="str">
        <f t="shared" si="7"/>
        <v/>
      </c>
      <c r="AD52" s="171" t="str">
        <f t="shared" si="7"/>
        <v/>
      </c>
      <c r="AE52" s="171" t="str">
        <f t="shared" si="7"/>
        <v/>
      </c>
      <c r="AF52" s="171" t="str">
        <f t="shared" si="7"/>
        <v/>
      </c>
      <c r="AG52" s="171" t="str">
        <f t="shared" si="7"/>
        <v/>
      </c>
      <c r="AH52" s="171" t="str">
        <f t="shared" si="7"/>
        <v/>
      </c>
      <c r="AI52" s="171" t="str">
        <f t="shared" si="7"/>
        <v/>
      </c>
      <c r="AJ52" s="171" t="str">
        <f t="shared" si="7"/>
        <v/>
      </c>
      <c r="AK52" s="171" t="str">
        <f t="shared" si="7"/>
        <v/>
      </c>
      <c r="AL52" s="171" t="str">
        <f t="shared" si="7"/>
        <v/>
      </c>
      <c r="AM52" s="171" t="str">
        <f t="shared" si="7"/>
        <v/>
      </c>
      <c r="AN52" s="171" t="str">
        <f t="shared" si="7"/>
        <v/>
      </c>
      <c r="AO52" s="171" t="str">
        <f t="shared" si="7"/>
        <v/>
      </c>
      <c r="AP52" s="171" t="str">
        <f t="shared" si="7"/>
        <v/>
      </c>
      <c r="AQ52" s="171" t="str">
        <f t="shared" si="7"/>
        <v/>
      </c>
      <c r="AR52" s="171" t="str">
        <f t="shared" si="7"/>
        <v/>
      </c>
      <c r="AS52" s="171" t="str">
        <f t="shared" si="7"/>
        <v/>
      </c>
      <c r="AT52" s="171" t="str">
        <f t="shared" si="7"/>
        <v/>
      </c>
      <c r="AU52" s="171" t="str">
        <f t="shared" si="7"/>
        <v/>
      </c>
      <c r="AV52" s="171" t="str">
        <f t="shared" si="7"/>
        <v/>
      </c>
      <c r="AW52" s="171" t="str">
        <f t="shared" si="7"/>
        <v/>
      </c>
      <c r="AX52" s="171" t="str">
        <f t="shared" si="7"/>
        <v/>
      </c>
      <c r="AY52" s="171" t="str">
        <f t="shared" si="7"/>
        <v/>
      </c>
    </row>
    <row r="53" spans="1:51">
      <c r="A53" s="175"/>
      <c r="B53" s="175"/>
      <c r="C53" s="175"/>
      <c r="D53" s="34"/>
      <c r="E53" s="34"/>
      <c r="F53" s="91"/>
      <c r="G53" s="91"/>
      <c r="H53" s="91"/>
      <c r="I53" s="91"/>
      <c r="J53" s="91"/>
      <c r="K53" s="91"/>
      <c r="L53" s="91"/>
      <c r="M53" s="91"/>
      <c r="N53" s="91"/>
      <c r="O53" s="91"/>
      <c r="P53" s="91"/>
      <c r="Q53" s="91"/>
      <c r="R53" s="91"/>
      <c r="S53" s="91"/>
      <c r="T53" s="91"/>
      <c r="U53" s="91"/>
      <c r="V53" s="91"/>
      <c r="W53" s="91"/>
      <c r="X53" s="91"/>
      <c r="Y53" s="91"/>
      <c r="Z53" s="91"/>
      <c r="AA53" s="91"/>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91"/>
    </row>
    <row r="54" spans="1:51">
      <c r="A54" s="91"/>
      <c r="B54" s="91"/>
      <c r="C54" s="91"/>
      <c r="D54" s="177" t="e">
        <f>D52+D46+D40+D35+D29+D23+D14+D8</f>
        <v>#VALUE!</v>
      </c>
      <c r="E54" s="177" t="e">
        <f t="shared" ref="E54:AY54" si="8">E52+E46+E40+E35+E29+E23+E14+E8</f>
        <v>#VALUE!</v>
      </c>
      <c r="F54" s="177" t="e">
        <f t="shared" si="8"/>
        <v>#VALUE!</v>
      </c>
      <c r="G54" s="177" t="e">
        <f t="shared" si="8"/>
        <v>#VALUE!</v>
      </c>
      <c r="H54" s="177" t="e">
        <f t="shared" si="8"/>
        <v>#VALUE!</v>
      </c>
      <c r="I54" s="177" t="e">
        <f t="shared" si="8"/>
        <v>#VALUE!</v>
      </c>
      <c r="J54" s="177" t="e">
        <f t="shared" si="8"/>
        <v>#VALUE!</v>
      </c>
      <c r="K54" s="177" t="e">
        <f t="shared" si="8"/>
        <v>#VALUE!</v>
      </c>
      <c r="L54" s="177" t="e">
        <f t="shared" si="8"/>
        <v>#VALUE!</v>
      </c>
      <c r="M54" s="177" t="e">
        <f t="shared" si="8"/>
        <v>#VALUE!</v>
      </c>
      <c r="N54" s="177" t="e">
        <f t="shared" si="8"/>
        <v>#VALUE!</v>
      </c>
      <c r="O54" s="177" t="e">
        <f t="shared" si="8"/>
        <v>#VALUE!</v>
      </c>
      <c r="P54" s="177" t="e">
        <f t="shared" si="8"/>
        <v>#VALUE!</v>
      </c>
      <c r="Q54" s="177" t="e">
        <f t="shared" si="8"/>
        <v>#VALUE!</v>
      </c>
      <c r="R54" s="177" t="e">
        <f t="shared" si="8"/>
        <v>#VALUE!</v>
      </c>
      <c r="S54" s="177" t="e">
        <f t="shared" si="8"/>
        <v>#VALUE!</v>
      </c>
      <c r="T54" s="177" t="e">
        <f t="shared" si="8"/>
        <v>#VALUE!</v>
      </c>
      <c r="U54" s="177" t="e">
        <f t="shared" si="8"/>
        <v>#VALUE!</v>
      </c>
      <c r="V54" s="177" t="e">
        <f t="shared" si="8"/>
        <v>#VALUE!</v>
      </c>
      <c r="W54" s="177" t="e">
        <f t="shared" si="8"/>
        <v>#VALUE!</v>
      </c>
      <c r="X54" s="177" t="e">
        <f t="shared" si="8"/>
        <v>#VALUE!</v>
      </c>
      <c r="Y54" s="177" t="e">
        <f t="shared" si="8"/>
        <v>#VALUE!</v>
      </c>
      <c r="Z54" s="177" t="e">
        <f t="shared" si="8"/>
        <v>#VALUE!</v>
      </c>
      <c r="AA54" s="177" t="e">
        <f t="shared" si="8"/>
        <v>#VALUE!</v>
      </c>
      <c r="AB54" s="177" t="e">
        <f t="shared" si="8"/>
        <v>#VALUE!</v>
      </c>
      <c r="AC54" s="177" t="e">
        <f t="shared" si="8"/>
        <v>#VALUE!</v>
      </c>
      <c r="AD54" s="177" t="e">
        <f t="shared" si="8"/>
        <v>#VALUE!</v>
      </c>
      <c r="AE54" s="177" t="e">
        <f t="shared" si="8"/>
        <v>#VALUE!</v>
      </c>
      <c r="AF54" s="177" t="e">
        <f t="shared" si="8"/>
        <v>#VALUE!</v>
      </c>
      <c r="AG54" s="177" t="e">
        <f t="shared" si="8"/>
        <v>#VALUE!</v>
      </c>
      <c r="AH54" s="177" t="e">
        <f t="shared" si="8"/>
        <v>#VALUE!</v>
      </c>
      <c r="AI54" s="177" t="e">
        <f t="shared" si="8"/>
        <v>#VALUE!</v>
      </c>
      <c r="AJ54" s="177" t="e">
        <f t="shared" si="8"/>
        <v>#VALUE!</v>
      </c>
      <c r="AK54" s="177" t="e">
        <f t="shared" si="8"/>
        <v>#VALUE!</v>
      </c>
      <c r="AL54" s="177" t="e">
        <f t="shared" si="8"/>
        <v>#VALUE!</v>
      </c>
      <c r="AM54" s="177" t="e">
        <f t="shared" si="8"/>
        <v>#VALUE!</v>
      </c>
      <c r="AN54" s="177" t="e">
        <f t="shared" si="8"/>
        <v>#VALUE!</v>
      </c>
      <c r="AO54" s="177" t="e">
        <f t="shared" si="8"/>
        <v>#VALUE!</v>
      </c>
      <c r="AP54" s="177" t="e">
        <f t="shared" si="8"/>
        <v>#VALUE!</v>
      </c>
      <c r="AQ54" s="177" t="e">
        <f t="shared" si="8"/>
        <v>#VALUE!</v>
      </c>
      <c r="AR54" s="177" t="e">
        <f t="shared" si="8"/>
        <v>#VALUE!</v>
      </c>
      <c r="AS54" s="177" t="e">
        <f t="shared" si="8"/>
        <v>#VALUE!</v>
      </c>
      <c r="AT54" s="177" t="e">
        <f t="shared" si="8"/>
        <v>#VALUE!</v>
      </c>
      <c r="AU54" s="177" t="e">
        <f t="shared" si="8"/>
        <v>#VALUE!</v>
      </c>
      <c r="AV54" s="177" t="e">
        <f t="shared" si="8"/>
        <v>#VALUE!</v>
      </c>
      <c r="AW54" s="177" t="e">
        <f t="shared" si="8"/>
        <v>#VALUE!</v>
      </c>
      <c r="AX54" s="177" t="e">
        <f t="shared" si="8"/>
        <v>#VALUE!</v>
      </c>
      <c r="AY54" s="177" t="e">
        <f t="shared" si="8"/>
        <v>#VALUE!</v>
      </c>
    </row>
  </sheetData>
  <sheetProtection password="C522" sheet="1" objects="1" scenarios="1" formatCells="0" formatColumns="0" formatRows="0" insertColumns="0" insertRows="0" insertHyperlinks="0" deleteColumns="0" deleteRows="0"/>
  <mergeCells count="8">
    <mergeCell ref="A41:A46"/>
    <mergeCell ref="A47:A52"/>
    <mergeCell ref="A3:A8"/>
    <mergeCell ref="A9:A14"/>
    <mergeCell ref="A15:A23"/>
    <mergeCell ref="A24:A29"/>
    <mergeCell ref="A30:A35"/>
    <mergeCell ref="A36:A40"/>
  </mergeCells>
  <conditionalFormatting sqref="AP2:XFD2 D1:AO2">
    <cfRule type="expression" dxfId="534" priority="112">
      <formula>MOD(COLUMN(),2)=1</formula>
    </cfRule>
  </conditionalFormatting>
  <conditionalFormatting sqref="B8:C8 B14:C14 B46:C46 B52:C52 B35:C35 B29:C29">
    <cfRule type="cellIs" dxfId="533" priority="111" operator="notEqual">
      <formula>$B$2</formula>
    </cfRule>
  </conditionalFormatting>
  <conditionalFormatting sqref="B23:C23">
    <cfRule type="cellIs" dxfId="532" priority="110" operator="notEqual">
      <formula>$B$2</formula>
    </cfRule>
  </conditionalFormatting>
  <conditionalFormatting sqref="B40:C40">
    <cfRule type="cellIs" dxfId="531" priority="109" operator="notEqual">
      <formula>$B$2</formula>
    </cfRule>
  </conditionalFormatting>
  <conditionalFormatting sqref="AP2:XFD2 D1:AO2">
    <cfRule type="expression" dxfId="530" priority="108">
      <formula>MOD(COLUMN(),2)=1</formula>
    </cfRule>
  </conditionalFormatting>
  <conditionalFormatting sqref="F1:AY1">
    <cfRule type="expression" dxfId="529" priority="104">
      <formula>MOD(COLUMN(),2)=1</formula>
    </cfRule>
  </conditionalFormatting>
  <conditionalFormatting sqref="D1:E2 F2:AY2">
    <cfRule type="expression" dxfId="528" priority="102">
      <formula>MOD(COLUMN(),2)=1</formula>
    </cfRule>
  </conditionalFormatting>
  <conditionalFormatting sqref="B8:C8 B14:C14 B46:C46 B52:C52 B35:C35 B29:C29">
    <cfRule type="cellIs" dxfId="527" priority="101" operator="notEqual">
      <formula>$B$2</formula>
    </cfRule>
  </conditionalFormatting>
  <conditionalFormatting sqref="B23:C23">
    <cfRule type="cellIs" dxfId="526" priority="100" operator="notEqual">
      <formula>$B$2</formula>
    </cfRule>
  </conditionalFormatting>
  <conditionalFormatting sqref="B40:C40">
    <cfRule type="cellIs" dxfId="525" priority="99" operator="notEqual">
      <formula>$B$2</formula>
    </cfRule>
  </conditionalFormatting>
  <conditionalFormatting sqref="D1:E2 F2:AY2">
    <cfRule type="expression" dxfId="524" priority="98">
      <formula>MOD(COLUMN(),2)=1</formula>
    </cfRule>
  </conditionalFormatting>
  <conditionalFormatting sqref="D3:AY7">
    <cfRule type="expression" dxfId="523" priority="69">
      <formula>MOD(COLUMN(),2)=1</formula>
    </cfRule>
  </conditionalFormatting>
  <conditionalFormatting sqref="D3:AY7">
    <cfRule type="expression" dxfId="522" priority="68">
      <formula>MOD(COLUMN(),2)=1</formula>
    </cfRule>
  </conditionalFormatting>
  <conditionalFormatting sqref="D3:AY7">
    <cfRule type="expression" dxfId="521" priority="67">
      <formula>MOD(COLUMN(),2)=1</formula>
    </cfRule>
  </conditionalFormatting>
  <conditionalFormatting sqref="D3:AY7">
    <cfRule type="expression" dxfId="520" priority="66">
      <formula>MOD(COLUMN(),2)=1</formula>
    </cfRule>
  </conditionalFormatting>
  <conditionalFormatting sqref="D9:AY13 D15:AY22 D24:AY28 D30:AY34 D36:AY39 D41:AY45 D47:AY51">
    <cfRule type="expression" dxfId="519" priority="65">
      <formula>MOD(COLUMN(),2)=1</formula>
    </cfRule>
  </conditionalFormatting>
  <conditionalFormatting sqref="D14:AY14">
    <cfRule type="expression" dxfId="518" priority="64">
      <formula>MOD(COLUMN(),2)=1</formula>
    </cfRule>
  </conditionalFormatting>
  <conditionalFormatting sqref="D14:AY14">
    <cfRule type="cellIs" dxfId="517" priority="63" operator="notEqual">
      <formula>$B$2</formula>
    </cfRule>
  </conditionalFormatting>
  <conditionalFormatting sqref="D14:AY14">
    <cfRule type="expression" dxfId="516" priority="62">
      <formula>MOD(COLUMN(),2)=1</formula>
    </cfRule>
  </conditionalFormatting>
  <conditionalFormatting sqref="D14:AY14">
    <cfRule type="cellIs" dxfId="515" priority="61" operator="notEqual">
      <formula>$B$2</formula>
    </cfRule>
  </conditionalFormatting>
  <conditionalFormatting sqref="D14:AY14">
    <cfRule type="expression" dxfId="514" priority="60">
      <formula>MOD(COLUMN(),2)=1</formula>
    </cfRule>
  </conditionalFormatting>
  <conditionalFormatting sqref="D14:AY14">
    <cfRule type="cellIs" dxfId="513" priority="59" operator="notEqual">
      <formula>$B$2</formula>
    </cfRule>
  </conditionalFormatting>
  <conditionalFormatting sqref="D14:AY14">
    <cfRule type="expression" dxfId="512" priority="58">
      <formula>MOD(COLUMN(),2)=1</formula>
    </cfRule>
  </conditionalFormatting>
  <conditionalFormatting sqref="D14:AY14">
    <cfRule type="cellIs" dxfId="511" priority="57" operator="notEqual">
      <formula>$B$2</formula>
    </cfRule>
  </conditionalFormatting>
  <conditionalFormatting sqref="D23:AY23">
    <cfRule type="expression" dxfId="510" priority="56">
      <formula>MOD(COLUMN(),2)=1</formula>
    </cfRule>
  </conditionalFormatting>
  <conditionalFormatting sqref="D23:AY23">
    <cfRule type="cellIs" dxfId="509" priority="55" operator="notEqual">
      <formula>$B$2</formula>
    </cfRule>
  </conditionalFormatting>
  <conditionalFormatting sqref="D23:AY23">
    <cfRule type="expression" dxfId="508" priority="54">
      <formula>MOD(COLUMN(),2)=1</formula>
    </cfRule>
  </conditionalFormatting>
  <conditionalFormatting sqref="D23:AY23">
    <cfRule type="cellIs" dxfId="507" priority="53" operator="notEqual">
      <formula>$B$2</formula>
    </cfRule>
  </conditionalFormatting>
  <conditionalFormatting sqref="D23:AY23">
    <cfRule type="expression" dxfId="506" priority="52">
      <formula>MOD(COLUMN(),2)=1</formula>
    </cfRule>
  </conditionalFormatting>
  <conditionalFormatting sqref="D23:AY23">
    <cfRule type="cellIs" dxfId="505" priority="51" operator="notEqual">
      <formula>$B$2</formula>
    </cfRule>
  </conditionalFormatting>
  <conditionalFormatting sqref="D23:AY23">
    <cfRule type="expression" dxfId="504" priority="50">
      <formula>MOD(COLUMN(),2)=1</formula>
    </cfRule>
  </conditionalFormatting>
  <conditionalFormatting sqref="D23:AY23">
    <cfRule type="cellIs" dxfId="503" priority="49" operator="notEqual">
      <formula>$B$2</formula>
    </cfRule>
  </conditionalFormatting>
  <conditionalFormatting sqref="D29:AY29">
    <cfRule type="expression" dxfId="502" priority="48">
      <formula>MOD(COLUMN(),2)=1</formula>
    </cfRule>
  </conditionalFormatting>
  <conditionalFormatting sqref="D29:AY29">
    <cfRule type="cellIs" dxfId="501" priority="47" operator="notEqual">
      <formula>$B$2</formula>
    </cfRule>
  </conditionalFormatting>
  <conditionalFormatting sqref="D29:AY29">
    <cfRule type="expression" dxfId="500" priority="46">
      <formula>MOD(COLUMN(),2)=1</formula>
    </cfRule>
  </conditionalFormatting>
  <conditionalFormatting sqref="D29:AY29">
    <cfRule type="cellIs" dxfId="499" priority="45" operator="notEqual">
      <formula>$B$2</formula>
    </cfRule>
  </conditionalFormatting>
  <conditionalFormatting sqref="D29:AY29">
    <cfRule type="expression" dxfId="498" priority="44">
      <formula>MOD(COLUMN(),2)=1</formula>
    </cfRule>
  </conditionalFormatting>
  <conditionalFormatting sqref="D29:AY29">
    <cfRule type="cellIs" dxfId="497" priority="43" operator="notEqual">
      <formula>$B$2</formula>
    </cfRule>
  </conditionalFormatting>
  <conditionalFormatting sqref="D29:AY29">
    <cfRule type="expression" dxfId="496" priority="42">
      <formula>MOD(COLUMN(),2)=1</formula>
    </cfRule>
  </conditionalFormatting>
  <conditionalFormatting sqref="D29:AY29">
    <cfRule type="cellIs" dxfId="495" priority="41" operator="notEqual">
      <formula>$B$2</formula>
    </cfRule>
  </conditionalFormatting>
  <conditionalFormatting sqref="D35:AY35">
    <cfRule type="expression" dxfId="494" priority="40">
      <formula>MOD(COLUMN(),2)=1</formula>
    </cfRule>
  </conditionalFormatting>
  <conditionalFormatting sqref="D35:AY35">
    <cfRule type="cellIs" dxfId="493" priority="39" operator="notEqual">
      <formula>$B$2</formula>
    </cfRule>
  </conditionalFormatting>
  <conditionalFormatting sqref="D35:AY35">
    <cfRule type="expression" dxfId="492" priority="38">
      <formula>MOD(COLUMN(),2)=1</formula>
    </cfRule>
  </conditionalFormatting>
  <conditionalFormatting sqref="D35:AY35">
    <cfRule type="cellIs" dxfId="491" priority="37" operator="notEqual">
      <formula>$B$2</formula>
    </cfRule>
  </conditionalFormatting>
  <conditionalFormatting sqref="D35:AY35">
    <cfRule type="expression" dxfId="490" priority="36">
      <formula>MOD(COLUMN(),2)=1</formula>
    </cfRule>
  </conditionalFormatting>
  <conditionalFormatting sqref="D35:AY35">
    <cfRule type="cellIs" dxfId="489" priority="35" operator="notEqual">
      <formula>$B$2</formula>
    </cfRule>
  </conditionalFormatting>
  <conditionalFormatting sqref="D35:AY35">
    <cfRule type="expression" dxfId="488" priority="34">
      <formula>MOD(COLUMN(),2)=1</formula>
    </cfRule>
  </conditionalFormatting>
  <conditionalFormatting sqref="D35:AY35">
    <cfRule type="cellIs" dxfId="487" priority="33" operator="notEqual">
      <formula>$B$2</formula>
    </cfRule>
  </conditionalFormatting>
  <conditionalFormatting sqref="D40:AY40">
    <cfRule type="expression" dxfId="486" priority="32">
      <formula>MOD(COLUMN(),2)=1</formula>
    </cfRule>
  </conditionalFormatting>
  <conditionalFormatting sqref="D40:AY40">
    <cfRule type="cellIs" dxfId="485" priority="31" operator="notEqual">
      <formula>$B$2</formula>
    </cfRule>
  </conditionalFormatting>
  <conditionalFormatting sqref="D40:AY40">
    <cfRule type="expression" dxfId="484" priority="30">
      <formula>MOD(COLUMN(),2)=1</formula>
    </cfRule>
  </conditionalFormatting>
  <conditionalFormatting sqref="D40:AY40">
    <cfRule type="cellIs" dxfId="483" priority="29" operator="notEqual">
      <formula>$B$2</formula>
    </cfRule>
  </conditionalFormatting>
  <conditionalFormatting sqref="D40:AY40">
    <cfRule type="expression" dxfId="482" priority="28">
      <formula>MOD(COLUMN(),2)=1</formula>
    </cfRule>
  </conditionalFormatting>
  <conditionalFormatting sqref="D40:AY40">
    <cfRule type="cellIs" dxfId="481" priority="27" operator="notEqual">
      <formula>$B$2</formula>
    </cfRule>
  </conditionalFormatting>
  <conditionalFormatting sqref="D40:AY40">
    <cfRule type="expression" dxfId="480" priority="26">
      <formula>MOD(COLUMN(),2)=1</formula>
    </cfRule>
  </conditionalFormatting>
  <conditionalFormatting sqref="D40:AY40">
    <cfRule type="cellIs" dxfId="479" priority="25" operator="notEqual">
      <formula>$B$2</formula>
    </cfRule>
  </conditionalFormatting>
  <conditionalFormatting sqref="D46:AY46">
    <cfRule type="expression" dxfId="478" priority="24">
      <formula>MOD(COLUMN(),2)=1</formula>
    </cfRule>
  </conditionalFormatting>
  <conditionalFormatting sqref="D46:AY46">
    <cfRule type="cellIs" dxfId="477" priority="23" operator="notEqual">
      <formula>$B$2</formula>
    </cfRule>
  </conditionalFormatting>
  <conditionalFormatting sqref="D46:AY46">
    <cfRule type="expression" dxfId="476" priority="22">
      <formula>MOD(COLUMN(),2)=1</formula>
    </cfRule>
  </conditionalFormatting>
  <conditionalFormatting sqref="D46:AY46">
    <cfRule type="cellIs" dxfId="475" priority="21" operator="notEqual">
      <formula>$B$2</formula>
    </cfRule>
  </conditionalFormatting>
  <conditionalFormatting sqref="D46:AY46">
    <cfRule type="expression" dxfId="474" priority="20">
      <formula>MOD(COLUMN(),2)=1</formula>
    </cfRule>
  </conditionalFormatting>
  <conditionalFormatting sqref="D46:AY46">
    <cfRule type="cellIs" dxfId="473" priority="19" operator="notEqual">
      <formula>$B$2</formula>
    </cfRule>
  </conditionalFormatting>
  <conditionalFormatting sqref="D46:AY46">
    <cfRule type="expression" dxfId="472" priority="18">
      <formula>MOD(COLUMN(),2)=1</formula>
    </cfRule>
  </conditionalFormatting>
  <conditionalFormatting sqref="D46:AY46">
    <cfRule type="cellIs" dxfId="471" priority="17" operator="notEqual">
      <formula>$B$2</formula>
    </cfRule>
  </conditionalFormatting>
  <conditionalFormatting sqref="D52:AY52">
    <cfRule type="expression" dxfId="470" priority="16">
      <formula>MOD(COLUMN(),2)=1</formula>
    </cfRule>
  </conditionalFormatting>
  <conditionalFormatting sqref="D52:AY52">
    <cfRule type="cellIs" dxfId="469" priority="15" operator="notEqual">
      <formula>$B$2</formula>
    </cfRule>
  </conditionalFormatting>
  <conditionalFormatting sqref="D52:AY52">
    <cfRule type="expression" dxfId="468" priority="14">
      <formula>MOD(COLUMN(),2)=1</formula>
    </cfRule>
  </conditionalFormatting>
  <conditionalFormatting sqref="D52:AY52">
    <cfRule type="cellIs" dxfId="467" priority="13" operator="notEqual">
      <formula>$B$2</formula>
    </cfRule>
  </conditionalFormatting>
  <conditionalFormatting sqref="D52:AY52">
    <cfRule type="expression" dxfId="466" priority="12">
      <formula>MOD(COLUMN(),2)=1</formula>
    </cfRule>
  </conditionalFormatting>
  <conditionalFormatting sqref="D52:AY52">
    <cfRule type="cellIs" dxfId="465" priority="11" operator="notEqual">
      <formula>$B$2</formula>
    </cfRule>
  </conditionalFormatting>
  <conditionalFormatting sqref="D52:AY52">
    <cfRule type="expression" dxfId="464" priority="10">
      <formula>MOD(COLUMN(),2)=1</formula>
    </cfRule>
  </conditionalFormatting>
  <conditionalFormatting sqref="D52:AY52">
    <cfRule type="cellIs" dxfId="463" priority="9" operator="notEqual">
      <formula>$B$2</formula>
    </cfRule>
  </conditionalFormatting>
  <conditionalFormatting sqref="D8:AY8">
    <cfRule type="expression" dxfId="462" priority="8">
      <formula>MOD(COLUMN(),2)=1</formula>
    </cfRule>
  </conditionalFormatting>
  <conditionalFormatting sqref="D8:AY8">
    <cfRule type="cellIs" dxfId="461" priority="7" operator="notEqual">
      <formula>$B$2</formula>
    </cfRule>
  </conditionalFormatting>
  <conditionalFormatting sqref="D8:AY8">
    <cfRule type="expression" dxfId="460" priority="6">
      <formula>MOD(COLUMN(),2)=1</formula>
    </cfRule>
  </conditionalFormatting>
  <conditionalFormatting sqref="D8:AY8">
    <cfRule type="cellIs" dxfId="459" priority="5" operator="notEqual">
      <formula>$B$2</formula>
    </cfRule>
  </conditionalFormatting>
  <conditionalFormatting sqref="D8:AY8">
    <cfRule type="expression" dxfId="458" priority="4">
      <formula>MOD(COLUMN(),2)=1</formula>
    </cfRule>
  </conditionalFormatting>
  <conditionalFormatting sqref="D8:AY8">
    <cfRule type="cellIs" dxfId="457" priority="3" operator="notEqual">
      <formula>$B$2</formula>
    </cfRule>
  </conditionalFormatting>
  <conditionalFormatting sqref="D8:AY8">
    <cfRule type="expression" dxfId="456" priority="2">
      <formula>MOD(COLUMN(),2)=1</formula>
    </cfRule>
  </conditionalFormatting>
  <conditionalFormatting sqref="D8:AY8">
    <cfRule type="cellIs" dxfId="455" priority="1" operator="notEqual">
      <formula>$B$2</formula>
    </cfRule>
  </conditionalFormatting>
  <dataValidations count="1">
    <dataValidation type="whole" allowBlank="1" showInputMessage="1" showErrorMessage="1" errorTitle="STOP" error="ANGKA YANG DIMASUKAN MELEBIHI 4" prompt="4 =  Selalu&#10;3 = Sering&#10;2 = Kadang2&#10;1 = Tidak Pernah" sqref="D3:AY7 D47:AY51 D41:AY45 D36:AY39 D30:AY34 D24:AY28 D15:AY22 D9:AY13">
      <formula1>1</formula1>
      <formula2>4</formula2>
    </dataValidation>
  </dataValidation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21"/>
  <dimension ref="A1:AY54"/>
  <sheetViews>
    <sheetView workbookViewId="0">
      <selection activeCell="C13" sqref="C13"/>
    </sheetView>
  </sheetViews>
  <sheetFormatPr defaultRowHeight="15" customHeight="1"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7" t="s">
        <v>317</v>
      </c>
      <c r="B1" s="158"/>
      <c r="C1" s="158"/>
      <c r="D1" s="176" t="e">
        <f>#REF!</f>
        <v>#REF!</v>
      </c>
      <c r="E1" s="176" t="e">
        <f>#REF!</f>
        <v>#REF!</v>
      </c>
      <c r="F1" s="176" t="e">
        <f>#REF!</f>
        <v>#REF!</v>
      </c>
      <c r="G1" s="176" t="e">
        <f>#REF!</f>
        <v>#REF!</v>
      </c>
      <c r="H1" s="176" t="e">
        <f>#REF!</f>
        <v>#REF!</v>
      </c>
      <c r="I1" s="176" t="e">
        <f>#REF!</f>
        <v>#REF!</v>
      </c>
      <c r="J1" s="176" t="e">
        <f>#REF!</f>
        <v>#REF!</v>
      </c>
      <c r="K1" s="176" t="e">
        <f>#REF!</f>
        <v>#REF!</v>
      </c>
      <c r="L1" s="176" t="e">
        <f>#REF!</f>
        <v>#REF!</v>
      </c>
      <c r="M1" s="176" t="e">
        <f>#REF!</f>
        <v>#REF!</v>
      </c>
      <c r="N1" s="176" t="e">
        <f>#REF!</f>
        <v>#REF!</v>
      </c>
      <c r="O1" s="176" t="e">
        <f>#REF!</f>
        <v>#REF!</v>
      </c>
      <c r="P1" s="176" t="e">
        <f>#REF!</f>
        <v>#REF!</v>
      </c>
      <c r="Q1" s="176" t="e">
        <f>#REF!</f>
        <v>#REF!</v>
      </c>
      <c r="R1" s="176" t="e">
        <f>#REF!</f>
        <v>#REF!</v>
      </c>
      <c r="S1" s="176" t="e">
        <f>#REF!</f>
        <v>#REF!</v>
      </c>
      <c r="T1" s="176" t="e">
        <f>#REF!</f>
        <v>#REF!</v>
      </c>
      <c r="U1" s="176" t="e">
        <f>#REF!</f>
        <v>#REF!</v>
      </c>
      <c r="V1" s="176" t="e">
        <f>#REF!</f>
        <v>#REF!</v>
      </c>
      <c r="W1" s="176" t="e">
        <f>#REF!</f>
        <v>#REF!</v>
      </c>
      <c r="X1" s="176" t="e">
        <f>#REF!</f>
        <v>#REF!</v>
      </c>
      <c r="Y1" s="176" t="e">
        <f>#REF!</f>
        <v>#REF!</v>
      </c>
      <c r="Z1" s="176" t="e">
        <f>#REF!</f>
        <v>#REF!</v>
      </c>
      <c r="AA1" s="176" t="e">
        <f>#REF!</f>
        <v>#REF!</v>
      </c>
      <c r="AB1" s="176" t="e">
        <f>#REF!</f>
        <v>#REF!</v>
      </c>
      <c r="AC1" s="176" t="e">
        <f>#REF!</f>
        <v>#REF!</v>
      </c>
      <c r="AD1" s="176" t="e">
        <f>#REF!</f>
        <v>#REF!</v>
      </c>
      <c r="AE1" s="176" t="e">
        <f>#REF!</f>
        <v>#REF!</v>
      </c>
      <c r="AF1" s="176" t="e">
        <f>#REF!</f>
        <v>#REF!</v>
      </c>
      <c r="AG1" s="176" t="e">
        <f>#REF!</f>
        <v>#REF!</v>
      </c>
      <c r="AH1" s="176" t="e">
        <f>#REF!</f>
        <v>#REF!</v>
      </c>
      <c r="AI1" s="176" t="e">
        <f>#REF!</f>
        <v>#REF!</v>
      </c>
      <c r="AJ1" s="176" t="e">
        <f>#REF!</f>
        <v>#REF!</v>
      </c>
      <c r="AK1" s="176" t="e">
        <f>#REF!</f>
        <v>#REF!</v>
      </c>
      <c r="AL1" s="176" t="e">
        <f>#REF!</f>
        <v>#REF!</v>
      </c>
      <c r="AM1" s="176" t="e">
        <f>#REF!</f>
        <v>#REF!</v>
      </c>
      <c r="AN1" s="176" t="e">
        <f>#REF!</f>
        <v>#REF!</v>
      </c>
      <c r="AO1" s="176" t="e">
        <f>#REF!</f>
        <v>#REF!</v>
      </c>
      <c r="AP1" s="176" t="e">
        <f>#REF!</f>
        <v>#REF!</v>
      </c>
      <c r="AQ1" s="176" t="e">
        <f>#REF!</f>
        <v>#REF!</v>
      </c>
      <c r="AR1" s="176" t="e">
        <f>#REF!</f>
        <v>#REF!</v>
      </c>
      <c r="AS1" s="176" t="e">
        <f>#REF!</f>
        <v>#REF!</v>
      </c>
      <c r="AT1" s="176" t="e">
        <f>#REF!</f>
        <v>#REF!</v>
      </c>
      <c r="AU1" s="176" t="e">
        <f>#REF!</f>
        <v>#REF!</v>
      </c>
      <c r="AV1" s="176" t="e">
        <f>#REF!</f>
        <v>#REF!</v>
      </c>
      <c r="AW1" s="176" t="e">
        <f>#REF!</f>
        <v>#REF!</v>
      </c>
      <c r="AX1" s="176" t="e">
        <f>#REF!</f>
        <v>#REF!</v>
      </c>
      <c r="AY1" s="176" t="e">
        <f>#REF!</f>
        <v>#REF!</v>
      </c>
    </row>
    <row r="2" spans="1:51" ht="15.75" thickBot="1">
      <c r="A2" s="161" t="s">
        <v>14</v>
      </c>
      <c r="B2" s="161" t="s">
        <v>34</v>
      </c>
      <c r="C2" s="161" t="s">
        <v>114</v>
      </c>
      <c r="D2" s="162"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row>
    <row r="3" spans="1:51" ht="15.75" thickTop="1">
      <c r="A3" s="619" t="s">
        <v>207</v>
      </c>
      <c r="B3" s="173" t="s">
        <v>208</v>
      </c>
      <c r="C3" s="174" t="s">
        <v>209</v>
      </c>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row>
    <row r="4" spans="1:51">
      <c r="A4" s="617"/>
      <c r="B4" s="164" t="s">
        <v>210</v>
      </c>
      <c r="C4" s="165" t="s">
        <v>211</v>
      </c>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row>
    <row r="5" spans="1:51">
      <c r="A5" s="617"/>
      <c r="B5" s="164" t="s">
        <v>212</v>
      </c>
      <c r="C5" s="165" t="s">
        <v>213</v>
      </c>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row>
    <row r="6" spans="1:51">
      <c r="A6" s="617"/>
      <c r="B6" s="164" t="s">
        <v>214</v>
      </c>
      <c r="C6" s="165" t="s">
        <v>215</v>
      </c>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row>
    <row r="7" spans="1:51">
      <c r="A7" s="617"/>
      <c r="B7" s="164" t="s">
        <v>216</v>
      </c>
      <c r="C7" s="165" t="s">
        <v>217</v>
      </c>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row>
    <row r="8" spans="1:51">
      <c r="A8" s="617"/>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row>
    <row r="9" spans="1:51">
      <c r="A9" s="618" t="s">
        <v>8</v>
      </c>
      <c r="B9" s="164" t="s">
        <v>149</v>
      </c>
      <c r="C9" s="165" t="s">
        <v>150</v>
      </c>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row>
    <row r="10" spans="1:51">
      <c r="A10" s="618"/>
      <c r="B10" s="164" t="s">
        <v>151</v>
      </c>
      <c r="C10" s="165" t="s">
        <v>152</v>
      </c>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row>
    <row r="11" spans="1:51">
      <c r="A11" s="618"/>
      <c r="B11" s="164" t="s">
        <v>153</v>
      </c>
      <c r="C11" s="165" t="s">
        <v>154</v>
      </c>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row>
    <row r="12" spans="1:51">
      <c r="A12" s="618"/>
      <c r="B12" s="164" t="s">
        <v>155</v>
      </c>
      <c r="C12" s="165" t="s">
        <v>64</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row>
    <row r="13" spans="1:51">
      <c r="A13" s="618"/>
      <c r="B13" s="164" t="s">
        <v>156</v>
      </c>
      <c r="C13" s="165" t="s">
        <v>65</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row>
    <row r="14" spans="1:51">
      <c r="A14" s="618"/>
      <c r="B14" s="166"/>
      <c r="C14" s="167"/>
      <c r="D14" s="171" t="str">
        <f>IF(AND(D9="",D10="",D11="",D12="",D13=""),"",AVERAGE(D9:D13))</f>
        <v/>
      </c>
      <c r="E14" s="171" t="str">
        <f t="shared" ref="E14:AY14" si="1">IF(AND(E9="",E10="",E11="",E12="",E13=""),"",AVERAGE(E9:E13))</f>
        <v/>
      </c>
      <c r="F14" s="171" t="str">
        <f t="shared" si="1"/>
        <v/>
      </c>
      <c r="G14" s="171" t="str">
        <f t="shared" si="1"/>
        <v/>
      </c>
      <c r="H14" s="171" t="str">
        <f t="shared" si="1"/>
        <v/>
      </c>
      <c r="I14" s="171" t="str">
        <f t="shared" si="1"/>
        <v/>
      </c>
      <c r="J14" s="171" t="str">
        <f t="shared" si="1"/>
        <v/>
      </c>
      <c r="K14" s="171" t="str">
        <f t="shared" si="1"/>
        <v/>
      </c>
      <c r="L14" s="171" t="str">
        <f t="shared" si="1"/>
        <v/>
      </c>
      <c r="M14" s="171" t="str">
        <f t="shared" si="1"/>
        <v/>
      </c>
      <c r="N14" s="171" t="str">
        <f t="shared" si="1"/>
        <v/>
      </c>
      <c r="O14" s="171" t="str">
        <f t="shared" si="1"/>
        <v/>
      </c>
      <c r="P14" s="171" t="str">
        <f t="shared" si="1"/>
        <v/>
      </c>
      <c r="Q14" s="171" t="str">
        <f t="shared" si="1"/>
        <v/>
      </c>
      <c r="R14" s="171" t="str">
        <f t="shared" si="1"/>
        <v/>
      </c>
      <c r="S14" s="171" t="str">
        <f t="shared" si="1"/>
        <v/>
      </c>
      <c r="T14" s="171" t="str">
        <f t="shared" si="1"/>
        <v/>
      </c>
      <c r="U14" s="171" t="str">
        <f t="shared" si="1"/>
        <v/>
      </c>
      <c r="V14" s="171" t="str">
        <f t="shared" si="1"/>
        <v/>
      </c>
      <c r="W14" s="171" t="str">
        <f t="shared" si="1"/>
        <v/>
      </c>
      <c r="X14" s="171" t="str">
        <f t="shared" si="1"/>
        <v/>
      </c>
      <c r="Y14" s="171" t="str">
        <f t="shared" si="1"/>
        <v/>
      </c>
      <c r="Z14" s="171" t="str">
        <f t="shared" si="1"/>
        <v/>
      </c>
      <c r="AA14" s="171" t="str">
        <f t="shared" si="1"/>
        <v/>
      </c>
      <c r="AB14" s="171" t="str">
        <f t="shared" si="1"/>
        <v/>
      </c>
      <c r="AC14" s="171" t="str">
        <f t="shared" si="1"/>
        <v/>
      </c>
      <c r="AD14" s="171" t="str">
        <f t="shared" si="1"/>
        <v/>
      </c>
      <c r="AE14" s="171" t="str">
        <f t="shared" si="1"/>
        <v/>
      </c>
      <c r="AF14" s="171" t="str">
        <f t="shared" si="1"/>
        <v/>
      </c>
      <c r="AG14" s="171" t="str">
        <f t="shared" si="1"/>
        <v/>
      </c>
      <c r="AH14" s="171" t="str">
        <f t="shared" si="1"/>
        <v/>
      </c>
      <c r="AI14" s="171" t="str">
        <f t="shared" si="1"/>
        <v/>
      </c>
      <c r="AJ14" s="171" t="str">
        <f t="shared" si="1"/>
        <v/>
      </c>
      <c r="AK14" s="171" t="str">
        <f t="shared" si="1"/>
        <v/>
      </c>
      <c r="AL14" s="171" t="str">
        <f t="shared" si="1"/>
        <v/>
      </c>
      <c r="AM14" s="171" t="str">
        <f t="shared" si="1"/>
        <v/>
      </c>
      <c r="AN14" s="171" t="str">
        <f t="shared" si="1"/>
        <v/>
      </c>
      <c r="AO14" s="171" t="str">
        <f t="shared" si="1"/>
        <v/>
      </c>
      <c r="AP14" s="171" t="str">
        <f t="shared" si="1"/>
        <v/>
      </c>
      <c r="AQ14" s="171" t="str">
        <f t="shared" si="1"/>
        <v/>
      </c>
      <c r="AR14" s="171" t="str">
        <f t="shared" si="1"/>
        <v/>
      </c>
      <c r="AS14" s="171" t="str">
        <f t="shared" si="1"/>
        <v/>
      </c>
      <c r="AT14" s="171" t="str">
        <f t="shared" si="1"/>
        <v/>
      </c>
      <c r="AU14" s="171" t="str">
        <f t="shared" si="1"/>
        <v/>
      </c>
      <c r="AV14" s="171" t="str">
        <f t="shared" si="1"/>
        <v/>
      </c>
      <c r="AW14" s="171" t="str">
        <f t="shared" si="1"/>
        <v/>
      </c>
      <c r="AX14" s="171" t="str">
        <f t="shared" si="1"/>
        <v/>
      </c>
      <c r="AY14" s="171" t="str">
        <f t="shared" si="1"/>
        <v/>
      </c>
    </row>
    <row r="15" spans="1:51">
      <c r="A15" s="617" t="s">
        <v>9</v>
      </c>
      <c r="B15" s="164" t="s">
        <v>157</v>
      </c>
      <c r="C15" s="165" t="s">
        <v>158</v>
      </c>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row>
    <row r="16" spans="1:51">
      <c r="A16" s="617"/>
      <c r="B16" s="164" t="s">
        <v>159</v>
      </c>
      <c r="C16" s="165" t="s">
        <v>67</v>
      </c>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row>
    <row r="17" spans="1:51">
      <c r="A17" s="617"/>
      <c r="B17" s="164" t="s">
        <v>160</v>
      </c>
      <c r="C17" s="165" t="s">
        <v>68</v>
      </c>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row>
    <row r="18" spans="1:51">
      <c r="A18" s="617"/>
      <c r="B18" s="164" t="s">
        <v>161</v>
      </c>
      <c r="C18" s="165" t="s">
        <v>69</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row>
    <row r="19" spans="1:51">
      <c r="A19" s="617"/>
      <c r="B19" s="164" t="s">
        <v>162</v>
      </c>
      <c r="C19" s="165" t="s">
        <v>70</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row>
    <row r="20" spans="1:51">
      <c r="A20" s="617"/>
      <c r="B20" s="164" t="s">
        <v>163</v>
      </c>
      <c r="C20" s="165" t="s">
        <v>164</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row>
    <row r="21" spans="1:51">
      <c r="A21" s="617"/>
      <c r="B21" s="164" t="s">
        <v>165</v>
      </c>
      <c r="C21" s="165" t="s">
        <v>166</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row>
    <row r="22" spans="1:51">
      <c r="A22" s="617"/>
      <c r="B22" s="164" t="s">
        <v>167</v>
      </c>
      <c r="C22" s="165" t="s">
        <v>168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row>
    <row r="23" spans="1:51">
      <c r="A23" s="617"/>
      <c r="B23" s="166"/>
      <c r="C23" s="167"/>
      <c r="D23" s="171" t="str">
        <f>IF(AND(D16="",D16="",D17="",D18="",D19="",D20="",D21="",D22=""),"",AVERAGE(D15:D22))</f>
        <v/>
      </c>
      <c r="E23" s="171" t="str">
        <f t="shared" ref="E23:AY23" si="2">IF(AND(E16="",E16="",E17="",E18="",E19="",E20="",E21="",E22=""),"",AVERAGE(E15:E22))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row>
    <row r="24" spans="1:51" ht="15" customHeight="1">
      <c r="A24" s="618" t="s">
        <v>169</v>
      </c>
      <c r="B24" s="164" t="s">
        <v>170</v>
      </c>
      <c r="C24" s="165" t="s">
        <v>74</v>
      </c>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row>
    <row r="25" spans="1:51">
      <c r="A25" s="618"/>
      <c r="B25" s="164" t="s">
        <v>171</v>
      </c>
      <c r="C25" s="165" t="s">
        <v>75</v>
      </c>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row>
    <row r="26" spans="1:51">
      <c r="A26" s="618"/>
      <c r="B26" s="164" t="s">
        <v>172</v>
      </c>
      <c r="C26" s="165" t="s">
        <v>173</v>
      </c>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row>
    <row r="27" spans="1:51">
      <c r="A27" s="618"/>
      <c r="B27" s="164" t="s">
        <v>174</v>
      </c>
      <c r="C27" s="165" t="s">
        <v>77</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row>
    <row r="28" spans="1:51">
      <c r="A28" s="618"/>
      <c r="B28" s="164" t="s">
        <v>175</v>
      </c>
      <c r="C28" s="165" t="s">
        <v>78</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row>
    <row r="29" spans="1:51">
      <c r="A29" s="618"/>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row>
    <row r="30" spans="1:51" ht="15" customHeight="1">
      <c r="A30" s="617" t="s">
        <v>10</v>
      </c>
      <c r="B30" s="164" t="s">
        <v>176</v>
      </c>
      <c r="C30" s="165" t="s">
        <v>177</v>
      </c>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row>
    <row r="31" spans="1:51">
      <c r="A31" s="617"/>
      <c r="B31" s="164" t="s">
        <v>178</v>
      </c>
      <c r="C31" s="165" t="s">
        <v>179</v>
      </c>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row>
    <row r="32" spans="1:51">
      <c r="A32" s="617"/>
      <c r="B32" s="164" t="s">
        <v>180</v>
      </c>
      <c r="C32" s="165" t="s">
        <v>181</v>
      </c>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row>
    <row r="33" spans="1:51">
      <c r="A33" s="617"/>
      <c r="B33" s="164" t="s">
        <v>182</v>
      </c>
      <c r="C33" s="165" t="s">
        <v>82</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row>
    <row r="34" spans="1:51">
      <c r="A34" s="617"/>
      <c r="B34" s="164" t="s">
        <v>183</v>
      </c>
      <c r="C34" s="165" t="s">
        <v>83</v>
      </c>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row>
    <row r="35" spans="1:51">
      <c r="A35" s="617"/>
      <c r="B35" s="166"/>
      <c r="C35" s="167"/>
      <c r="D35" s="171" t="str">
        <f>IF(AND(D30="",D31="",D32="",D33="",D34=""),"",AVERAGE(D30:D34))</f>
        <v/>
      </c>
      <c r="E35" s="171" t="str">
        <f t="shared" ref="E35:AY35" si="4">IF(AND(E30="",E31="",E32="",E33="",E34=""),"",AVERAGE(E30:E34))</f>
        <v/>
      </c>
      <c r="F35" s="171" t="str">
        <f t="shared" si="4"/>
        <v/>
      </c>
      <c r="G35" s="171" t="str">
        <f t="shared" si="4"/>
        <v/>
      </c>
      <c r="H35" s="171" t="str">
        <f t="shared" si="4"/>
        <v/>
      </c>
      <c r="I35" s="171" t="str">
        <f t="shared" si="4"/>
        <v/>
      </c>
      <c r="J35" s="171" t="str">
        <f t="shared" si="4"/>
        <v/>
      </c>
      <c r="K35" s="171" t="str">
        <f t="shared" si="4"/>
        <v/>
      </c>
      <c r="L35" s="171" t="str">
        <f t="shared" si="4"/>
        <v/>
      </c>
      <c r="M35" s="171" t="str">
        <f t="shared" si="4"/>
        <v/>
      </c>
      <c r="N35" s="171" t="str">
        <f t="shared" si="4"/>
        <v/>
      </c>
      <c r="O35" s="171" t="str">
        <f t="shared" si="4"/>
        <v/>
      </c>
      <c r="P35" s="171" t="str">
        <f t="shared" si="4"/>
        <v/>
      </c>
      <c r="Q35" s="171" t="str">
        <f t="shared" si="4"/>
        <v/>
      </c>
      <c r="R35" s="171" t="str">
        <f t="shared" si="4"/>
        <v/>
      </c>
      <c r="S35" s="171" t="str">
        <f t="shared" si="4"/>
        <v/>
      </c>
      <c r="T35" s="171" t="str">
        <f t="shared" si="4"/>
        <v/>
      </c>
      <c r="U35" s="171" t="str">
        <f t="shared" si="4"/>
        <v/>
      </c>
      <c r="V35" s="171" t="str">
        <f t="shared" si="4"/>
        <v/>
      </c>
      <c r="W35" s="171" t="str">
        <f t="shared" si="4"/>
        <v/>
      </c>
      <c r="X35" s="171" t="str">
        <f t="shared" si="4"/>
        <v/>
      </c>
      <c r="Y35" s="171" t="str">
        <f t="shared" si="4"/>
        <v/>
      </c>
      <c r="Z35" s="171" t="str">
        <f t="shared" si="4"/>
        <v/>
      </c>
      <c r="AA35" s="171" t="str">
        <f t="shared" si="4"/>
        <v/>
      </c>
      <c r="AB35" s="171" t="str">
        <f t="shared" si="4"/>
        <v/>
      </c>
      <c r="AC35" s="171" t="str">
        <f t="shared" si="4"/>
        <v/>
      </c>
      <c r="AD35" s="171" t="str">
        <f t="shared" si="4"/>
        <v/>
      </c>
      <c r="AE35" s="171" t="str">
        <f t="shared" si="4"/>
        <v/>
      </c>
      <c r="AF35" s="171" t="str">
        <f t="shared" si="4"/>
        <v/>
      </c>
      <c r="AG35" s="171" t="str">
        <f t="shared" si="4"/>
        <v/>
      </c>
      <c r="AH35" s="171" t="str">
        <f t="shared" si="4"/>
        <v/>
      </c>
      <c r="AI35" s="171" t="str">
        <f t="shared" si="4"/>
        <v/>
      </c>
      <c r="AJ35" s="171" t="str">
        <f t="shared" si="4"/>
        <v/>
      </c>
      <c r="AK35" s="171" t="str">
        <f t="shared" si="4"/>
        <v/>
      </c>
      <c r="AL35" s="171" t="str">
        <f t="shared" si="4"/>
        <v/>
      </c>
      <c r="AM35" s="171" t="str">
        <f t="shared" si="4"/>
        <v/>
      </c>
      <c r="AN35" s="171" t="str">
        <f t="shared" si="4"/>
        <v/>
      </c>
      <c r="AO35" s="171" t="str">
        <f t="shared" si="4"/>
        <v/>
      </c>
      <c r="AP35" s="171" t="str">
        <f t="shared" si="4"/>
        <v/>
      </c>
      <c r="AQ35" s="171" t="str">
        <f t="shared" si="4"/>
        <v/>
      </c>
      <c r="AR35" s="171" t="str">
        <f t="shared" si="4"/>
        <v/>
      </c>
      <c r="AS35" s="171" t="str">
        <f t="shared" si="4"/>
        <v/>
      </c>
      <c r="AT35" s="171" t="str">
        <f t="shared" si="4"/>
        <v/>
      </c>
      <c r="AU35" s="171" t="str">
        <f t="shared" si="4"/>
        <v/>
      </c>
      <c r="AV35" s="171" t="str">
        <f t="shared" si="4"/>
        <v/>
      </c>
      <c r="AW35" s="171" t="str">
        <f t="shared" si="4"/>
        <v/>
      </c>
      <c r="AX35" s="171" t="str">
        <f t="shared" si="4"/>
        <v/>
      </c>
      <c r="AY35" s="171" t="str">
        <f t="shared" si="4"/>
        <v/>
      </c>
    </row>
    <row r="36" spans="1:51" ht="15" customHeight="1">
      <c r="A36" s="618" t="s">
        <v>184</v>
      </c>
      <c r="B36" s="164" t="s">
        <v>185</v>
      </c>
      <c r="C36" s="165" t="s">
        <v>84</v>
      </c>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row>
    <row r="37" spans="1:51">
      <c r="A37" s="618"/>
      <c r="B37" s="164" t="s">
        <v>186</v>
      </c>
      <c r="C37" s="165" t="s">
        <v>187</v>
      </c>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row>
    <row r="38" spans="1:51">
      <c r="A38" s="618"/>
      <c r="B38" s="164" t="s">
        <v>188</v>
      </c>
      <c r="C38" s="165" t="s">
        <v>86</v>
      </c>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row>
    <row r="39" spans="1:51">
      <c r="A39" s="618"/>
      <c r="B39" s="164" t="s">
        <v>189</v>
      </c>
      <c r="C39" s="165" t="s">
        <v>190</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row>
    <row r="40" spans="1:51">
      <c r="A40" s="618"/>
      <c r="B40" s="166"/>
      <c r="C40" s="167"/>
      <c r="D40" s="171" t="str">
        <f>IF(AND(D36="",D37="",D38="",D39=""),"",AVERAGE(D36:D39))</f>
        <v/>
      </c>
      <c r="E40" s="171" t="str">
        <f t="shared" ref="E40:AY40" si="5">IF(AND(E36="",E37="",E38="",E39=""),"",AVERAGE(E36:E39))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row>
    <row r="41" spans="1:51" ht="15" customHeight="1">
      <c r="A41" s="617" t="s">
        <v>12</v>
      </c>
      <c r="B41" s="164" t="s">
        <v>191</v>
      </c>
      <c r="C41" s="165" t="s">
        <v>88</v>
      </c>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row>
    <row r="42" spans="1:51">
      <c r="A42" s="617"/>
      <c r="B42" s="164" t="s">
        <v>192</v>
      </c>
      <c r="C42" s="165" t="s">
        <v>89</v>
      </c>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row>
    <row r="43" spans="1:51">
      <c r="A43" s="617"/>
      <c r="B43" s="164" t="s">
        <v>193</v>
      </c>
      <c r="C43" s="165" t="s">
        <v>90</v>
      </c>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row>
    <row r="44" spans="1:51">
      <c r="A44" s="617"/>
      <c r="B44" s="164" t="s">
        <v>194</v>
      </c>
      <c r="C44" s="165" t="s">
        <v>195</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row>
    <row r="45" spans="1:51">
      <c r="A45" s="617"/>
      <c r="B45" s="164" t="s">
        <v>196</v>
      </c>
      <c r="C45" s="165" t="s">
        <v>197</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row>
    <row r="46" spans="1:51">
      <c r="A46" s="617"/>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row>
    <row r="47" spans="1:51" ht="15" customHeight="1">
      <c r="A47" s="618" t="s">
        <v>13</v>
      </c>
      <c r="B47" s="164" t="s">
        <v>198</v>
      </c>
      <c r="C47" s="165" t="s">
        <v>93</v>
      </c>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row>
    <row r="48" spans="1:51">
      <c r="A48" s="618"/>
      <c r="B48" s="164" t="s">
        <v>199</v>
      </c>
      <c r="C48" s="165" t="s">
        <v>94</v>
      </c>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row>
    <row r="49" spans="1:51">
      <c r="A49" s="618"/>
      <c r="B49" s="164" t="s">
        <v>200</v>
      </c>
      <c r="C49" s="165" t="s">
        <v>201</v>
      </c>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row>
    <row r="50" spans="1:51">
      <c r="A50" s="618"/>
      <c r="B50" s="164" t="s">
        <v>202</v>
      </c>
      <c r="C50" s="165" t="s">
        <v>203</v>
      </c>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row>
    <row r="51" spans="1:51">
      <c r="A51" s="618"/>
      <c r="B51" s="164" t="s">
        <v>204</v>
      </c>
      <c r="C51" s="165" t="s">
        <v>205</v>
      </c>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row>
    <row r="52" spans="1:51">
      <c r="A52" s="618"/>
      <c r="B52" s="166"/>
      <c r="C52" s="167"/>
      <c r="D52" s="171" t="str">
        <f>IF(AND(D47="",D48="",D49="",D50="",D51=""),"",AVERAGE(D47:D51))</f>
        <v/>
      </c>
      <c r="E52" s="171" t="str">
        <f t="shared" ref="E52:AY52" si="7">IF(AND(E47="",E48="",E49="",E50="",E51=""),"",AVERAGE(E47:E51))</f>
        <v/>
      </c>
      <c r="F52" s="171" t="str">
        <f t="shared" si="7"/>
        <v/>
      </c>
      <c r="G52" s="171" t="str">
        <f t="shared" si="7"/>
        <v/>
      </c>
      <c r="H52" s="171" t="str">
        <f t="shared" si="7"/>
        <v/>
      </c>
      <c r="I52" s="171" t="str">
        <f t="shared" si="7"/>
        <v/>
      </c>
      <c r="J52" s="171" t="str">
        <f t="shared" si="7"/>
        <v/>
      </c>
      <c r="K52" s="171" t="str">
        <f t="shared" si="7"/>
        <v/>
      </c>
      <c r="L52" s="171" t="str">
        <f t="shared" si="7"/>
        <v/>
      </c>
      <c r="M52" s="171" t="str">
        <f t="shared" si="7"/>
        <v/>
      </c>
      <c r="N52" s="171" t="str">
        <f t="shared" si="7"/>
        <v/>
      </c>
      <c r="O52" s="171" t="str">
        <f t="shared" si="7"/>
        <v/>
      </c>
      <c r="P52" s="171" t="str">
        <f t="shared" si="7"/>
        <v/>
      </c>
      <c r="Q52" s="171" t="str">
        <f t="shared" si="7"/>
        <v/>
      </c>
      <c r="R52" s="171" t="str">
        <f t="shared" si="7"/>
        <v/>
      </c>
      <c r="S52" s="171" t="str">
        <f t="shared" si="7"/>
        <v/>
      </c>
      <c r="T52" s="171" t="str">
        <f t="shared" si="7"/>
        <v/>
      </c>
      <c r="U52" s="171" t="str">
        <f t="shared" si="7"/>
        <v/>
      </c>
      <c r="V52" s="171" t="str">
        <f t="shared" si="7"/>
        <v/>
      </c>
      <c r="W52" s="171" t="str">
        <f t="shared" si="7"/>
        <v/>
      </c>
      <c r="X52" s="171" t="str">
        <f t="shared" si="7"/>
        <v/>
      </c>
      <c r="Y52" s="171" t="str">
        <f t="shared" si="7"/>
        <v/>
      </c>
      <c r="Z52" s="171" t="str">
        <f t="shared" si="7"/>
        <v/>
      </c>
      <c r="AA52" s="171" t="str">
        <f t="shared" si="7"/>
        <v/>
      </c>
      <c r="AB52" s="171" t="str">
        <f t="shared" si="7"/>
        <v/>
      </c>
      <c r="AC52" s="171" t="str">
        <f t="shared" si="7"/>
        <v/>
      </c>
      <c r="AD52" s="171" t="str">
        <f t="shared" si="7"/>
        <v/>
      </c>
      <c r="AE52" s="171" t="str">
        <f t="shared" si="7"/>
        <v/>
      </c>
      <c r="AF52" s="171" t="str">
        <f t="shared" si="7"/>
        <v/>
      </c>
      <c r="AG52" s="171" t="str">
        <f t="shared" si="7"/>
        <v/>
      </c>
      <c r="AH52" s="171" t="str">
        <f t="shared" si="7"/>
        <v/>
      </c>
      <c r="AI52" s="171" t="str">
        <f t="shared" si="7"/>
        <v/>
      </c>
      <c r="AJ52" s="171" t="str">
        <f t="shared" si="7"/>
        <v/>
      </c>
      <c r="AK52" s="171" t="str">
        <f t="shared" si="7"/>
        <v/>
      </c>
      <c r="AL52" s="171" t="str">
        <f t="shared" si="7"/>
        <v/>
      </c>
      <c r="AM52" s="171" t="str">
        <f t="shared" si="7"/>
        <v/>
      </c>
      <c r="AN52" s="171" t="str">
        <f t="shared" si="7"/>
        <v/>
      </c>
      <c r="AO52" s="171" t="str">
        <f t="shared" si="7"/>
        <v/>
      </c>
      <c r="AP52" s="171" t="str">
        <f t="shared" si="7"/>
        <v/>
      </c>
      <c r="AQ52" s="171" t="str">
        <f t="shared" si="7"/>
        <v/>
      </c>
      <c r="AR52" s="171" t="str">
        <f t="shared" si="7"/>
        <v/>
      </c>
      <c r="AS52" s="171" t="str">
        <f t="shared" si="7"/>
        <v/>
      </c>
      <c r="AT52" s="171" t="str">
        <f t="shared" si="7"/>
        <v/>
      </c>
      <c r="AU52" s="171" t="str">
        <f t="shared" si="7"/>
        <v/>
      </c>
      <c r="AV52" s="171" t="str">
        <f t="shared" si="7"/>
        <v/>
      </c>
      <c r="AW52" s="171" t="str">
        <f t="shared" si="7"/>
        <v/>
      </c>
      <c r="AX52" s="171" t="str">
        <f t="shared" si="7"/>
        <v/>
      </c>
      <c r="AY52" s="171" t="str">
        <f t="shared" si="7"/>
        <v/>
      </c>
    </row>
    <row r="53" spans="1:51">
      <c r="A53" s="175"/>
      <c r="B53" s="175"/>
      <c r="C53" s="175"/>
      <c r="D53" s="34"/>
      <c r="E53" s="34"/>
      <c r="F53" s="91"/>
      <c r="G53" s="91"/>
      <c r="H53" s="91"/>
      <c r="I53" s="91"/>
      <c r="J53" s="91"/>
      <c r="K53" s="91"/>
      <c r="L53" s="91"/>
      <c r="M53" s="91"/>
      <c r="N53" s="91"/>
      <c r="O53" s="91"/>
      <c r="P53" s="91"/>
      <c r="Q53" s="91"/>
      <c r="R53" s="91"/>
      <c r="S53" s="91"/>
      <c r="T53" s="91"/>
      <c r="U53" s="91"/>
      <c r="V53" s="91"/>
      <c r="W53" s="91"/>
      <c r="X53" s="91"/>
      <c r="Y53" s="91"/>
      <c r="Z53" s="91"/>
      <c r="AA53" s="91"/>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91"/>
    </row>
    <row r="54" spans="1:51">
      <c r="A54" s="91"/>
      <c r="B54" s="91"/>
      <c r="C54" s="91"/>
      <c r="D54" s="177" t="e">
        <f>D52+D46+D40+D35+D29+D23+D14+D8</f>
        <v>#VALUE!</v>
      </c>
      <c r="E54" s="177" t="e">
        <f t="shared" ref="E54:AY54" si="8">E52+E46+E40+E35+E29+E23+E14+E8</f>
        <v>#VALUE!</v>
      </c>
      <c r="F54" s="177" t="e">
        <f t="shared" si="8"/>
        <v>#VALUE!</v>
      </c>
      <c r="G54" s="177" t="e">
        <f t="shared" si="8"/>
        <v>#VALUE!</v>
      </c>
      <c r="H54" s="177" t="e">
        <f t="shared" si="8"/>
        <v>#VALUE!</v>
      </c>
      <c r="I54" s="177" t="e">
        <f t="shared" si="8"/>
        <v>#VALUE!</v>
      </c>
      <c r="J54" s="177" t="e">
        <f t="shared" si="8"/>
        <v>#VALUE!</v>
      </c>
      <c r="K54" s="177" t="e">
        <f t="shared" si="8"/>
        <v>#VALUE!</v>
      </c>
      <c r="L54" s="177" t="e">
        <f t="shared" si="8"/>
        <v>#VALUE!</v>
      </c>
      <c r="M54" s="177" t="e">
        <f t="shared" si="8"/>
        <v>#VALUE!</v>
      </c>
      <c r="N54" s="177" t="e">
        <f t="shared" si="8"/>
        <v>#VALUE!</v>
      </c>
      <c r="O54" s="177" t="e">
        <f t="shared" si="8"/>
        <v>#VALUE!</v>
      </c>
      <c r="P54" s="177" t="e">
        <f t="shared" si="8"/>
        <v>#VALUE!</v>
      </c>
      <c r="Q54" s="177" t="e">
        <f t="shared" si="8"/>
        <v>#VALUE!</v>
      </c>
      <c r="R54" s="177" t="e">
        <f t="shared" si="8"/>
        <v>#VALUE!</v>
      </c>
      <c r="S54" s="177" t="e">
        <f t="shared" si="8"/>
        <v>#VALUE!</v>
      </c>
      <c r="T54" s="177" t="e">
        <f t="shared" si="8"/>
        <v>#VALUE!</v>
      </c>
      <c r="U54" s="177" t="e">
        <f t="shared" si="8"/>
        <v>#VALUE!</v>
      </c>
      <c r="V54" s="177" t="e">
        <f t="shared" si="8"/>
        <v>#VALUE!</v>
      </c>
      <c r="W54" s="177" t="e">
        <f t="shared" si="8"/>
        <v>#VALUE!</v>
      </c>
      <c r="X54" s="177" t="e">
        <f t="shared" si="8"/>
        <v>#VALUE!</v>
      </c>
      <c r="Y54" s="177" t="e">
        <f t="shared" si="8"/>
        <v>#VALUE!</v>
      </c>
      <c r="Z54" s="177" t="e">
        <f t="shared" si="8"/>
        <v>#VALUE!</v>
      </c>
      <c r="AA54" s="177" t="e">
        <f t="shared" si="8"/>
        <v>#VALUE!</v>
      </c>
      <c r="AB54" s="177" t="e">
        <f t="shared" si="8"/>
        <v>#VALUE!</v>
      </c>
      <c r="AC54" s="177" t="e">
        <f t="shared" si="8"/>
        <v>#VALUE!</v>
      </c>
      <c r="AD54" s="177" t="e">
        <f t="shared" si="8"/>
        <v>#VALUE!</v>
      </c>
      <c r="AE54" s="177" t="e">
        <f t="shared" si="8"/>
        <v>#VALUE!</v>
      </c>
      <c r="AF54" s="177" t="e">
        <f t="shared" si="8"/>
        <v>#VALUE!</v>
      </c>
      <c r="AG54" s="177" t="e">
        <f t="shared" si="8"/>
        <v>#VALUE!</v>
      </c>
      <c r="AH54" s="177" t="e">
        <f t="shared" si="8"/>
        <v>#VALUE!</v>
      </c>
      <c r="AI54" s="177" t="e">
        <f t="shared" si="8"/>
        <v>#VALUE!</v>
      </c>
      <c r="AJ54" s="177" t="e">
        <f t="shared" si="8"/>
        <v>#VALUE!</v>
      </c>
      <c r="AK54" s="177" t="e">
        <f t="shared" si="8"/>
        <v>#VALUE!</v>
      </c>
      <c r="AL54" s="177" t="e">
        <f t="shared" si="8"/>
        <v>#VALUE!</v>
      </c>
      <c r="AM54" s="177" t="e">
        <f t="shared" si="8"/>
        <v>#VALUE!</v>
      </c>
      <c r="AN54" s="177" t="e">
        <f t="shared" si="8"/>
        <v>#VALUE!</v>
      </c>
      <c r="AO54" s="177" t="e">
        <f t="shared" si="8"/>
        <v>#VALUE!</v>
      </c>
      <c r="AP54" s="177" t="e">
        <f t="shared" si="8"/>
        <v>#VALUE!</v>
      </c>
      <c r="AQ54" s="177" t="e">
        <f t="shared" si="8"/>
        <v>#VALUE!</v>
      </c>
      <c r="AR54" s="177" t="e">
        <f t="shared" si="8"/>
        <v>#VALUE!</v>
      </c>
      <c r="AS54" s="177" t="e">
        <f t="shared" si="8"/>
        <v>#VALUE!</v>
      </c>
      <c r="AT54" s="177" t="e">
        <f t="shared" si="8"/>
        <v>#VALUE!</v>
      </c>
      <c r="AU54" s="177" t="e">
        <f t="shared" si="8"/>
        <v>#VALUE!</v>
      </c>
      <c r="AV54" s="177" t="e">
        <f t="shared" si="8"/>
        <v>#VALUE!</v>
      </c>
      <c r="AW54" s="177" t="e">
        <f t="shared" si="8"/>
        <v>#VALUE!</v>
      </c>
      <c r="AX54" s="177" t="e">
        <f t="shared" si="8"/>
        <v>#VALUE!</v>
      </c>
      <c r="AY54" s="177" t="e">
        <f t="shared" si="8"/>
        <v>#VALUE!</v>
      </c>
    </row>
  </sheetData>
  <sheetProtection password="C522" sheet="1" objects="1" scenarios="1" formatCells="0" formatColumns="0" formatRows="0" insertColumns="0" insertRows="0" insertHyperlinks="0" deleteColumns="0" deleteRows="0" sort="0" autoFilter="0"/>
  <mergeCells count="8">
    <mergeCell ref="A41:A46"/>
    <mergeCell ref="A47:A52"/>
    <mergeCell ref="A3:A8"/>
    <mergeCell ref="A9:A14"/>
    <mergeCell ref="A15:A23"/>
    <mergeCell ref="A24:A29"/>
    <mergeCell ref="A30:A35"/>
    <mergeCell ref="A36:A40"/>
  </mergeCells>
  <conditionalFormatting sqref="AP2:XFD2 D1:AO2 D3:AY7">
    <cfRule type="expression" dxfId="454" priority="108">
      <formula>MOD(COLUMN(),2)=1</formula>
    </cfRule>
  </conditionalFormatting>
  <conditionalFormatting sqref="B8:C8 B14:C14 B46:C46 B52:C52 B35:C35 B29:C29">
    <cfRule type="cellIs" dxfId="453" priority="107" operator="notEqual">
      <formula>$B$2</formula>
    </cfRule>
  </conditionalFormatting>
  <conditionalFormatting sqref="B23:C23">
    <cfRule type="cellIs" dxfId="452" priority="106" operator="notEqual">
      <formula>$B$2</formula>
    </cfRule>
  </conditionalFormatting>
  <conditionalFormatting sqref="B40:C40">
    <cfRule type="cellIs" dxfId="451" priority="105" operator="notEqual">
      <formula>$B$2</formula>
    </cfRule>
  </conditionalFormatting>
  <conditionalFormatting sqref="AP2:XFD2 D1:AO2 D3:AY7">
    <cfRule type="expression" dxfId="450" priority="104">
      <formula>MOD(COLUMN(),2)=1</formula>
    </cfRule>
  </conditionalFormatting>
  <conditionalFormatting sqref="F1:AY1">
    <cfRule type="expression" dxfId="449" priority="100">
      <formula>MOD(COLUMN(),2)=1</formula>
    </cfRule>
  </conditionalFormatting>
  <conditionalFormatting sqref="D1:E2 F2:AY2 D3:AY7">
    <cfRule type="expression" dxfId="448" priority="98">
      <formula>MOD(COLUMN(),2)=1</formula>
    </cfRule>
  </conditionalFormatting>
  <conditionalFormatting sqref="B8:C8 B14:C14 B46:C46 B52:C52 B35:C35 B29:C29">
    <cfRule type="cellIs" dxfId="447" priority="97" operator="notEqual">
      <formula>$B$2</formula>
    </cfRule>
  </conditionalFormatting>
  <conditionalFormatting sqref="B23:C23">
    <cfRule type="cellIs" dxfId="446" priority="96" operator="notEqual">
      <formula>$B$2</formula>
    </cfRule>
  </conditionalFormatting>
  <conditionalFormatting sqref="B40:C40">
    <cfRule type="cellIs" dxfId="445" priority="95" operator="notEqual">
      <formula>$B$2</formula>
    </cfRule>
  </conditionalFormatting>
  <conditionalFormatting sqref="D1:E2 F2:AY2 D3:AY7">
    <cfRule type="expression" dxfId="444" priority="94">
      <formula>MOD(COLUMN(),2)=1</formula>
    </cfRule>
  </conditionalFormatting>
  <conditionalFormatting sqref="D9:AY13 D15:AY22 D24:AY28 D30:AY34 D36:AY39 D41:AY45 D47:AY51">
    <cfRule type="expression" dxfId="443" priority="65">
      <formula>MOD(COLUMN(),2)=1</formula>
    </cfRule>
  </conditionalFormatting>
  <conditionalFormatting sqref="D14:AY14">
    <cfRule type="expression" dxfId="442" priority="64">
      <formula>MOD(COLUMN(),2)=1</formula>
    </cfRule>
  </conditionalFormatting>
  <conditionalFormatting sqref="D14:AY14">
    <cfRule type="cellIs" dxfId="441" priority="63" operator="notEqual">
      <formula>$B$2</formula>
    </cfRule>
  </conditionalFormatting>
  <conditionalFormatting sqref="D14:AY14">
    <cfRule type="expression" dxfId="440" priority="62">
      <formula>MOD(COLUMN(),2)=1</formula>
    </cfRule>
  </conditionalFormatting>
  <conditionalFormatting sqref="D14:AY14">
    <cfRule type="cellIs" dxfId="439" priority="61" operator="notEqual">
      <formula>$B$2</formula>
    </cfRule>
  </conditionalFormatting>
  <conditionalFormatting sqref="D14:AY14">
    <cfRule type="expression" dxfId="438" priority="60">
      <formula>MOD(COLUMN(),2)=1</formula>
    </cfRule>
  </conditionalFormatting>
  <conditionalFormatting sqref="D14:AY14">
    <cfRule type="cellIs" dxfId="437" priority="59" operator="notEqual">
      <formula>$B$2</formula>
    </cfRule>
  </conditionalFormatting>
  <conditionalFormatting sqref="D14:AY14">
    <cfRule type="expression" dxfId="436" priority="58">
      <formula>MOD(COLUMN(),2)=1</formula>
    </cfRule>
  </conditionalFormatting>
  <conditionalFormatting sqref="D14:AY14">
    <cfRule type="cellIs" dxfId="435" priority="57" operator="notEqual">
      <formula>$B$2</formula>
    </cfRule>
  </conditionalFormatting>
  <conditionalFormatting sqref="D23:AY23">
    <cfRule type="expression" dxfId="434" priority="56">
      <formula>MOD(COLUMN(),2)=1</formula>
    </cfRule>
  </conditionalFormatting>
  <conditionalFormatting sqref="D23:AY23">
    <cfRule type="cellIs" dxfId="433" priority="55" operator="notEqual">
      <formula>$B$2</formula>
    </cfRule>
  </conditionalFormatting>
  <conditionalFormatting sqref="D23:AY23">
    <cfRule type="expression" dxfId="432" priority="54">
      <formula>MOD(COLUMN(),2)=1</formula>
    </cfRule>
  </conditionalFormatting>
  <conditionalFormatting sqref="D23:AY23">
    <cfRule type="cellIs" dxfId="431" priority="53" operator="notEqual">
      <formula>$B$2</formula>
    </cfRule>
  </conditionalFormatting>
  <conditionalFormatting sqref="D23:AY23">
    <cfRule type="expression" dxfId="430" priority="52">
      <formula>MOD(COLUMN(),2)=1</formula>
    </cfRule>
  </conditionalFormatting>
  <conditionalFormatting sqref="D23:AY23">
    <cfRule type="cellIs" dxfId="429" priority="51" operator="notEqual">
      <formula>$B$2</formula>
    </cfRule>
  </conditionalFormatting>
  <conditionalFormatting sqref="D23:AY23">
    <cfRule type="expression" dxfId="428" priority="50">
      <formula>MOD(COLUMN(),2)=1</formula>
    </cfRule>
  </conditionalFormatting>
  <conditionalFormatting sqref="D23:AY23">
    <cfRule type="cellIs" dxfId="427" priority="49" operator="notEqual">
      <formula>$B$2</formula>
    </cfRule>
  </conditionalFormatting>
  <conditionalFormatting sqref="D29:AY29">
    <cfRule type="expression" dxfId="426" priority="48">
      <formula>MOD(COLUMN(),2)=1</formula>
    </cfRule>
  </conditionalFormatting>
  <conditionalFormatting sqref="D29:AY29">
    <cfRule type="cellIs" dxfId="425" priority="47" operator="notEqual">
      <formula>$B$2</formula>
    </cfRule>
  </conditionalFormatting>
  <conditionalFormatting sqref="D29:AY29">
    <cfRule type="expression" dxfId="424" priority="46">
      <formula>MOD(COLUMN(),2)=1</formula>
    </cfRule>
  </conditionalFormatting>
  <conditionalFormatting sqref="D29:AY29">
    <cfRule type="cellIs" dxfId="423" priority="45" operator="notEqual">
      <formula>$B$2</formula>
    </cfRule>
  </conditionalFormatting>
  <conditionalFormatting sqref="D29:AY29">
    <cfRule type="expression" dxfId="422" priority="44">
      <formula>MOD(COLUMN(),2)=1</formula>
    </cfRule>
  </conditionalFormatting>
  <conditionalFormatting sqref="D29:AY29">
    <cfRule type="cellIs" dxfId="421" priority="43" operator="notEqual">
      <formula>$B$2</formula>
    </cfRule>
  </conditionalFormatting>
  <conditionalFormatting sqref="D29:AY29">
    <cfRule type="expression" dxfId="420" priority="42">
      <formula>MOD(COLUMN(),2)=1</formula>
    </cfRule>
  </conditionalFormatting>
  <conditionalFormatting sqref="D29:AY29">
    <cfRule type="cellIs" dxfId="419" priority="41" operator="notEqual">
      <formula>$B$2</formula>
    </cfRule>
  </conditionalFormatting>
  <conditionalFormatting sqref="D35:AY35">
    <cfRule type="expression" dxfId="418" priority="40">
      <formula>MOD(COLUMN(),2)=1</formula>
    </cfRule>
  </conditionalFormatting>
  <conditionalFormatting sqref="D35:AY35">
    <cfRule type="cellIs" dxfId="417" priority="39" operator="notEqual">
      <formula>$B$2</formula>
    </cfRule>
  </conditionalFormatting>
  <conditionalFormatting sqref="D35:AY35">
    <cfRule type="expression" dxfId="416" priority="38">
      <formula>MOD(COLUMN(),2)=1</formula>
    </cfRule>
  </conditionalFormatting>
  <conditionalFormatting sqref="D35:AY35">
    <cfRule type="cellIs" dxfId="415" priority="37" operator="notEqual">
      <formula>$B$2</formula>
    </cfRule>
  </conditionalFormatting>
  <conditionalFormatting sqref="D35:AY35">
    <cfRule type="expression" dxfId="414" priority="36">
      <formula>MOD(COLUMN(),2)=1</formula>
    </cfRule>
  </conditionalFormatting>
  <conditionalFormatting sqref="D35:AY35">
    <cfRule type="cellIs" dxfId="413" priority="35" operator="notEqual">
      <formula>$B$2</formula>
    </cfRule>
  </conditionalFormatting>
  <conditionalFormatting sqref="D35:AY35">
    <cfRule type="expression" dxfId="412" priority="34">
      <formula>MOD(COLUMN(),2)=1</formula>
    </cfRule>
  </conditionalFormatting>
  <conditionalFormatting sqref="D35:AY35">
    <cfRule type="cellIs" dxfId="411" priority="33" operator="notEqual">
      <formula>$B$2</formula>
    </cfRule>
  </conditionalFormatting>
  <conditionalFormatting sqref="D40:AY40">
    <cfRule type="expression" dxfId="410" priority="32">
      <formula>MOD(COLUMN(),2)=1</formula>
    </cfRule>
  </conditionalFormatting>
  <conditionalFormatting sqref="D40:AY40">
    <cfRule type="cellIs" dxfId="409" priority="31" operator="notEqual">
      <formula>$B$2</formula>
    </cfRule>
  </conditionalFormatting>
  <conditionalFormatting sqref="D40:AY40">
    <cfRule type="expression" dxfId="408" priority="30">
      <formula>MOD(COLUMN(),2)=1</formula>
    </cfRule>
  </conditionalFormatting>
  <conditionalFormatting sqref="D40:AY40">
    <cfRule type="cellIs" dxfId="407" priority="29" operator="notEqual">
      <formula>$B$2</formula>
    </cfRule>
  </conditionalFormatting>
  <conditionalFormatting sqref="D40:AY40">
    <cfRule type="expression" dxfId="406" priority="28">
      <formula>MOD(COLUMN(),2)=1</formula>
    </cfRule>
  </conditionalFormatting>
  <conditionalFormatting sqref="D40:AY40">
    <cfRule type="cellIs" dxfId="405" priority="27" operator="notEqual">
      <formula>$B$2</formula>
    </cfRule>
  </conditionalFormatting>
  <conditionalFormatting sqref="D40:AY40">
    <cfRule type="expression" dxfId="404" priority="26">
      <formula>MOD(COLUMN(),2)=1</formula>
    </cfRule>
  </conditionalFormatting>
  <conditionalFormatting sqref="D40:AY40">
    <cfRule type="cellIs" dxfId="403" priority="25" operator="notEqual">
      <formula>$B$2</formula>
    </cfRule>
  </conditionalFormatting>
  <conditionalFormatting sqref="D46:AY46">
    <cfRule type="expression" dxfId="402" priority="24">
      <formula>MOD(COLUMN(),2)=1</formula>
    </cfRule>
  </conditionalFormatting>
  <conditionalFormatting sqref="D46:AY46">
    <cfRule type="cellIs" dxfId="401" priority="23" operator="notEqual">
      <formula>$B$2</formula>
    </cfRule>
  </conditionalFormatting>
  <conditionalFormatting sqref="D46:AY46">
    <cfRule type="expression" dxfId="400" priority="22">
      <formula>MOD(COLUMN(),2)=1</formula>
    </cfRule>
  </conditionalFormatting>
  <conditionalFormatting sqref="D46:AY46">
    <cfRule type="cellIs" dxfId="399" priority="21" operator="notEqual">
      <formula>$B$2</formula>
    </cfRule>
  </conditionalFormatting>
  <conditionalFormatting sqref="D46:AY46">
    <cfRule type="expression" dxfId="398" priority="20">
      <formula>MOD(COLUMN(),2)=1</formula>
    </cfRule>
  </conditionalFormatting>
  <conditionalFormatting sqref="D46:AY46">
    <cfRule type="cellIs" dxfId="397" priority="19" operator="notEqual">
      <formula>$B$2</formula>
    </cfRule>
  </conditionalFormatting>
  <conditionalFormatting sqref="D46:AY46">
    <cfRule type="expression" dxfId="396" priority="18">
      <formula>MOD(COLUMN(),2)=1</formula>
    </cfRule>
  </conditionalFormatting>
  <conditionalFormatting sqref="D46:AY46">
    <cfRule type="cellIs" dxfId="395" priority="17" operator="notEqual">
      <formula>$B$2</formula>
    </cfRule>
  </conditionalFormatting>
  <conditionalFormatting sqref="D52:AY52">
    <cfRule type="expression" dxfId="394" priority="16">
      <formula>MOD(COLUMN(),2)=1</formula>
    </cfRule>
  </conditionalFormatting>
  <conditionalFormatting sqref="D52:AY52">
    <cfRule type="cellIs" dxfId="393" priority="15" operator="notEqual">
      <formula>$B$2</formula>
    </cfRule>
  </conditionalFormatting>
  <conditionalFormatting sqref="D52:AY52">
    <cfRule type="expression" dxfId="392" priority="14">
      <formula>MOD(COLUMN(),2)=1</formula>
    </cfRule>
  </conditionalFormatting>
  <conditionalFormatting sqref="D52:AY52">
    <cfRule type="cellIs" dxfId="391" priority="13" operator="notEqual">
      <formula>$B$2</formula>
    </cfRule>
  </conditionalFormatting>
  <conditionalFormatting sqref="D52:AY52">
    <cfRule type="expression" dxfId="390" priority="12">
      <formula>MOD(COLUMN(),2)=1</formula>
    </cfRule>
  </conditionalFormatting>
  <conditionalFormatting sqref="D52:AY52">
    <cfRule type="cellIs" dxfId="389" priority="11" operator="notEqual">
      <formula>$B$2</formula>
    </cfRule>
  </conditionalFormatting>
  <conditionalFormatting sqref="D52:AY52">
    <cfRule type="expression" dxfId="388" priority="10">
      <formula>MOD(COLUMN(),2)=1</formula>
    </cfRule>
  </conditionalFormatting>
  <conditionalFormatting sqref="D52:AY52">
    <cfRule type="cellIs" dxfId="387" priority="9" operator="notEqual">
      <formula>$B$2</formula>
    </cfRule>
  </conditionalFormatting>
  <conditionalFormatting sqref="D8:AY8">
    <cfRule type="expression" dxfId="386" priority="8">
      <formula>MOD(COLUMN(),2)=1</formula>
    </cfRule>
  </conditionalFormatting>
  <conditionalFormatting sqref="D8:AY8">
    <cfRule type="cellIs" dxfId="385" priority="7" operator="notEqual">
      <formula>$B$2</formula>
    </cfRule>
  </conditionalFormatting>
  <conditionalFormatting sqref="D8:AY8">
    <cfRule type="expression" dxfId="384" priority="6">
      <formula>MOD(COLUMN(),2)=1</formula>
    </cfRule>
  </conditionalFormatting>
  <conditionalFormatting sqref="D8:AY8">
    <cfRule type="cellIs" dxfId="383" priority="5" operator="notEqual">
      <formula>$B$2</formula>
    </cfRule>
  </conditionalFormatting>
  <conditionalFormatting sqref="D8:AY8">
    <cfRule type="expression" dxfId="382" priority="4">
      <formula>MOD(COLUMN(),2)=1</formula>
    </cfRule>
  </conditionalFormatting>
  <conditionalFormatting sqref="D8:AY8">
    <cfRule type="cellIs" dxfId="381" priority="3" operator="notEqual">
      <formula>$B$2</formula>
    </cfRule>
  </conditionalFormatting>
  <conditionalFormatting sqref="D8:AY8">
    <cfRule type="expression" dxfId="380" priority="2">
      <formula>MOD(COLUMN(),2)=1</formula>
    </cfRule>
  </conditionalFormatting>
  <conditionalFormatting sqref="D8:AY8">
    <cfRule type="cellIs" dxfId="379" priority="1" operator="notEqual">
      <formula>$B$2</formula>
    </cfRule>
  </conditionalFormatting>
  <dataValidations count="1">
    <dataValidation type="whole" allowBlank="1" showInputMessage="1" showErrorMessage="1" errorTitle="STOP" error="ANGKA YANG DIMASUKAN MELEBIHI 4" prompt="4 =  Selalu&#10;3 = Sering&#10;2 = Kadang2&#10;1 = Tidak Pernah" sqref="D3:AY7 D47:AY51 D41:AY45 D36:AY39 D30:AY34 D24:AY28 D15:AY22 D9:AY13">
      <formula1>1</formula1>
      <formula2>4</formula2>
    </dataValidation>
  </dataValidation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Sheet14"/>
  <dimension ref="A1:AY54"/>
  <sheetViews>
    <sheetView workbookViewId="0"/>
  </sheetViews>
  <sheetFormatPr defaultRowHeight="15"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7" t="s">
        <v>316</v>
      </c>
      <c r="B1" s="158"/>
      <c r="C1" s="158"/>
      <c r="D1" s="176" t="e">
        <f>#REF!</f>
        <v>#REF!</v>
      </c>
      <c r="E1" s="176" t="e">
        <f>#REF!</f>
        <v>#REF!</v>
      </c>
      <c r="F1" s="176" t="e">
        <f>#REF!</f>
        <v>#REF!</v>
      </c>
      <c r="G1" s="176" t="e">
        <f>#REF!</f>
        <v>#REF!</v>
      </c>
      <c r="H1" s="176" t="e">
        <f>#REF!</f>
        <v>#REF!</v>
      </c>
      <c r="I1" s="176" t="e">
        <f>#REF!</f>
        <v>#REF!</v>
      </c>
      <c r="J1" s="176" t="e">
        <f>#REF!</f>
        <v>#REF!</v>
      </c>
      <c r="K1" s="176" t="e">
        <f>#REF!</f>
        <v>#REF!</v>
      </c>
      <c r="L1" s="176" t="e">
        <f>#REF!</f>
        <v>#REF!</v>
      </c>
      <c r="M1" s="176" t="e">
        <f>#REF!</f>
        <v>#REF!</v>
      </c>
      <c r="N1" s="176" t="e">
        <f>#REF!</f>
        <v>#REF!</v>
      </c>
      <c r="O1" s="176" t="e">
        <f>#REF!</f>
        <v>#REF!</v>
      </c>
      <c r="P1" s="176" t="e">
        <f>#REF!</f>
        <v>#REF!</v>
      </c>
      <c r="Q1" s="176" t="e">
        <f>#REF!</f>
        <v>#REF!</v>
      </c>
      <c r="R1" s="176" t="e">
        <f>#REF!</f>
        <v>#REF!</v>
      </c>
      <c r="S1" s="176" t="e">
        <f>#REF!</f>
        <v>#REF!</v>
      </c>
      <c r="T1" s="176" t="e">
        <f>#REF!</f>
        <v>#REF!</v>
      </c>
      <c r="U1" s="176" t="e">
        <f>#REF!</f>
        <v>#REF!</v>
      </c>
      <c r="V1" s="176" t="e">
        <f>#REF!</f>
        <v>#REF!</v>
      </c>
      <c r="W1" s="176" t="e">
        <f>#REF!</f>
        <v>#REF!</v>
      </c>
      <c r="X1" s="176" t="e">
        <f>#REF!</f>
        <v>#REF!</v>
      </c>
      <c r="Y1" s="176" t="e">
        <f>#REF!</f>
        <v>#REF!</v>
      </c>
      <c r="Z1" s="176" t="e">
        <f>#REF!</f>
        <v>#REF!</v>
      </c>
      <c r="AA1" s="176" t="e">
        <f>#REF!</f>
        <v>#REF!</v>
      </c>
      <c r="AB1" s="176" t="e">
        <f>#REF!</f>
        <v>#REF!</v>
      </c>
      <c r="AC1" s="176" t="e">
        <f>#REF!</f>
        <v>#REF!</v>
      </c>
      <c r="AD1" s="176" t="e">
        <f>#REF!</f>
        <v>#REF!</v>
      </c>
      <c r="AE1" s="176" t="e">
        <f>#REF!</f>
        <v>#REF!</v>
      </c>
      <c r="AF1" s="176" t="e">
        <f>#REF!</f>
        <v>#REF!</v>
      </c>
      <c r="AG1" s="176" t="e">
        <f>#REF!</f>
        <v>#REF!</v>
      </c>
      <c r="AH1" s="176" t="e">
        <f>#REF!</f>
        <v>#REF!</v>
      </c>
      <c r="AI1" s="176" t="e">
        <f>#REF!</f>
        <v>#REF!</v>
      </c>
      <c r="AJ1" s="176" t="e">
        <f>#REF!</f>
        <v>#REF!</v>
      </c>
      <c r="AK1" s="176" t="e">
        <f>#REF!</f>
        <v>#REF!</v>
      </c>
      <c r="AL1" s="176" t="e">
        <f>#REF!</f>
        <v>#REF!</v>
      </c>
      <c r="AM1" s="176" t="e">
        <f>#REF!</f>
        <v>#REF!</v>
      </c>
      <c r="AN1" s="176" t="e">
        <f>#REF!</f>
        <v>#REF!</v>
      </c>
      <c r="AO1" s="176" t="e">
        <f>#REF!</f>
        <v>#REF!</v>
      </c>
      <c r="AP1" s="176" t="e">
        <f>#REF!</f>
        <v>#REF!</v>
      </c>
      <c r="AQ1" s="176" t="e">
        <f>#REF!</f>
        <v>#REF!</v>
      </c>
      <c r="AR1" s="176" t="e">
        <f>#REF!</f>
        <v>#REF!</v>
      </c>
      <c r="AS1" s="176" t="e">
        <f>#REF!</f>
        <v>#REF!</v>
      </c>
      <c r="AT1" s="176" t="e">
        <f>#REF!</f>
        <v>#REF!</v>
      </c>
      <c r="AU1" s="176" t="e">
        <f>#REF!</f>
        <v>#REF!</v>
      </c>
      <c r="AV1" s="176" t="e">
        <f>#REF!</f>
        <v>#REF!</v>
      </c>
      <c r="AW1" s="176" t="e">
        <f>#REF!</f>
        <v>#REF!</v>
      </c>
      <c r="AX1" s="176" t="e">
        <f>#REF!</f>
        <v>#REF!</v>
      </c>
      <c r="AY1" s="176" t="e">
        <f>#REF!</f>
        <v>#REF!</v>
      </c>
    </row>
    <row r="2" spans="1:51" ht="15.75" thickBot="1">
      <c r="A2" s="161" t="s">
        <v>14</v>
      </c>
      <c r="B2" s="161" t="s">
        <v>34</v>
      </c>
      <c r="C2" s="161" t="s">
        <v>114</v>
      </c>
      <c r="D2" s="179"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row>
    <row r="3" spans="1:51" ht="15.75" thickTop="1">
      <c r="A3" s="619" t="s">
        <v>207</v>
      </c>
      <c r="B3" s="173" t="s">
        <v>208</v>
      </c>
      <c r="C3" s="174" t="s">
        <v>209</v>
      </c>
      <c r="D3" s="178" t="str">
        <f>IF(AND(observasi1!D3="",observasi2!D3=""),"",AVERAGE(observasi1!D3,observasi2!D3))</f>
        <v/>
      </c>
      <c r="E3" s="178" t="str">
        <f>IF(AND(observasi1!E3="",observasi2!E3=""),"",AVERAGE(observasi1!E3,observasi2!E3))</f>
        <v/>
      </c>
      <c r="F3" s="178" t="str">
        <f>IF(AND(observasi1!F3="",observasi2!F3=""),"",AVERAGE(observasi1!F3,observasi2!F3))</f>
        <v/>
      </c>
      <c r="G3" s="178" t="str">
        <f>IF(AND(observasi1!G3="",observasi2!G3=""),"",AVERAGE(observasi1!G3,observasi2!G3))</f>
        <v/>
      </c>
      <c r="H3" s="178" t="str">
        <f>IF(AND(observasi1!H3="",observasi2!H3=""),"",AVERAGE(observasi1!H3,observasi2!H3))</f>
        <v/>
      </c>
      <c r="I3" s="178" t="str">
        <f>IF(AND(observasi1!I3="",observasi2!I3=""),"",AVERAGE(observasi1!I3,observasi2!I3))</f>
        <v/>
      </c>
      <c r="J3" s="178" t="str">
        <f>IF(AND(observasi1!J3="",observasi2!J3=""),"",AVERAGE(observasi1!J3,observasi2!J3))</f>
        <v/>
      </c>
      <c r="K3" s="178" t="str">
        <f>IF(AND(observasi1!K3="",observasi2!K3=""),"",AVERAGE(observasi1!K3,observasi2!K3))</f>
        <v/>
      </c>
      <c r="L3" s="178" t="str">
        <f>IF(AND(observasi1!L3="",observasi2!L3=""),"",AVERAGE(observasi1!L3,observasi2!L3))</f>
        <v/>
      </c>
      <c r="M3" s="178" t="str">
        <f>IF(AND(observasi1!M3="",observasi2!M3=""),"",AVERAGE(observasi1!M3,observasi2!M3))</f>
        <v/>
      </c>
      <c r="N3" s="178" t="str">
        <f>IF(AND(observasi1!N3="",observasi2!N3=""),"",AVERAGE(observasi1!N3,observasi2!N3))</f>
        <v/>
      </c>
      <c r="O3" s="178" t="str">
        <f>IF(AND(observasi1!O3="",observasi2!O3=""),"",AVERAGE(observasi1!O3,observasi2!O3))</f>
        <v/>
      </c>
      <c r="P3" s="178" t="str">
        <f>IF(AND(observasi1!P3="",observasi2!P3=""),"",AVERAGE(observasi1!P3,observasi2!P3))</f>
        <v/>
      </c>
      <c r="Q3" s="178" t="str">
        <f>IF(AND(observasi1!Q3="",observasi2!Q3=""),"",AVERAGE(observasi1!Q3,observasi2!Q3))</f>
        <v/>
      </c>
      <c r="R3" s="178" t="str">
        <f>IF(AND(observasi1!R3="",observasi2!R3=""),"",AVERAGE(observasi1!R3,observasi2!R3))</f>
        <v/>
      </c>
      <c r="S3" s="178" t="str">
        <f>IF(AND(observasi1!S3="",observasi2!S3=""),"",AVERAGE(observasi1!S3,observasi2!S3))</f>
        <v/>
      </c>
      <c r="T3" s="178" t="str">
        <f>IF(AND(observasi1!T3="",observasi2!T3=""),"",AVERAGE(observasi1!T3,observasi2!T3))</f>
        <v/>
      </c>
      <c r="U3" s="178" t="str">
        <f>IF(AND(observasi1!U3="",observasi2!U3=""),"",AVERAGE(observasi1!U3,observasi2!U3))</f>
        <v/>
      </c>
      <c r="V3" s="178" t="str">
        <f>IF(AND(observasi1!V3="",observasi2!V3=""),"",AVERAGE(observasi1!V3,observasi2!V3))</f>
        <v/>
      </c>
      <c r="W3" s="178" t="str">
        <f>IF(AND(observasi1!W3="",observasi2!W3=""),"",AVERAGE(observasi1!W3,observasi2!W3))</f>
        <v/>
      </c>
      <c r="X3" s="178" t="str">
        <f>IF(AND(observasi1!X3="",observasi2!X3=""),"",AVERAGE(observasi1!X3,observasi2!X3))</f>
        <v/>
      </c>
      <c r="Y3" s="178" t="str">
        <f>IF(AND(observasi1!Y3="",observasi2!Y3=""),"",AVERAGE(observasi1!Y3,observasi2!Y3))</f>
        <v/>
      </c>
      <c r="Z3" s="178" t="str">
        <f>IF(AND(observasi1!Z3="",observasi2!Z3=""),"",AVERAGE(observasi1!Z3,observasi2!Z3))</f>
        <v/>
      </c>
      <c r="AA3" s="178" t="str">
        <f>IF(AND(observasi1!AA3="",observasi2!AA3=""),"",AVERAGE(observasi1!AA3,observasi2!AA3))</f>
        <v/>
      </c>
      <c r="AB3" s="178" t="str">
        <f>IF(AND(observasi1!AB3="",observasi2!AB3=""),"",AVERAGE(observasi1!AB3,observasi2!AB3))</f>
        <v/>
      </c>
      <c r="AC3" s="178" t="str">
        <f>IF(AND(observasi1!AC3="",observasi2!AC3=""),"",AVERAGE(observasi1!AC3,observasi2!AC3))</f>
        <v/>
      </c>
      <c r="AD3" s="178" t="str">
        <f>IF(AND(observasi1!AD3="",observasi2!AD3=""),"",AVERAGE(observasi1!AD3,observasi2!AD3))</f>
        <v/>
      </c>
      <c r="AE3" s="178" t="str">
        <f>IF(AND(observasi1!AE3="",observasi2!AE3=""),"",AVERAGE(observasi1!AE3,observasi2!AE3))</f>
        <v/>
      </c>
      <c r="AF3" s="178" t="str">
        <f>IF(AND(observasi1!AF3="",observasi2!AF3=""),"",AVERAGE(observasi1!AF3,observasi2!AF3))</f>
        <v/>
      </c>
      <c r="AG3" s="178" t="str">
        <f>IF(AND(observasi1!AG3="",observasi2!AG3=""),"",AVERAGE(observasi1!AG3,observasi2!AG3))</f>
        <v/>
      </c>
      <c r="AH3" s="178" t="str">
        <f>IF(AND(observasi1!AH3="",observasi2!AH3=""),"",AVERAGE(observasi1!AH3,observasi2!AH3))</f>
        <v/>
      </c>
      <c r="AI3" s="178" t="str">
        <f>IF(AND(observasi1!AI3="",observasi2!AI3=""),"",AVERAGE(observasi1!AI3,observasi2!AI3))</f>
        <v/>
      </c>
      <c r="AJ3" s="178" t="str">
        <f>IF(AND(observasi1!AJ3="",observasi2!AJ3=""),"",AVERAGE(observasi1!AJ3,observasi2!AJ3))</f>
        <v/>
      </c>
      <c r="AK3" s="178" t="str">
        <f>IF(AND(observasi1!AK3="",observasi2!AK3=""),"",AVERAGE(observasi1!AK3,observasi2!AK3))</f>
        <v/>
      </c>
      <c r="AL3" s="178" t="str">
        <f>IF(AND(observasi1!AL3="",observasi2!AL3=""),"",AVERAGE(observasi1!AL3,observasi2!AL3))</f>
        <v/>
      </c>
      <c r="AM3" s="178" t="str">
        <f>IF(AND(observasi1!AM3="",observasi2!AM3=""),"",AVERAGE(observasi1!AM3,observasi2!AM3))</f>
        <v/>
      </c>
      <c r="AN3" s="178" t="str">
        <f>IF(AND(observasi1!AN3="",observasi2!AN3=""),"",AVERAGE(observasi1!AN3,observasi2!AN3))</f>
        <v/>
      </c>
      <c r="AO3" s="178" t="str">
        <f>IF(AND(observasi1!AO3="",observasi2!AO3=""),"",AVERAGE(observasi1!AO3,observasi2!AO3))</f>
        <v/>
      </c>
      <c r="AP3" s="178" t="str">
        <f>IF(AND(observasi1!AP3="",observasi2!AP3=""),"",AVERAGE(observasi1!AP3,observasi2!AP3))</f>
        <v/>
      </c>
      <c r="AQ3" s="178" t="str">
        <f>IF(AND(observasi1!AQ3="",observasi2!AQ3=""),"",AVERAGE(observasi1!AQ3,observasi2!AQ3))</f>
        <v/>
      </c>
      <c r="AR3" s="178" t="str">
        <f>IF(AND(observasi1!AR3="",observasi2!AR3=""),"",AVERAGE(observasi1!AR3,observasi2!AR3))</f>
        <v/>
      </c>
      <c r="AS3" s="178" t="str">
        <f>IF(AND(observasi1!AS3="",observasi2!AS3=""),"",AVERAGE(observasi1!AS3,observasi2!AS3))</f>
        <v/>
      </c>
      <c r="AT3" s="178" t="str">
        <f>IF(AND(observasi1!AT3="",observasi2!AT3=""),"",AVERAGE(observasi1!AT3,observasi2!AT3))</f>
        <v/>
      </c>
      <c r="AU3" s="178" t="str">
        <f>IF(AND(observasi1!AU3="",observasi2!AU3=""),"",AVERAGE(observasi1!AU3,observasi2!AU3))</f>
        <v/>
      </c>
      <c r="AV3" s="178" t="str">
        <f>IF(AND(observasi1!AV3="",observasi2!AV3=""),"",AVERAGE(observasi1!AV3,observasi2!AV3))</f>
        <v/>
      </c>
      <c r="AW3" s="178" t="str">
        <f>IF(AND(observasi1!AW3="",observasi2!AW3=""),"",AVERAGE(observasi1!AW3,observasi2!AW3))</f>
        <v/>
      </c>
      <c r="AX3" s="178" t="str">
        <f>IF(AND(observasi1!AX3="",observasi2!AX3=""),"",AVERAGE(observasi1!AX3,observasi2!AX3))</f>
        <v/>
      </c>
      <c r="AY3" s="178" t="str">
        <f>IF(AND(observasi1!AY3="",observasi2!AY3=""),"",AVERAGE(observasi1!AY3,observasi2!AY3))</f>
        <v/>
      </c>
    </row>
    <row r="4" spans="1:51">
      <c r="A4" s="617"/>
      <c r="B4" s="164" t="s">
        <v>210</v>
      </c>
      <c r="C4" s="165" t="s">
        <v>211</v>
      </c>
      <c r="D4" s="178" t="str">
        <f>IF(AND(observasi1!D4="",observasi2!D4=""),"",AVERAGE(observasi1!D4,observasi2!D4))</f>
        <v/>
      </c>
      <c r="E4" s="178" t="str">
        <f>IF(AND(observasi1!E4="",observasi2!E4=""),"",AVERAGE(observasi1!E4,observasi2!E4))</f>
        <v/>
      </c>
      <c r="F4" s="178" t="str">
        <f>IF(AND(observasi1!F4="",observasi2!F4=""),"",AVERAGE(observasi1!F4,observasi2!F4))</f>
        <v/>
      </c>
      <c r="G4" s="178" t="str">
        <f>IF(AND(observasi1!G4="",observasi2!G4=""),"",AVERAGE(observasi1!G4,observasi2!G4))</f>
        <v/>
      </c>
      <c r="H4" s="178" t="str">
        <f>IF(AND(observasi1!H4="",observasi2!H4=""),"",AVERAGE(observasi1!H4,observasi2!H4))</f>
        <v/>
      </c>
      <c r="I4" s="178" t="str">
        <f>IF(AND(observasi1!I4="",observasi2!I4=""),"",AVERAGE(observasi1!I4,observasi2!I4))</f>
        <v/>
      </c>
      <c r="J4" s="178" t="str">
        <f>IF(AND(observasi1!J4="",observasi2!J4=""),"",AVERAGE(observasi1!J4,observasi2!J4))</f>
        <v/>
      </c>
      <c r="K4" s="178" t="str">
        <f>IF(AND(observasi1!K4="",observasi2!K4=""),"",AVERAGE(observasi1!K4,observasi2!K4))</f>
        <v/>
      </c>
      <c r="L4" s="178" t="str">
        <f>IF(AND(observasi1!L4="",observasi2!L4=""),"",AVERAGE(observasi1!L4,observasi2!L4))</f>
        <v/>
      </c>
      <c r="M4" s="178" t="str">
        <f>IF(AND(observasi1!M4="",observasi2!M4=""),"",AVERAGE(observasi1!M4,observasi2!M4))</f>
        <v/>
      </c>
      <c r="N4" s="178" t="str">
        <f>IF(AND(observasi1!N4="",observasi2!N4=""),"",AVERAGE(observasi1!N4,observasi2!N4))</f>
        <v/>
      </c>
      <c r="O4" s="178" t="str">
        <f>IF(AND(observasi1!O4="",observasi2!O4=""),"",AVERAGE(observasi1!O4,observasi2!O4))</f>
        <v/>
      </c>
      <c r="P4" s="178" t="str">
        <f>IF(AND(observasi1!P4="",observasi2!P4=""),"",AVERAGE(observasi1!P4,observasi2!P4))</f>
        <v/>
      </c>
      <c r="Q4" s="178" t="str">
        <f>IF(AND(observasi1!Q4="",observasi2!Q4=""),"",AVERAGE(observasi1!Q4,observasi2!Q4))</f>
        <v/>
      </c>
      <c r="R4" s="178" t="str">
        <f>IF(AND(observasi1!R4="",observasi2!R4=""),"",AVERAGE(observasi1!R4,observasi2!R4))</f>
        <v/>
      </c>
      <c r="S4" s="178" t="str">
        <f>IF(AND(observasi1!S4="",observasi2!S4=""),"",AVERAGE(observasi1!S4,observasi2!S4))</f>
        <v/>
      </c>
      <c r="T4" s="178" t="str">
        <f>IF(AND(observasi1!T4="",observasi2!T4=""),"",AVERAGE(observasi1!T4,observasi2!T4))</f>
        <v/>
      </c>
      <c r="U4" s="178" t="str">
        <f>IF(AND(observasi1!U4="",observasi2!U4=""),"",AVERAGE(observasi1!U4,observasi2!U4))</f>
        <v/>
      </c>
      <c r="V4" s="178" t="str">
        <f>IF(AND(observasi1!V4="",observasi2!V4=""),"",AVERAGE(observasi1!V4,observasi2!V4))</f>
        <v/>
      </c>
      <c r="W4" s="178" t="str">
        <f>IF(AND(observasi1!W4="",observasi2!W4=""),"",AVERAGE(observasi1!W4,observasi2!W4))</f>
        <v/>
      </c>
      <c r="X4" s="178" t="str">
        <f>IF(AND(observasi1!X4="",observasi2!X4=""),"",AVERAGE(observasi1!X4,observasi2!X4))</f>
        <v/>
      </c>
      <c r="Y4" s="178" t="str">
        <f>IF(AND(observasi1!Y4="",observasi2!Y4=""),"",AVERAGE(observasi1!Y4,observasi2!Y4))</f>
        <v/>
      </c>
      <c r="Z4" s="178" t="str">
        <f>IF(AND(observasi1!Z4="",observasi2!Z4=""),"",AVERAGE(observasi1!Z4,observasi2!Z4))</f>
        <v/>
      </c>
      <c r="AA4" s="178" t="str">
        <f>IF(AND(observasi1!AA4="",observasi2!AA4=""),"",AVERAGE(observasi1!AA4,observasi2!AA4))</f>
        <v/>
      </c>
      <c r="AB4" s="178" t="str">
        <f>IF(AND(observasi1!AB4="",observasi2!AB4=""),"",AVERAGE(observasi1!AB4,observasi2!AB4))</f>
        <v/>
      </c>
      <c r="AC4" s="178" t="str">
        <f>IF(AND(observasi1!AC4="",observasi2!AC4=""),"",AVERAGE(observasi1!AC4,observasi2!AC4))</f>
        <v/>
      </c>
      <c r="AD4" s="178" t="str">
        <f>IF(AND(observasi1!AD4="",observasi2!AD4=""),"",AVERAGE(observasi1!AD4,observasi2!AD4))</f>
        <v/>
      </c>
      <c r="AE4" s="178" t="str">
        <f>IF(AND(observasi1!AE4="",observasi2!AE4=""),"",AVERAGE(observasi1!AE4,observasi2!AE4))</f>
        <v/>
      </c>
      <c r="AF4" s="178" t="str">
        <f>IF(AND(observasi1!AF4="",observasi2!AF4=""),"",AVERAGE(observasi1!AF4,observasi2!AF4))</f>
        <v/>
      </c>
      <c r="AG4" s="178" t="str">
        <f>IF(AND(observasi1!AG4="",observasi2!AG4=""),"",AVERAGE(observasi1!AG4,observasi2!AG4))</f>
        <v/>
      </c>
      <c r="AH4" s="178" t="str">
        <f>IF(AND(observasi1!AH4="",observasi2!AH4=""),"",AVERAGE(observasi1!AH4,observasi2!AH4))</f>
        <v/>
      </c>
      <c r="AI4" s="178" t="str">
        <f>IF(AND(observasi1!AI4="",observasi2!AI4=""),"",AVERAGE(observasi1!AI4,observasi2!AI4))</f>
        <v/>
      </c>
      <c r="AJ4" s="178" t="str">
        <f>IF(AND(observasi1!AJ4="",observasi2!AJ4=""),"",AVERAGE(observasi1!AJ4,observasi2!AJ4))</f>
        <v/>
      </c>
      <c r="AK4" s="178" t="str">
        <f>IF(AND(observasi1!AK4="",observasi2!AK4=""),"",AVERAGE(observasi1!AK4,observasi2!AK4))</f>
        <v/>
      </c>
      <c r="AL4" s="178" t="str">
        <f>IF(AND(observasi1!AL4="",observasi2!AL4=""),"",AVERAGE(observasi1!AL4,observasi2!AL4))</f>
        <v/>
      </c>
      <c r="AM4" s="178" t="str">
        <f>IF(AND(observasi1!AM4="",observasi2!AM4=""),"",AVERAGE(observasi1!AM4,observasi2!AM4))</f>
        <v/>
      </c>
      <c r="AN4" s="178" t="str">
        <f>IF(AND(observasi1!AN4="",observasi2!AN4=""),"",AVERAGE(observasi1!AN4,observasi2!AN4))</f>
        <v/>
      </c>
      <c r="AO4" s="178" t="str">
        <f>IF(AND(observasi1!AO4="",observasi2!AO4=""),"",AVERAGE(observasi1!AO4,observasi2!AO4))</f>
        <v/>
      </c>
      <c r="AP4" s="178" t="str">
        <f>IF(AND(observasi1!AP4="",observasi2!AP4=""),"",AVERAGE(observasi1!AP4,observasi2!AP4))</f>
        <v/>
      </c>
      <c r="AQ4" s="178" t="str">
        <f>IF(AND(observasi1!AQ4="",observasi2!AQ4=""),"",AVERAGE(observasi1!AQ4,observasi2!AQ4))</f>
        <v/>
      </c>
      <c r="AR4" s="178" t="str">
        <f>IF(AND(observasi1!AR4="",observasi2!AR4=""),"",AVERAGE(observasi1!AR4,observasi2!AR4))</f>
        <v/>
      </c>
      <c r="AS4" s="178" t="str">
        <f>IF(AND(observasi1!AS4="",observasi2!AS4=""),"",AVERAGE(observasi1!AS4,observasi2!AS4))</f>
        <v/>
      </c>
      <c r="AT4" s="178" t="str">
        <f>IF(AND(observasi1!AT4="",observasi2!AT4=""),"",AVERAGE(observasi1!AT4,observasi2!AT4))</f>
        <v/>
      </c>
      <c r="AU4" s="178" t="str">
        <f>IF(AND(observasi1!AU4="",observasi2!AU4=""),"",AVERAGE(observasi1!AU4,observasi2!AU4))</f>
        <v/>
      </c>
      <c r="AV4" s="178" t="str">
        <f>IF(AND(observasi1!AV4="",observasi2!AV4=""),"",AVERAGE(observasi1!AV4,observasi2!AV4))</f>
        <v/>
      </c>
      <c r="AW4" s="178" t="str">
        <f>IF(AND(observasi1!AW4="",observasi2!AW4=""),"",AVERAGE(observasi1!AW4,observasi2!AW4))</f>
        <v/>
      </c>
      <c r="AX4" s="178" t="str">
        <f>IF(AND(observasi1!AX4="",observasi2!AX4=""),"",AVERAGE(observasi1!AX4,observasi2!AX4))</f>
        <v/>
      </c>
      <c r="AY4" s="178" t="str">
        <f>IF(AND(observasi1!AY4="",observasi2!AY4=""),"",AVERAGE(observasi1!AY4,observasi2!AY4))</f>
        <v/>
      </c>
    </row>
    <row r="5" spans="1:51">
      <c r="A5" s="617"/>
      <c r="B5" s="164" t="s">
        <v>212</v>
      </c>
      <c r="C5" s="165" t="s">
        <v>213</v>
      </c>
      <c r="D5" s="178" t="str">
        <f>IF(AND(observasi1!D5="",observasi2!D5=""),"",AVERAGE(observasi1!D5,observasi2!D5))</f>
        <v/>
      </c>
      <c r="E5" s="178" t="str">
        <f>IF(AND(observasi1!E5="",observasi2!E5=""),"",AVERAGE(observasi1!E5,observasi2!E5))</f>
        <v/>
      </c>
      <c r="F5" s="178" t="str">
        <f>IF(AND(observasi1!F5="",observasi2!F5=""),"",AVERAGE(observasi1!F5,observasi2!F5))</f>
        <v/>
      </c>
      <c r="G5" s="178" t="str">
        <f>IF(AND(observasi1!G5="",observasi2!G5=""),"",AVERAGE(observasi1!G5,observasi2!G5))</f>
        <v/>
      </c>
      <c r="H5" s="178" t="str">
        <f>IF(AND(observasi1!H5="",observasi2!H5=""),"",AVERAGE(observasi1!H5,observasi2!H5))</f>
        <v/>
      </c>
      <c r="I5" s="178" t="str">
        <f>IF(AND(observasi1!I5="",observasi2!I5=""),"",AVERAGE(observasi1!I5,observasi2!I5))</f>
        <v/>
      </c>
      <c r="J5" s="178" t="str">
        <f>IF(AND(observasi1!J5="",observasi2!J5=""),"",AVERAGE(observasi1!J5,observasi2!J5))</f>
        <v/>
      </c>
      <c r="K5" s="178" t="str">
        <f>IF(AND(observasi1!K5="",observasi2!K5=""),"",AVERAGE(observasi1!K5,observasi2!K5))</f>
        <v/>
      </c>
      <c r="L5" s="178" t="str">
        <f>IF(AND(observasi1!L5="",observasi2!L5=""),"",AVERAGE(observasi1!L5,observasi2!L5))</f>
        <v/>
      </c>
      <c r="M5" s="178" t="str">
        <f>IF(AND(observasi1!M5="",observasi2!M5=""),"",AVERAGE(observasi1!M5,observasi2!M5))</f>
        <v/>
      </c>
      <c r="N5" s="178" t="str">
        <f>IF(AND(observasi1!N5="",observasi2!N5=""),"",AVERAGE(observasi1!N5,observasi2!N5))</f>
        <v/>
      </c>
      <c r="O5" s="178" t="str">
        <f>IF(AND(observasi1!O5="",observasi2!O5=""),"",AVERAGE(observasi1!O5,observasi2!O5))</f>
        <v/>
      </c>
      <c r="P5" s="178" t="str">
        <f>IF(AND(observasi1!P5="",observasi2!P5=""),"",AVERAGE(observasi1!P5,observasi2!P5))</f>
        <v/>
      </c>
      <c r="Q5" s="178" t="str">
        <f>IF(AND(observasi1!Q5="",observasi2!Q5=""),"",AVERAGE(observasi1!Q5,observasi2!Q5))</f>
        <v/>
      </c>
      <c r="R5" s="178" t="str">
        <f>IF(AND(observasi1!R5="",observasi2!R5=""),"",AVERAGE(observasi1!R5,observasi2!R5))</f>
        <v/>
      </c>
      <c r="S5" s="178" t="str">
        <f>IF(AND(observasi1!S5="",observasi2!S5=""),"",AVERAGE(observasi1!S5,observasi2!S5))</f>
        <v/>
      </c>
      <c r="T5" s="178" t="str">
        <f>IF(AND(observasi1!T5="",observasi2!T5=""),"",AVERAGE(observasi1!T5,observasi2!T5))</f>
        <v/>
      </c>
      <c r="U5" s="178" t="str">
        <f>IF(AND(observasi1!U5="",observasi2!U5=""),"",AVERAGE(observasi1!U5,observasi2!U5))</f>
        <v/>
      </c>
      <c r="V5" s="178" t="str">
        <f>IF(AND(observasi1!V5="",observasi2!V5=""),"",AVERAGE(observasi1!V5,observasi2!V5))</f>
        <v/>
      </c>
      <c r="W5" s="178" t="str">
        <f>IF(AND(observasi1!W5="",observasi2!W5=""),"",AVERAGE(observasi1!W5,observasi2!W5))</f>
        <v/>
      </c>
      <c r="X5" s="178" t="str">
        <f>IF(AND(observasi1!X5="",observasi2!X5=""),"",AVERAGE(observasi1!X5,observasi2!X5))</f>
        <v/>
      </c>
      <c r="Y5" s="178" t="str">
        <f>IF(AND(observasi1!Y5="",observasi2!Y5=""),"",AVERAGE(observasi1!Y5,observasi2!Y5))</f>
        <v/>
      </c>
      <c r="Z5" s="178" t="str">
        <f>IF(AND(observasi1!Z5="",observasi2!Z5=""),"",AVERAGE(observasi1!Z5,observasi2!Z5))</f>
        <v/>
      </c>
      <c r="AA5" s="178" t="str">
        <f>IF(AND(observasi1!AA5="",observasi2!AA5=""),"",AVERAGE(observasi1!AA5,observasi2!AA5))</f>
        <v/>
      </c>
      <c r="AB5" s="178" t="str">
        <f>IF(AND(observasi1!AB5="",observasi2!AB5=""),"",AVERAGE(observasi1!AB5,observasi2!AB5))</f>
        <v/>
      </c>
      <c r="AC5" s="178" t="str">
        <f>IF(AND(observasi1!AC5="",observasi2!AC5=""),"",AVERAGE(observasi1!AC5,observasi2!AC5))</f>
        <v/>
      </c>
      <c r="AD5" s="178" t="str">
        <f>IF(AND(observasi1!AD5="",observasi2!AD5=""),"",AVERAGE(observasi1!AD5,observasi2!AD5))</f>
        <v/>
      </c>
      <c r="AE5" s="178" t="str">
        <f>IF(AND(observasi1!AE5="",observasi2!AE5=""),"",AVERAGE(observasi1!AE5,observasi2!AE5))</f>
        <v/>
      </c>
      <c r="AF5" s="178" t="str">
        <f>IF(AND(observasi1!AF5="",observasi2!AF5=""),"",AVERAGE(observasi1!AF5,observasi2!AF5))</f>
        <v/>
      </c>
      <c r="AG5" s="178" t="str">
        <f>IF(AND(observasi1!AG5="",observasi2!AG5=""),"",AVERAGE(observasi1!AG5,observasi2!AG5))</f>
        <v/>
      </c>
      <c r="AH5" s="178" t="str">
        <f>IF(AND(observasi1!AH5="",observasi2!AH5=""),"",AVERAGE(observasi1!AH5,observasi2!AH5))</f>
        <v/>
      </c>
      <c r="AI5" s="178" t="str">
        <f>IF(AND(observasi1!AI5="",observasi2!AI5=""),"",AVERAGE(observasi1!AI5,observasi2!AI5))</f>
        <v/>
      </c>
      <c r="AJ5" s="178" t="str">
        <f>IF(AND(observasi1!AJ5="",observasi2!AJ5=""),"",AVERAGE(observasi1!AJ5,observasi2!AJ5))</f>
        <v/>
      </c>
      <c r="AK5" s="178" t="str">
        <f>IF(AND(observasi1!AK5="",observasi2!AK5=""),"",AVERAGE(observasi1!AK5,observasi2!AK5))</f>
        <v/>
      </c>
      <c r="AL5" s="178" t="str">
        <f>IF(AND(observasi1!AL5="",observasi2!AL5=""),"",AVERAGE(observasi1!AL5,observasi2!AL5))</f>
        <v/>
      </c>
      <c r="AM5" s="178" t="str">
        <f>IF(AND(observasi1!AM5="",observasi2!AM5=""),"",AVERAGE(observasi1!AM5,observasi2!AM5))</f>
        <v/>
      </c>
      <c r="AN5" s="178" t="str">
        <f>IF(AND(observasi1!AN5="",observasi2!AN5=""),"",AVERAGE(observasi1!AN5,observasi2!AN5))</f>
        <v/>
      </c>
      <c r="AO5" s="178" t="str">
        <f>IF(AND(observasi1!AO5="",observasi2!AO5=""),"",AVERAGE(observasi1!AO5,observasi2!AO5))</f>
        <v/>
      </c>
      <c r="AP5" s="178" t="str">
        <f>IF(AND(observasi1!AP5="",observasi2!AP5=""),"",AVERAGE(observasi1!AP5,observasi2!AP5))</f>
        <v/>
      </c>
      <c r="AQ5" s="178" t="str">
        <f>IF(AND(observasi1!AQ5="",observasi2!AQ5=""),"",AVERAGE(observasi1!AQ5,observasi2!AQ5))</f>
        <v/>
      </c>
      <c r="AR5" s="178" t="str">
        <f>IF(AND(observasi1!AR5="",observasi2!AR5=""),"",AVERAGE(observasi1!AR5,observasi2!AR5))</f>
        <v/>
      </c>
      <c r="AS5" s="178" t="str">
        <f>IF(AND(observasi1!AS5="",observasi2!AS5=""),"",AVERAGE(observasi1!AS5,observasi2!AS5))</f>
        <v/>
      </c>
      <c r="AT5" s="178" t="str">
        <f>IF(AND(observasi1!AT5="",observasi2!AT5=""),"",AVERAGE(observasi1!AT5,observasi2!AT5))</f>
        <v/>
      </c>
      <c r="AU5" s="178" t="str">
        <f>IF(AND(observasi1!AU5="",observasi2!AU5=""),"",AVERAGE(observasi1!AU5,observasi2!AU5))</f>
        <v/>
      </c>
      <c r="AV5" s="178" t="str">
        <f>IF(AND(observasi1!AV5="",observasi2!AV5=""),"",AVERAGE(observasi1!AV5,observasi2!AV5))</f>
        <v/>
      </c>
      <c r="AW5" s="178" t="str">
        <f>IF(AND(observasi1!AW5="",observasi2!AW5=""),"",AVERAGE(observasi1!AW5,observasi2!AW5))</f>
        <v/>
      </c>
      <c r="AX5" s="178" t="str">
        <f>IF(AND(observasi1!AX5="",observasi2!AX5=""),"",AVERAGE(observasi1!AX5,observasi2!AX5))</f>
        <v/>
      </c>
      <c r="AY5" s="178" t="str">
        <f>IF(AND(observasi1!AY5="",observasi2!AY5=""),"",AVERAGE(observasi1!AY5,observasi2!AY5))</f>
        <v/>
      </c>
    </row>
    <row r="6" spans="1:51">
      <c r="A6" s="617"/>
      <c r="B6" s="164" t="s">
        <v>214</v>
      </c>
      <c r="C6" s="165" t="s">
        <v>215</v>
      </c>
      <c r="D6" s="178" t="str">
        <f>IF(AND(observasi1!D6="",observasi2!D6=""),"",AVERAGE(observasi1!D6,observasi2!D6))</f>
        <v/>
      </c>
      <c r="E6" s="178" t="str">
        <f>IF(AND(observasi1!E6="",observasi2!E6=""),"",AVERAGE(observasi1!E6,observasi2!E6))</f>
        <v/>
      </c>
      <c r="F6" s="178" t="str">
        <f>IF(AND(observasi1!F6="",observasi2!F6=""),"",AVERAGE(observasi1!F6,observasi2!F6))</f>
        <v/>
      </c>
      <c r="G6" s="178" t="str">
        <f>IF(AND(observasi1!G6="",observasi2!G6=""),"",AVERAGE(observasi1!G6,observasi2!G6))</f>
        <v/>
      </c>
      <c r="H6" s="178" t="str">
        <f>IF(AND(observasi1!H6="",observasi2!H6=""),"",AVERAGE(observasi1!H6,observasi2!H6))</f>
        <v/>
      </c>
      <c r="I6" s="178" t="str">
        <f>IF(AND(observasi1!I6="",observasi2!I6=""),"",AVERAGE(observasi1!I6,observasi2!I6))</f>
        <v/>
      </c>
      <c r="J6" s="178" t="str">
        <f>IF(AND(observasi1!J6="",observasi2!J6=""),"",AVERAGE(observasi1!J6,observasi2!J6))</f>
        <v/>
      </c>
      <c r="K6" s="178" t="str">
        <f>IF(AND(observasi1!K6="",observasi2!K6=""),"",AVERAGE(observasi1!K6,observasi2!K6))</f>
        <v/>
      </c>
      <c r="L6" s="178" t="str">
        <f>IF(AND(observasi1!L6="",observasi2!L6=""),"",AVERAGE(observasi1!L6,observasi2!L6))</f>
        <v/>
      </c>
      <c r="M6" s="178" t="str">
        <f>IF(AND(observasi1!M6="",observasi2!M6=""),"",AVERAGE(observasi1!M6,observasi2!M6))</f>
        <v/>
      </c>
      <c r="N6" s="178" t="str">
        <f>IF(AND(observasi1!N6="",observasi2!N6=""),"",AVERAGE(observasi1!N6,observasi2!N6))</f>
        <v/>
      </c>
      <c r="O6" s="178" t="str">
        <f>IF(AND(observasi1!O6="",observasi2!O6=""),"",AVERAGE(observasi1!O6,observasi2!O6))</f>
        <v/>
      </c>
      <c r="P6" s="178" t="str">
        <f>IF(AND(observasi1!P6="",observasi2!P6=""),"",AVERAGE(observasi1!P6,observasi2!P6))</f>
        <v/>
      </c>
      <c r="Q6" s="178" t="str">
        <f>IF(AND(observasi1!Q6="",observasi2!Q6=""),"",AVERAGE(observasi1!Q6,observasi2!Q6))</f>
        <v/>
      </c>
      <c r="R6" s="178" t="str">
        <f>IF(AND(observasi1!R6="",observasi2!R6=""),"",AVERAGE(observasi1!R6,observasi2!R6))</f>
        <v/>
      </c>
      <c r="S6" s="178" t="str">
        <f>IF(AND(observasi1!S6="",observasi2!S6=""),"",AVERAGE(observasi1!S6,observasi2!S6))</f>
        <v/>
      </c>
      <c r="T6" s="178" t="str">
        <f>IF(AND(observasi1!T6="",observasi2!T6=""),"",AVERAGE(observasi1!T6,observasi2!T6))</f>
        <v/>
      </c>
      <c r="U6" s="178" t="str">
        <f>IF(AND(observasi1!U6="",observasi2!U6=""),"",AVERAGE(observasi1!U6,observasi2!U6))</f>
        <v/>
      </c>
      <c r="V6" s="178" t="str">
        <f>IF(AND(observasi1!V6="",observasi2!V6=""),"",AVERAGE(observasi1!V6,observasi2!V6))</f>
        <v/>
      </c>
      <c r="W6" s="178" t="str">
        <f>IF(AND(observasi1!W6="",observasi2!W6=""),"",AVERAGE(observasi1!W6,observasi2!W6))</f>
        <v/>
      </c>
      <c r="X6" s="178" t="str">
        <f>IF(AND(observasi1!X6="",observasi2!X6=""),"",AVERAGE(observasi1!X6,observasi2!X6))</f>
        <v/>
      </c>
      <c r="Y6" s="178" t="str">
        <f>IF(AND(observasi1!Y6="",observasi2!Y6=""),"",AVERAGE(observasi1!Y6,observasi2!Y6))</f>
        <v/>
      </c>
      <c r="Z6" s="178" t="str">
        <f>IF(AND(observasi1!Z6="",observasi2!Z6=""),"",AVERAGE(observasi1!Z6,observasi2!Z6))</f>
        <v/>
      </c>
      <c r="AA6" s="178" t="str">
        <f>IF(AND(observasi1!AA6="",observasi2!AA6=""),"",AVERAGE(observasi1!AA6,observasi2!AA6))</f>
        <v/>
      </c>
      <c r="AB6" s="178" t="str">
        <f>IF(AND(observasi1!AB6="",observasi2!AB6=""),"",AVERAGE(observasi1!AB6,observasi2!AB6))</f>
        <v/>
      </c>
      <c r="AC6" s="178" t="str">
        <f>IF(AND(observasi1!AC6="",observasi2!AC6=""),"",AVERAGE(observasi1!AC6,observasi2!AC6))</f>
        <v/>
      </c>
      <c r="AD6" s="178" t="str">
        <f>IF(AND(observasi1!AD6="",observasi2!AD6=""),"",AVERAGE(observasi1!AD6,observasi2!AD6))</f>
        <v/>
      </c>
      <c r="AE6" s="178" t="str">
        <f>IF(AND(observasi1!AE6="",observasi2!AE6=""),"",AVERAGE(observasi1!AE6,observasi2!AE6))</f>
        <v/>
      </c>
      <c r="AF6" s="178" t="str">
        <f>IF(AND(observasi1!AF6="",observasi2!AF6=""),"",AVERAGE(observasi1!AF6,observasi2!AF6))</f>
        <v/>
      </c>
      <c r="AG6" s="178" t="str">
        <f>IF(AND(observasi1!AG6="",observasi2!AG6=""),"",AVERAGE(observasi1!AG6,observasi2!AG6))</f>
        <v/>
      </c>
      <c r="AH6" s="178" t="str">
        <f>IF(AND(observasi1!AH6="",observasi2!AH6=""),"",AVERAGE(observasi1!AH6,observasi2!AH6))</f>
        <v/>
      </c>
      <c r="AI6" s="178" t="str">
        <f>IF(AND(observasi1!AI6="",observasi2!AI6=""),"",AVERAGE(observasi1!AI6,observasi2!AI6))</f>
        <v/>
      </c>
      <c r="AJ6" s="178" t="str">
        <f>IF(AND(observasi1!AJ6="",observasi2!AJ6=""),"",AVERAGE(observasi1!AJ6,observasi2!AJ6))</f>
        <v/>
      </c>
      <c r="AK6" s="178" t="str">
        <f>IF(AND(observasi1!AK6="",observasi2!AK6=""),"",AVERAGE(observasi1!AK6,observasi2!AK6))</f>
        <v/>
      </c>
      <c r="AL6" s="178" t="str">
        <f>IF(AND(observasi1!AL6="",observasi2!AL6=""),"",AVERAGE(observasi1!AL6,observasi2!AL6))</f>
        <v/>
      </c>
      <c r="AM6" s="178" t="str">
        <f>IF(AND(observasi1!AM6="",observasi2!AM6=""),"",AVERAGE(observasi1!AM6,observasi2!AM6))</f>
        <v/>
      </c>
      <c r="AN6" s="178" t="str">
        <f>IF(AND(observasi1!AN6="",observasi2!AN6=""),"",AVERAGE(observasi1!AN6,observasi2!AN6))</f>
        <v/>
      </c>
      <c r="AO6" s="178" t="str">
        <f>IF(AND(observasi1!AO6="",observasi2!AO6=""),"",AVERAGE(observasi1!AO6,observasi2!AO6))</f>
        <v/>
      </c>
      <c r="AP6" s="178" t="str">
        <f>IF(AND(observasi1!AP6="",observasi2!AP6=""),"",AVERAGE(observasi1!AP6,observasi2!AP6))</f>
        <v/>
      </c>
      <c r="AQ6" s="178" t="str">
        <f>IF(AND(observasi1!AQ6="",observasi2!AQ6=""),"",AVERAGE(observasi1!AQ6,observasi2!AQ6))</f>
        <v/>
      </c>
      <c r="AR6" s="178" t="str">
        <f>IF(AND(observasi1!AR6="",observasi2!AR6=""),"",AVERAGE(observasi1!AR6,observasi2!AR6))</f>
        <v/>
      </c>
      <c r="AS6" s="178" t="str">
        <f>IF(AND(observasi1!AS6="",observasi2!AS6=""),"",AVERAGE(observasi1!AS6,observasi2!AS6))</f>
        <v/>
      </c>
      <c r="AT6" s="178" t="str">
        <f>IF(AND(observasi1!AT6="",observasi2!AT6=""),"",AVERAGE(observasi1!AT6,observasi2!AT6))</f>
        <v/>
      </c>
      <c r="AU6" s="178" t="str">
        <f>IF(AND(observasi1!AU6="",observasi2!AU6=""),"",AVERAGE(observasi1!AU6,observasi2!AU6))</f>
        <v/>
      </c>
      <c r="AV6" s="178" t="str">
        <f>IF(AND(observasi1!AV6="",observasi2!AV6=""),"",AVERAGE(observasi1!AV6,observasi2!AV6))</f>
        <v/>
      </c>
      <c r="AW6" s="178" t="str">
        <f>IF(AND(observasi1!AW6="",observasi2!AW6=""),"",AVERAGE(observasi1!AW6,observasi2!AW6))</f>
        <v/>
      </c>
      <c r="AX6" s="178" t="str">
        <f>IF(AND(observasi1!AX6="",observasi2!AX6=""),"",AVERAGE(observasi1!AX6,observasi2!AX6))</f>
        <v/>
      </c>
      <c r="AY6" s="178" t="str">
        <f>IF(AND(observasi1!AY6="",observasi2!AY6=""),"",AVERAGE(observasi1!AY6,observasi2!AY6))</f>
        <v/>
      </c>
    </row>
    <row r="7" spans="1:51">
      <c r="A7" s="617"/>
      <c r="B7" s="164" t="s">
        <v>216</v>
      </c>
      <c r="C7" s="165" t="s">
        <v>217</v>
      </c>
      <c r="D7" s="178" t="str">
        <f>IF(AND(observasi1!D7="",observasi2!D7=""),"",AVERAGE(observasi1!D7,observasi2!D7))</f>
        <v/>
      </c>
      <c r="E7" s="178" t="str">
        <f>IF(AND(observasi1!E7="",observasi2!E7=""),"",AVERAGE(observasi1!E7,observasi2!E7))</f>
        <v/>
      </c>
      <c r="F7" s="178" t="str">
        <f>IF(AND(observasi1!F7="",observasi2!F7=""),"",AVERAGE(observasi1!F7,observasi2!F7))</f>
        <v/>
      </c>
      <c r="G7" s="178" t="str">
        <f>IF(AND(observasi1!G7="",observasi2!G7=""),"",AVERAGE(observasi1!G7,observasi2!G7))</f>
        <v/>
      </c>
      <c r="H7" s="178" t="str">
        <f>IF(AND(observasi1!H7="",observasi2!H7=""),"",AVERAGE(observasi1!H7,observasi2!H7))</f>
        <v/>
      </c>
      <c r="I7" s="178" t="str">
        <f>IF(AND(observasi1!I7="",observasi2!I7=""),"",AVERAGE(observasi1!I7,observasi2!I7))</f>
        <v/>
      </c>
      <c r="J7" s="178" t="str">
        <f>IF(AND(observasi1!J7="",observasi2!J7=""),"",AVERAGE(observasi1!J7,observasi2!J7))</f>
        <v/>
      </c>
      <c r="K7" s="178" t="str">
        <f>IF(AND(observasi1!K7="",observasi2!K7=""),"",AVERAGE(observasi1!K7,observasi2!K7))</f>
        <v/>
      </c>
      <c r="L7" s="178" t="str">
        <f>IF(AND(observasi1!L7="",observasi2!L7=""),"",AVERAGE(observasi1!L7,observasi2!L7))</f>
        <v/>
      </c>
      <c r="M7" s="178" t="str">
        <f>IF(AND(observasi1!M7="",observasi2!M7=""),"",AVERAGE(observasi1!M7,observasi2!M7))</f>
        <v/>
      </c>
      <c r="N7" s="178" t="str">
        <f>IF(AND(observasi1!N7="",observasi2!N7=""),"",AVERAGE(observasi1!N7,observasi2!N7))</f>
        <v/>
      </c>
      <c r="O7" s="178" t="str">
        <f>IF(AND(observasi1!O7="",observasi2!O7=""),"",AVERAGE(observasi1!O7,observasi2!O7))</f>
        <v/>
      </c>
      <c r="P7" s="178" t="str">
        <f>IF(AND(observasi1!P7="",observasi2!P7=""),"",AVERAGE(observasi1!P7,observasi2!P7))</f>
        <v/>
      </c>
      <c r="Q7" s="178" t="str">
        <f>IF(AND(observasi1!Q7="",observasi2!Q7=""),"",AVERAGE(observasi1!Q7,observasi2!Q7))</f>
        <v/>
      </c>
      <c r="R7" s="178" t="str">
        <f>IF(AND(observasi1!R7="",observasi2!R7=""),"",AVERAGE(observasi1!R7,observasi2!R7))</f>
        <v/>
      </c>
      <c r="S7" s="178" t="str">
        <f>IF(AND(observasi1!S7="",observasi2!S7=""),"",AVERAGE(observasi1!S7,observasi2!S7))</f>
        <v/>
      </c>
      <c r="T7" s="178" t="str">
        <f>IF(AND(observasi1!T7="",observasi2!T7=""),"",AVERAGE(observasi1!T7,observasi2!T7))</f>
        <v/>
      </c>
      <c r="U7" s="178" t="str">
        <f>IF(AND(observasi1!U7="",observasi2!U7=""),"",AVERAGE(observasi1!U7,observasi2!U7))</f>
        <v/>
      </c>
      <c r="V7" s="178" t="str">
        <f>IF(AND(observasi1!V7="",observasi2!V7=""),"",AVERAGE(observasi1!V7,observasi2!V7))</f>
        <v/>
      </c>
      <c r="W7" s="178" t="str">
        <f>IF(AND(observasi1!W7="",observasi2!W7=""),"",AVERAGE(observasi1!W7,observasi2!W7))</f>
        <v/>
      </c>
      <c r="X7" s="178" t="str">
        <f>IF(AND(observasi1!X7="",observasi2!X7=""),"",AVERAGE(observasi1!X7,observasi2!X7))</f>
        <v/>
      </c>
      <c r="Y7" s="178" t="str">
        <f>IF(AND(observasi1!Y7="",observasi2!Y7=""),"",AVERAGE(observasi1!Y7,observasi2!Y7))</f>
        <v/>
      </c>
      <c r="Z7" s="178" t="str">
        <f>IF(AND(observasi1!Z7="",observasi2!Z7=""),"",AVERAGE(observasi1!Z7,observasi2!Z7))</f>
        <v/>
      </c>
      <c r="AA7" s="178" t="str">
        <f>IF(AND(observasi1!AA7="",observasi2!AA7=""),"",AVERAGE(observasi1!AA7,observasi2!AA7))</f>
        <v/>
      </c>
      <c r="AB7" s="178" t="str">
        <f>IF(AND(observasi1!AB7="",observasi2!AB7=""),"",AVERAGE(observasi1!AB7,observasi2!AB7))</f>
        <v/>
      </c>
      <c r="AC7" s="178" t="str">
        <f>IF(AND(observasi1!AC7="",observasi2!AC7=""),"",AVERAGE(observasi1!AC7,observasi2!AC7))</f>
        <v/>
      </c>
      <c r="AD7" s="178" t="str">
        <f>IF(AND(observasi1!AD7="",observasi2!AD7=""),"",AVERAGE(observasi1!AD7,observasi2!AD7))</f>
        <v/>
      </c>
      <c r="AE7" s="178" t="str">
        <f>IF(AND(observasi1!AE7="",observasi2!AE7=""),"",AVERAGE(observasi1!AE7,observasi2!AE7))</f>
        <v/>
      </c>
      <c r="AF7" s="178" t="str">
        <f>IF(AND(observasi1!AF7="",observasi2!AF7=""),"",AVERAGE(observasi1!AF7,observasi2!AF7))</f>
        <v/>
      </c>
      <c r="AG7" s="178" t="str">
        <f>IF(AND(observasi1!AG7="",observasi2!AG7=""),"",AVERAGE(observasi1!AG7,observasi2!AG7))</f>
        <v/>
      </c>
      <c r="AH7" s="178" t="str">
        <f>IF(AND(observasi1!AH7="",observasi2!AH7=""),"",AVERAGE(observasi1!AH7,observasi2!AH7))</f>
        <v/>
      </c>
      <c r="AI7" s="178" t="str">
        <f>IF(AND(observasi1!AI7="",observasi2!AI7=""),"",AVERAGE(observasi1!AI7,observasi2!AI7))</f>
        <v/>
      </c>
      <c r="AJ7" s="178" t="str">
        <f>IF(AND(observasi1!AJ7="",observasi2!AJ7=""),"",AVERAGE(observasi1!AJ7,observasi2!AJ7))</f>
        <v/>
      </c>
      <c r="AK7" s="178" t="str">
        <f>IF(AND(observasi1!AK7="",observasi2!AK7=""),"",AVERAGE(observasi1!AK7,observasi2!AK7))</f>
        <v/>
      </c>
      <c r="AL7" s="178" t="str">
        <f>IF(AND(observasi1!AL7="",observasi2!AL7=""),"",AVERAGE(observasi1!AL7,observasi2!AL7))</f>
        <v/>
      </c>
      <c r="AM7" s="178" t="str">
        <f>IF(AND(observasi1!AM7="",observasi2!AM7=""),"",AVERAGE(observasi1!AM7,observasi2!AM7))</f>
        <v/>
      </c>
      <c r="AN7" s="178" t="str">
        <f>IF(AND(observasi1!AN7="",observasi2!AN7=""),"",AVERAGE(observasi1!AN7,observasi2!AN7))</f>
        <v/>
      </c>
      <c r="AO7" s="178" t="str">
        <f>IF(AND(observasi1!AO7="",observasi2!AO7=""),"",AVERAGE(observasi1!AO7,observasi2!AO7))</f>
        <v/>
      </c>
      <c r="AP7" s="178" t="str">
        <f>IF(AND(observasi1!AP7="",observasi2!AP7=""),"",AVERAGE(observasi1!AP7,observasi2!AP7))</f>
        <v/>
      </c>
      <c r="AQ7" s="178" t="str">
        <f>IF(AND(observasi1!AQ7="",observasi2!AQ7=""),"",AVERAGE(observasi1!AQ7,observasi2!AQ7))</f>
        <v/>
      </c>
      <c r="AR7" s="178" t="str">
        <f>IF(AND(observasi1!AR7="",observasi2!AR7=""),"",AVERAGE(observasi1!AR7,observasi2!AR7))</f>
        <v/>
      </c>
      <c r="AS7" s="178" t="str">
        <f>IF(AND(observasi1!AS7="",observasi2!AS7=""),"",AVERAGE(observasi1!AS7,observasi2!AS7))</f>
        <v/>
      </c>
      <c r="AT7" s="178" t="str">
        <f>IF(AND(observasi1!AT7="",observasi2!AT7=""),"",AVERAGE(observasi1!AT7,observasi2!AT7))</f>
        <v/>
      </c>
      <c r="AU7" s="178" t="str">
        <f>IF(AND(observasi1!AU7="",observasi2!AU7=""),"",AVERAGE(observasi1!AU7,observasi2!AU7))</f>
        <v/>
      </c>
      <c r="AV7" s="178" t="str">
        <f>IF(AND(observasi1!AV7="",observasi2!AV7=""),"",AVERAGE(observasi1!AV7,observasi2!AV7))</f>
        <v/>
      </c>
      <c r="AW7" s="178" t="str">
        <f>IF(AND(observasi1!AW7="",observasi2!AW7=""),"",AVERAGE(observasi1!AW7,observasi2!AW7))</f>
        <v/>
      </c>
      <c r="AX7" s="178" t="str">
        <f>IF(AND(observasi1!AX7="",observasi2!AX7=""),"",AVERAGE(observasi1!AX7,observasi2!AX7))</f>
        <v/>
      </c>
      <c r="AY7" s="178" t="str">
        <f>IF(AND(observasi1!AY7="",observasi2!AY7=""),"",AVERAGE(observasi1!AY7,observasi2!AY7))</f>
        <v/>
      </c>
    </row>
    <row r="8" spans="1:51">
      <c r="A8" s="617"/>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row>
    <row r="9" spans="1:51">
      <c r="A9" s="618" t="s">
        <v>8</v>
      </c>
      <c r="B9" s="164" t="s">
        <v>149</v>
      </c>
      <c r="C9" s="165" t="s">
        <v>150</v>
      </c>
      <c r="D9" s="178" t="str">
        <f>IF(AND(observasi1!D9="",observasi2!D9=""),"",AVERAGE(observasi1!D9,observasi2!D9))</f>
        <v/>
      </c>
      <c r="E9" s="178" t="str">
        <f>IF(AND(observasi1!E9="",observasi2!E9=""),"",AVERAGE(observasi1!E9,observasi2!E9))</f>
        <v/>
      </c>
      <c r="F9" s="178" t="str">
        <f>IF(AND(observasi1!F9="",observasi2!F9=""),"",AVERAGE(observasi1!F9,observasi2!F9))</f>
        <v/>
      </c>
      <c r="G9" s="178" t="str">
        <f>IF(AND(observasi1!G9="",observasi2!G9=""),"",AVERAGE(observasi1!G9,observasi2!G9))</f>
        <v/>
      </c>
      <c r="H9" s="178" t="str">
        <f>IF(AND(observasi1!H9="",observasi2!H9=""),"",AVERAGE(observasi1!H9,observasi2!H9))</f>
        <v/>
      </c>
      <c r="I9" s="178" t="str">
        <f>IF(AND(observasi1!I9="",observasi2!I9=""),"",AVERAGE(observasi1!I9,observasi2!I9))</f>
        <v/>
      </c>
      <c r="J9" s="178" t="str">
        <f>IF(AND(observasi1!J9="",observasi2!J9=""),"",AVERAGE(observasi1!J9,observasi2!J9))</f>
        <v/>
      </c>
      <c r="K9" s="178" t="str">
        <f>IF(AND(observasi1!K9="",observasi2!K9=""),"",AVERAGE(observasi1!K9,observasi2!K9))</f>
        <v/>
      </c>
      <c r="L9" s="178" t="str">
        <f>IF(AND(observasi1!L9="",observasi2!L9=""),"",AVERAGE(observasi1!L9,observasi2!L9))</f>
        <v/>
      </c>
      <c r="M9" s="178" t="str">
        <f>IF(AND(observasi1!M9="",observasi2!M9=""),"",AVERAGE(observasi1!M9,observasi2!M9))</f>
        <v/>
      </c>
      <c r="N9" s="178" t="str">
        <f>IF(AND(observasi1!N9="",observasi2!N9=""),"",AVERAGE(observasi1!N9,observasi2!N9))</f>
        <v/>
      </c>
      <c r="O9" s="178" t="str">
        <f>IF(AND(observasi1!O9="",observasi2!O9=""),"",AVERAGE(observasi1!O9,observasi2!O9))</f>
        <v/>
      </c>
      <c r="P9" s="178" t="str">
        <f>IF(AND(observasi1!P9="",observasi2!P9=""),"",AVERAGE(observasi1!P9,observasi2!P9))</f>
        <v/>
      </c>
      <c r="Q9" s="178" t="str">
        <f>IF(AND(observasi1!Q9="",observasi2!Q9=""),"",AVERAGE(observasi1!Q9,observasi2!Q9))</f>
        <v/>
      </c>
      <c r="R9" s="178" t="str">
        <f>IF(AND(observasi1!R9="",observasi2!R9=""),"",AVERAGE(observasi1!R9,observasi2!R9))</f>
        <v/>
      </c>
      <c r="S9" s="178" t="str">
        <f>IF(AND(observasi1!S9="",observasi2!S9=""),"",AVERAGE(observasi1!S9,observasi2!S9))</f>
        <v/>
      </c>
      <c r="T9" s="178" t="str">
        <f>IF(AND(observasi1!T9="",observasi2!T9=""),"",AVERAGE(observasi1!T9,observasi2!T9))</f>
        <v/>
      </c>
      <c r="U9" s="178" t="str">
        <f>IF(AND(observasi1!U9="",observasi2!U9=""),"",AVERAGE(observasi1!U9,observasi2!U9))</f>
        <v/>
      </c>
      <c r="V9" s="178" t="str">
        <f>IF(AND(observasi1!V9="",observasi2!V9=""),"",AVERAGE(observasi1!V9,observasi2!V9))</f>
        <v/>
      </c>
      <c r="W9" s="178" t="str">
        <f>IF(AND(observasi1!W9="",observasi2!W9=""),"",AVERAGE(observasi1!W9,observasi2!W9))</f>
        <v/>
      </c>
      <c r="X9" s="178" t="str">
        <f>IF(AND(observasi1!X9="",observasi2!X9=""),"",AVERAGE(observasi1!X9,observasi2!X9))</f>
        <v/>
      </c>
      <c r="Y9" s="178" t="str">
        <f>IF(AND(observasi1!Y9="",observasi2!Y9=""),"",AVERAGE(observasi1!Y9,observasi2!Y9))</f>
        <v/>
      </c>
      <c r="Z9" s="178" t="str">
        <f>IF(AND(observasi1!Z9="",observasi2!Z9=""),"",AVERAGE(observasi1!Z9,observasi2!Z9))</f>
        <v/>
      </c>
      <c r="AA9" s="178" t="str">
        <f>IF(AND(observasi1!AA9="",observasi2!AA9=""),"",AVERAGE(observasi1!AA9,observasi2!AA9))</f>
        <v/>
      </c>
      <c r="AB9" s="178" t="str">
        <f>IF(AND(observasi1!AB9="",observasi2!AB9=""),"",AVERAGE(observasi1!AB9,observasi2!AB9))</f>
        <v/>
      </c>
      <c r="AC9" s="178" t="str">
        <f>IF(AND(observasi1!AC9="",observasi2!AC9=""),"",AVERAGE(observasi1!AC9,observasi2!AC9))</f>
        <v/>
      </c>
      <c r="AD9" s="178" t="str">
        <f>IF(AND(observasi1!AD9="",observasi2!AD9=""),"",AVERAGE(observasi1!AD9,observasi2!AD9))</f>
        <v/>
      </c>
      <c r="AE9" s="178" t="str">
        <f>IF(AND(observasi1!AE9="",observasi2!AE9=""),"",AVERAGE(observasi1!AE9,observasi2!AE9))</f>
        <v/>
      </c>
      <c r="AF9" s="178" t="str">
        <f>IF(AND(observasi1!AF9="",observasi2!AF9=""),"",AVERAGE(observasi1!AF9,observasi2!AF9))</f>
        <v/>
      </c>
      <c r="AG9" s="178" t="str">
        <f>IF(AND(observasi1!AG9="",observasi2!AG9=""),"",AVERAGE(observasi1!AG9,observasi2!AG9))</f>
        <v/>
      </c>
      <c r="AH9" s="178" t="str">
        <f>IF(AND(observasi1!AH9="",observasi2!AH9=""),"",AVERAGE(observasi1!AH9,observasi2!AH9))</f>
        <v/>
      </c>
      <c r="AI9" s="178" t="str">
        <f>IF(AND(observasi1!AI9="",observasi2!AI9=""),"",AVERAGE(observasi1!AI9,observasi2!AI9))</f>
        <v/>
      </c>
      <c r="AJ9" s="178" t="str">
        <f>IF(AND(observasi1!AJ9="",observasi2!AJ9=""),"",AVERAGE(observasi1!AJ9,observasi2!AJ9))</f>
        <v/>
      </c>
      <c r="AK9" s="178" t="str">
        <f>IF(AND(observasi1!AK9="",observasi2!AK9=""),"",AVERAGE(observasi1!AK9,observasi2!AK9))</f>
        <v/>
      </c>
      <c r="AL9" s="178" t="str">
        <f>IF(AND(observasi1!AL9="",observasi2!AL9=""),"",AVERAGE(observasi1!AL9,observasi2!AL9))</f>
        <v/>
      </c>
      <c r="AM9" s="178" t="str">
        <f>IF(AND(observasi1!AM9="",observasi2!AM9=""),"",AVERAGE(observasi1!AM9,observasi2!AM9))</f>
        <v/>
      </c>
      <c r="AN9" s="178" t="str">
        <f>IF(AND(observasi1!AN9="",observasi2!AN9=""),"",AVERAGE(observasi1!AN9,observasi2!AN9))</f>
        <v/>
      </c>
      <c r="AO9" s="178" t="str">
        <f>IF(AND(observasi1!AO9="",observasi2!AO9=""),"",AVERAGE(observasi1!AO9,observasi2!AO9))</f>
        <v/>
      </c>
      <c r="AP9" s="178" t="str">
        <f>IF(AND(observasi1!AP9="",observasi2!AP9=""),"",AVERAGE(observasi1!AP9,observasi2!AP9))</f>
        <v/>
      </c>
      <c r="AQ9" s="178" t="str">
        <f>IF(AND(observasi1!AQ9="",observasi2!AQ9=""),"",AVERAGE(observasi1!AQ9,observasi2!AQ9))</f>
        <v/>
      </c>
      <c r="AR9" s="178" t="str">
        <f>IF(AND(observasi1!AR9="",observasi2!AR9=""),"",AVERAGE(observasi1!AR9,observasi2!AR9))</f>
        <v/>
      </c>
      <c r="AS9" s="178" t="str">
        <f>IF(AND(observasi1!AS9="",observasi2!AS9=""),"",AVERAGE(observasi1!AS9,observasi2!AS9))</f>
        <v/>
      </c>
      <c r="AT9" s="178" t="str">
        <f>IF(AND(observasi1!AT9="",observasi2!AT9=""),"",AVERAGE(observasi1!AT9,observasi2!AT9))</f>
        <v/>
      </c>
      <c r="AU9" s="178" t="str">
        <f>IF(AND(observasi1!AU9="",observasi2!AU9=""),"",AVERAGE(observasi1!AU9,observasi2!AU9))</f>
        <v/>
      </c>
      <c r="AV9" s="178" t="str">
        <f>IF(AND(observasi1!AV9="",observasi2!AV9=""),"",AVERAGE(observasi1!AV9,observasi2!AV9))</f>
        <v/>
      </c>
      <c r="AW9" s="178" t="str">
        <f>IF(AND(observasi1!AW9="",observasi2!AW9=""),"",AVERAGE(observasi1!AW9,observasi2!AW9))</f>
        <v/>
      </c>
      <c r="AX9" s="178" t="str">
        <f>IF(AND(observasi1!AX9="",observasi2!AX9=""),"",AVERAGE(observasi1!AX9,observasi2!AX9))</f>
        <v/>
      </c>
      <c r="AY9" s="178" t="str">
        <f>IF(AND(observasi1!AY9="",observasi2!AY9=""),"",AVERAGE(observasi1!AY9,observasi2!AY9))</f>
        <v/>
      </c>
    </row>
    <row r="10" spans="1:51">
      <c r="A10" s="618"/>
      <c r="B10" s="164" t="s">
        <v>151</v>
      </c>
      <c r="C10" s="165" t="s">
        <v>152</v>
      </c>
      <c r="D10" s="178" t="str">
        <f>IF(AND(observasi1!D10="",observasi2!D10=""),"",AVERAGE(observasi1!D10,observasi2!D10))</f>
        <v/>
      </c>
      <c r="E10" s="178" t="str">
        <f>IF(AND(observasi1!E10="",observasi2!E10=""),"",AVERAGE(observasi1!E10,observasi2!E10))</f>
        <v/>
      </c>
      <c r="F10" s="178" t="str">
        <f>IF(AND(observasi1!F10="",observasi2!F10=""),"",AVERAGE(observasi1!F10,observasi2!F10))</f>
        <v/>
      </c>
      <c r="G10" s="178" t="str">
        <f>IF(AND(observasi1!G10="",observasi2!G10=""),"",AVERAGE(observasi1!G10,observasi2!G10))</f>
        <v/>
      </c>
      <c r="H10" s="178" t="str">
        <f>IF(AND(observasi1!H10="",observasi2!H10=""),"",AVERAGE(observasi1!H10,observasi2!H10))</f>
        <v/>
      </c>
      <c r="I10" s="178" t="str">
        <f>IF(AND(observasi1!I10="",observasi2!I10=""),"",AVERAGE(observasi1!I10,observasi2!I10))</f>
        <v/>
      </c>
      <c r="J10" s="178" t="str">
        <f>IF(AND(observasi1!J10="",observasi2!J10=""),"",AVERAGE(observasi1!J10,observasi2!J10))</f>
        <v/>
      </c>
      <c r="K10" s="178" t="str">
        <f>IF(AND(observasi1!K10="",observasi2!K10=""),"",AVERAGE(observasi1!K10,observasi2!K10))</f>
        <v/>
      </c>
      <c r="L10" s="178" t="str">
        <f>IF(AND(observasi1!L10="",observasi2!L10=""),"",AVERAGE(observasi1!L10,observasi2!L10))</f>
        <v/>
      </c>
      <c r="M10" s="178" t="str">
        <f>IF(AND(observasi1!M10="",observasi2!M10=""),"",AVERAGE(observasi1!M10,observasi2!M10))</f>
        <v/>
      </c>
      <c r="N10" s="178" t="str">
        <f>IF(AND(observasi1!N10="",observasi2!N10=""),"",AVERAGE(observasi1!N10,observasi2!N10))</f>
        <v/>
      </c>
      <c r="O10" s="178" t="str">
        <f>IF(AND(observasi1!O10="",observasi2!O10=""),"",AVERAGE(observasi1!O10,observasi2!O10))</f>
        <v/>
      </c>
      <c r="P10" s="178" t="str">
        <f>IF(AND(observasi1!P10="",observasi2!P10=""),"",AVERAGE(observasi1!P10,observasi2!P10))</f>
        <v/>
      </c>
      <c r="Q10" s="178" t="str">
        <f>IF(AND(observasi1!Q10="",observasi2!Q10=""),"",AVERAGE(observasi1!Q10,observasi2!Q10))</f>
        <v/>
      </c>
      <c r="R10" s="178" t="str">
        <f>IF(AND(observasi1!R10="",observasi2!R10=""),"",AVERAGE(observasi1!R10,observasi2!R10))</f>
        <v/>
      </c>
      <c r="S10" s="178" t="str">
        <f>IF(AND(observasi1!S10="",observasi2!S10=""),"",AVERAGE(observasi1!S10,observasi2!S10))</f>
        <v/>
      </c>
      <c r="T10" s="178" t="str">
        <f>IF(AND(observasi1!T10="",observasi2!T10=""),"",AVERAGE(observasi1!T10,observasi2!T10))</f>
        <v/>
      </c>
      <c r="U10" s="178" t="str">
        <f>IF(AND(observasi1!U10="",observasi2!U10=""),"",AVERAGE(observasi1!U10,observasi2!U10))</f>
        <v/>
      </c>
      <c r="V10" s="178" t="str">
        <f>IF(AND(observasi1!V10="",observasi2!V10=""),"",AVERAGE(observasi1!V10,observasi2!V10))</f>
        <v/>
      </c>
      <c r="W10" s="178" t="str">
        <f>IF(AND(observasi1!W10="",observasi2!W10=""),"",AVERAGE(observasi1!W10,observasi2!W10))</f>
        <v/>
      </c>
      <c r="X10" s="178" t="str">
        <f>IF(AND(observasi1!X10="",observasi2!X10=""),"",AVERAGE(observasi1!X10,observasi2!X10))</f>
        <v/>
      </c>
      <c r="Y10" s="178" t="str">
        <f>IF(AND(observasi1!Y10="",observasi2!Y10=""),"",AVERAGE(observasi1!Y10,observasi2!Y10))</f>
        <v/>
      </c>
      <c r="Z10" s="178" t="str">
        <f>IF(AND(observasi1!Z10="",observasi2!Z10=""),"",AVERAGE(observasi1!Z10,observasi2!Z10))</f>
        <v/>
      </c>
      <c r="AA10" s="178" t="str">
        <f>IF(AND(observasi1!AA10="",observasi2!AA10=""),"",AVERAGE(observasi1!AA10,observasi2!AA10))</f>
        <v/>
      </c>
      <c r="AB10" s="178" t="str">
        <f>IF(AND(observasi1!AB10="",observasi2!AB10=""),"",AVERAGE(observasi1!AB10,observasi2!AB10))</f>
        <v/>
      </c>
      <c r="AC10" s="178" t="str">
        <f>IF(AND(observasi1!AC10="",observasi2!AC10=""),"",AVERAGE(observasi1!AC10,observasi2!AC10))</f>
        <v/>
      </c>
      <c r="AD10" s="178" t="str">
        <f>IF(AND(observasi1!AD10="",observasi2!AD10=""),"",AVERAGE(observasi1!AD10,observasi2!AD10))</f>
        <v/>
      </c>
      <c r="AE10" s="178" t="str">
        <f>IF(AND(observasi1!AE10="",observasi2!AE10=""),"",AVERAGE(observasi1!AE10,observasi2!AE10))</f>
        <v/>
      </c>
      <c r="AF10" s="178" t="str">
        <f>IF(AND(observasi1!AF10="",observasi2!AF10=""),"",AVERAGE(observasi1!AF10,observasi2!AF10))</f>
        <v/>
      </c>
      <c r="AG10" s="178" t="str">
        <f>IF(AND(observasi1!AG10="",observasi2!AG10=""),"",AVERAGE(observasi1!AG10,observasi2!AG10))</f>
        <v/>
      </c>
      <c r="AH10" s="178" t="str">
        <f>IF(AND(observasi1!AH10="",observasi2!AH10=""),"",AVERAGE(observasi1!AH10,observasi2!AH10))</f>
        <v/>
      </c>
      <c r="AI10" s="178" t="str">
        <f>IF(AND(observasi1!AI10="",observasi2!AI10=""),"",AVERAGE(observasi1!AI10,observasi2!AI10))</f>
        <v/>
      </c>
      <c r="AJ10" s="178" t="str">
        <f>IF(AND(observasi1!AJ10="",observasi2!AJ10=""),"",AVERAGE(observasi1!AJ10,observasi2!AJ10))</f>
        <v/>
      </c>
      <c r="AK10" s="178" t="str">
        <f>IF(AND(observasi1!AK10="",observasi2!AK10=""),"",AVERAGE(observasi1!AK10,observasi2!AK10))</f>
        <v/>
      </c>
      <c r="AL10" s="178" t="str">
        <f>IF(AND(observasi1!AL10="",observasi2!AL10=""),"",AVERAGE(observasi1!AL10,observasi2!AL10))</f>
        <v/>
      </c>
      <c r="AM10" s="178" t="str">
        <f>IF(AND(observasi1!AM10="",observasi2!AM10=""),"",AVERAGE(observasi1!AM10,observasi2!AM10))</f>
        <v/>
      </c>
      <c r="AN10" s="178" t="str">
        <f>IF(AND(observasi1!AN10="",observasi2!AN10=""),"",AVERAGE(observasi1!AN10,observasi2!AN10))</f>
        <v/>
      </c>
      <c r="AO10" s="178" t="str">
        <f>IF(AND(observasi1!AO10="",observasi2!AO10=""),"",AVERAGE(observasi1!AO10,observasi2!AO10))</f>
        <v/>
      </c>
      <c r="AP10" s="178" t="str">
        <f>IF(AND(observasi1!AP10="",observasi2!AP10=""),"",AVERAGE(observasi1!AP10,observasi2!AP10))</f>
        <v/>
      </c>
      <c r="AQ10" s="178" t="str">
        <f>IF(AND(observasi1!AQ10="",observasi2!AQ10=""),"",AVERAGE(observasi1!AQ10,observasi2!AQ10))</f>
        <v/>
      </c>
      <c r="AR10" s="178" t="str">
        <f>IF(AND(observasi1!AR10="",observasi2!AR10=""),"",AVERAGE(observasi1!AR10,observasi2!AR10))</f>
        <v/>
      </c>
      <c r="AS10" s="178" t="str">
        <f>IF(AND(observasi1!AS10="",observasi2!AS10=""),"",AVERAGE(observasi1!AS10,observasi2!AS10))</f>
        <v/>
      </c>
      <c r="AT10" s="178" t="str">
        <f>IF(AND(observasi1!AT10="",observasi2!AT10=""),"",AVERAGE(observasi1!AT10,observasi2!AT10))</f>
        <v/>
      </c>
      <c r="AU10" s="178" t="str">
        <f>IF(AND(observasi1!AU10="",observasi2!AU10=""),"",AVERAGE(observasi1!AU10,observasi2!AU10))</f>
        <v/>
      </c>
      <c r="AV10" s="178" t="str">
        <f>IF(AND(observasi1!AV10="",observasi2!AV10=""),"",AVERAGE(observasi1!AV10,observasi2!AV10))</f>
        <v/>
      </c>
      <c r="AW10" s="178" t="str">
        <f>IF(AND(observasi1!AW10="",observasi2!AW10=""),"",AVERAGE(observasi1!AW10,observasi2!AW10))</f>
        <v/>
      </c>
      <c r="AX10" s="178" t="str">
        <f>IF(AND(observasi1!AX10="",observasi2!AX10=""),"",AVERAGE(observasi1!AX10,observasi2!AX10))</f>
        <v/>
      </c>
      <c r="AY10" s="178" t="str">
        <f>IF(AND(observasi1!AY10="",observasi2!AY10=""),"",AVERAGE(observasi1!AY10,observasi2!AY10))</f>
        <v/>
      </c>
    </row>
    <row r="11" spans="1:51">
      <c r="A11" s="618"/>
      <c r="B11" s="164" t="s">
        <v>153</v>
      </c>
      <c r="C11" s="165" t="s">
        <v>154</v>
      </c>
      <c r="D11" s="178" t="str">
        <f>IF(AND(observasi1!D11="",observasi2!D11=""),"",AVERAGE(observasi1!D11,observasi2!D11))</f>
        <v/>
      </c>
      <c r="E11" s="178" t="str">
        <f>IF(AND(observasi1!E11="",observasi2!E11=""),"",AVERAGE(observasi1!E11,observasi2!E11))</f>
        <v/>
      </c>
      <c r="F11" s="178" t="str">
        <f>IF(AND(observasi1!F11="",observasi2!F11=""),"",AVERAGE(observasi1!F11,observasi2!F11))</f>
        <v/>
      </c>
      <c r="G11" s="178" t="str">
        <f>IF(AND(observasi1!G11="",observasi2!G11=""),"",AVERAGE(observasi1!G11,observasi2!G11))</f>
        <v/>
      </c>
      <c r="H11" s="178" t="str">
        <f>IF(AND(observasi1!H11="",observasi2!H11=""),"",AVERAGE(observasi1!H11,observasi2!H11))</f>
        <v/>
      </c>
      <c r="I11" s="178" t="str">
        <f>IF(AND(observasi1!I11="",observasi2!I11=""),"",AVERAGE(observasi1!I11,observasi2!I11))</f>
        <v/>
      </c>
      <c r="J11" s="178" t="str">
        <f>IF(AND(observasi1!J11="",observasi2!J11=""),"",AVERAGE(observasi1!J11,observasi2!J11))</f>
        <v/>
      </c>
      <c r="K11" s="178" t="str">
        <f>IF(AND(observasi1!K11="",observasi2!K11=""),"",AVERAGE(observasi1!K11,observasi2!K11))</f>
        <v/>
      </c>
      <c r="L11" s="178" t="str">
        <f>IF(AND(observasi1!L11="",observasi2!L11=""),"",AVERAGE(observasi1!L11,observasi2!L11))</f>
        <v/>
      </c>
      <c r="M11" s="178" t="str">
        <f>IF(AND(observasi1!M11="",observasi2!M11=""),"",AVERAGE(observasi1!M11,observasi2!M11))</f>
        <v/>
      </c>
      <c r="N11" s="178" t="str">
        <f>IF(AND(observasi1!N11="",observasi2!N11=""),"",AVERAGE(observasi1!N11,observasi2!N11))</f>
        <v/>
      </c>
      <c r="O11" s="178" t="str">
        <f>IF(AND(observasi1!O11="",observasi2!O11=""),"",AVERAGE(observasi1!O11,observasi2!O11))</f>
        <v/>
      </c>
      <c r="P11" s="178" t="str">
        <f>IF(AND(observasi1!P11="",observasi2!P11=""),"",AVERAGE(observasi1!P11,observasi2!P11))</f>
        <v/>
      </c>
      <c r="Q11" s="178" t="str">
        <f>IF(AND(observasi1!Q11="",observasi2!Q11=""),"",AVERAGE(observasi1!Q11,observasi2!Q11))</f>
        <v/>
      </c>
      <c r="R11" s="178" t="str">
        <f>IF(AND(observasi1!R11="",observasi2!R11=""),"",AVERAGE(observasi1!R11,observasi2!R11))</f>
        <v/>
      </c>
      <c r="S11" s="178" t="str">
        <f>IF(AND(observasi1!S11="",observasi2!S11=""),"",AVERAGE(observasi1!S11,observasi2!S11))</f>
        <v/>
      </c>
      <c r="T11" s="178" t="str">
        <f>IF(AND(observasi1!T11="",observasi2!T11=""),"",AVERAGE(observasi1!T11,observasi2!T11))</f>
        <v/>
      </c>
      <c r="U11" s="178" t="str">
        <f>IF(AND(observasi1!U11="",observasi2!U11=""),"",AVERAGE(observasi1!U11,observasi2!U11))</f>
        <v/>
      </c>
      <c r="V11" s="178" t="str">
        <f>IF(AND(observasi1!V11="",observasi2!V11=""),"",AVERAGE(observasi1!V11,observasi2!V11))</f>
        <v/>
      </c>
      <c r="W11" s="178" t="str">
        <f>IF(AND(observasi1!W11="",observasi2!W11=""),"",AVERAGE(observasi1!W11,observasi2!W11))</f>
        <v/>
      </c>
      <c r="X11" s="178" t="str">
        <f>IF(AND(observasi1!X11="",observasi2!X11=""),"",AVERAGE(observasi1!X11,observasi2!X11))</f>
        <v/>
      </c>
      <c r="Y11" s="178" t="str">
        <f>IF(AND(observasi1!Y11="",observasi2!Y11=""),"",AVERAGE(observasi1!Y11,observasi2!Y11))</f>
        <v/>
      </c>
      <c r="Z11" s="178" t="str">
        <f>IF(AND(observasi1!Z11="",observasi2!Z11=""),"",AVERAGE(observasi1!Z11,observasi2!Z11))</f>
        <v/>
      </c>
      <c r="AA11" s="178" t="str">
        <f>IF(AND(observasi1!AA11="",observasi2!AA11=""),"",AVERAGE(observasi1!AA11,observasi2!AA11))</f>
        <v/>
      </c>
      <c r="AB11" s="178" t="str">
        <f>IF(AND(observasi1!AB11="",observasi2!AB11=""),"",AVERAGE(observasi1!AB11,observasi2!AB11))</f>
        <v/>
      </c>
      <c r="AC11" s="178" t="str">
        <f>IF(AND(observasi1!AC11="",observasi2!AC11=""),"",AVERAGE(observasi1!AC11,observasi2!AC11))</f>
        <v/>
      </c>
      <c r="AD11" s="178" t="str">
        <f>IF(AND(observasi1!AD11="",observasi2!AD11=""),"",AVERAGE(observasi1!AD11,observasi2!AD11))</f>
        <v/>
      </c>
      <c r="AE11" s="178" t="str">
        <f>IF(AND(observasi1!AE11="",observasi2!AE11=""),"",AVERAGE(observasi1!AE11,observasi2!AE11))</f>
        <v/>
      </c>
      <c r="AF11" s="178" t="str">
        <f>IF(AND(observasi1!AF11="",observasi2!AF11=""),"",AVERAGE(observasi1!AF11,observasi2!AF11))</f>
        <v/>
      </c>
      <c r="AG11" s="178" t="str">
        <f>IF(AND(observasi1!AG11="",observasi2!AG11=""),"",AVERAGE(observasi1!AG11,observasi2!AG11))</f>
        <v/>
      </c>
      <c r="AH11" s="178" t="str">
        <f>IF(AND(observasi1!AH11="",observasi2!AH11=""),"",AVERAGE(observasi1!AH11,observasi2!AH11))</f>
        <v/>
      </c>
      <c r="AI11" s="178" t="str">
        <f>IF(AND(observasi1!AI11="",observasi2!AI11=""),"",AVERAGE(observasi1!AI11,observasi2!AI11))</f>
        <v/>
      </c>
      <c r="AJ11" s="178" t="str">
        <f>IF(AND(observasi1!AJ11="",observasi2!AJ11=""),"",AVERAGE(observasi1!AJ11,observasi2!AJ11))</f>
        <v/>
      </c>
      <c r="AK11" s="178" t="str">
        <f>IF(AND(observasi1!AK11="",observasi2!AK11=""),"",AVERAGE(observasi1!AK11,observasi2!AK11))</f>
        <v/>
      </c>
      <c r="AL11" s="178" t="str">
        <f>IF(AND(observasi1!AL11="",observasi2!AL11=""),"",AVERAGE(observasi1!AL11,observasi2!AL11))</f>
        <v/>
      </c>
      <c r="AM11" s="178" t="str">
        <f>IF(AND(observasi1!AM11="",observasi2!AM11=""),"",AVERAGE(observasi1!AM11,observasi2!AM11))</f>
        <v/>
      </c>
      <c r="AN11" s="178" t="str">
        <f>IF(AND(observasi1!AN11="",observasi2!AN11=""),"",AVERAGE(observasi1!AN11,observasi2!AN11))</f>
        <v/>
      </c>
      <c r="AO11" s="178" t="str">
        <f>IF(AND(observasi1!AO11="",observasi2!AO11=""),"",AVERAGE(observasi1!AO11,observasi2!AO11))</f>
        <v/>
      </c>
      <c r="AP11" s="178" t="str">
        <f>IF(AND(observasi1!AP11="",observasi2!AP11=""),"",AVERAGE(observasi1!AP11,observasi2!AP11))</f>
        <v/>
      </c>
      <c r="AQ11" s="178" t="str">
        <f>IF(AND(observasi1!AQ11="",observasi2!AQ11=""),"",AVERAGE(observasi1!AQ11,observasi2!AQ11))</f>
        <v/>
      </c>
      <c r="AR11" s="178" t="str">
        <f>IF(AND(observasi1!AR11="",observasi2!AR11=""),"",AVERAGE(observasi1!AR11,observasi2!AR11))</f>
        <v/>
      </c>
      <c r="AS11" s="178" t="str">
        <f>IF(AND(observasi1!AS11="",observasi2!AS11=""),"",AVERAGE(observasi1!AS11,observasi2!AS11))</f>
        <v/>
      </c>
      <c r="AT11" s="178" t="str">
        <f>IF(AND(observasi1!AT11="",observasi2!AT11=""),"",AVERAGE(observasi1!AT11,observasi2!AT11))</f>
        <v/>
      </c>
      <c r="AU11" s="178" t="str">
        <f>IF(AND(observasi1!AU11="",observasi2!AU11=""),"",AVERAGE(observasi1!AU11,observasi2!AU11))</f>
        <v/>
      </c>
      <c r="AV11" s="178" t="str">
        <f>IF(AND(observasi1!AV11="",observasi2!AV11=""),"",AVERAGE(observasi1!AV11,observasi2!AV11))</f>
        <v/>
      </c>
      <c r="AW11" s="178" t="str">
        <f>IF(AND(observasi1!AW11="",observasi2!AW11=""),"",AVERAGE(observasi1!AW11,observasi2!AW11))</f>
        <v/>
      </c>
      <c r="AX11" s="178" t="str">
        <f>IF(AND(observasi1!AX11="",observasi2!AX11=""),"",AVERAGE(observasi1!AX11,observasi2!AX11))</f>
        <v/>
      </c>
      <c r="AY11" s="178" t="str">
        <f>IF(AND(observasi1!AY11="",observasi2!AY11=""),"",AVERAGE(observasi1!AY11,observasi2!AY11))</f>
        <v/>
      </c>
    </row>
    <row r="12" spans="1:51">
      <c r="A12" s="618"/>
      <c r="B12" s="164" t="s">
        <v>155</v>
      </c>
      <c r="C12" s="165" t="s">
        <v>64</v>
      </c>
      <c r="D12" s="178" t="str">
        <f>IF(AND(observasi1!D12="",observasi2!D12=""),"",AVERAGE(observasi1!D12,observasi2!D12))</f>
        <v/>
      </c>
      <c r="E12" s="178" t="str">
        <f>IF(AND(observasi1!E12="",observasi2!E12=""),"",AVERAGE(observasi1!E12,observasi2!E12))</f>
        <v/>
      </c>
      <c r="F12" s="178" t="str">
        <f>IF(AND(observasi1!F12="",observasi2!F12=""),"",AVERAGE(observasi1!F12,observasi2!F12))</f>
        <v/>
      </c>
      <c r="G12" s="178" t="str">
        <f>IF(AND(observasi1!G12="",observasi2!G12=""),"",AVERAGE(observasi1!G12,observasi2!G12))</f>
        <v/>
      </c>
      <c r="H12" s="178" t="str">
        <f>IF(AND(observasi1!H12="",observasi2!H12=""),"",AVERAGE(observasi1!H12,observasi2!H12))</f>
        <v/>
      </c>
      <c r="I12" s="178" t="str">
        <f>IF(AND(observasi1!I12="",observasi2!I12=""),"",AVERAGE(observasi1!I12,observasi2!I12))</f>
        <v/>
      </c>
      <c r="J12" s="178" t="str">
        <f>IF(AND(observasi1!J12="",observasi2!J12=""),"",AVERAGE(observasi1!J12,observasi2!J12))</f>
        <v/>
      </c>
      <c r="K12" s="178" t="str">
        <f>IF(AND(observasi1!K12="",observasi2!K12=""),"",AVERAGE(observasi1!K12,observasi2!K12))</f>
        <v/>
      </c>
      <c r="L12" s="178" t="str">
        <f>IF(AND(observasi1!L12="",observasi2!L12=""),"",AVERAGE(observasi1!L12,observasi2!L12))</f>
        <v/>
      </c>
      <c r="M12" s="178" t="str">
        <f>IF(AND(observasi1!M12="",observasi2!M12=""),"",AVERAGE(observasi1!M12,observasi2!M12))</f>
        <v/>
      </c>
      <c r="N12" s="178" t="str">
        <f>IF(AND(observasi1!N12="",observasi2!N12=""),"",AVERAGE(observasi1!N12,observasi2!N12))</f>
        <v/>
      </c>
      <c r="O12" s="178" t="str">
        <f>IF(AND(observasi1!O12="",observasi2!O12=""),"",AVERAGE(observasi1!O12,observasi2!O12))</f>
        <v/>
      </c>
      <c r="P12" s="178" t="str">
        <f>IF(AND(observasi1!P12="",observasi2!P12=""),"",AVERAGE(observasi1!P12,observasi2!P12))</f>
        <v/>
      </c>
      <c r="Q12" s="178" t="str">
        <f>IF(AND(observasi1!Q12="",observasi2!Q12=""),"",AVERAGE(observasi1!Q12,observasi2!Q12))</f>
        <v/>
      </c>
      <c r="R12" s="178" t="str">
        <f>IF(AND(observasi1!R12="",observasi2!R12=""),"",AVERAGE(observasi1!R12,observasi2!R12))</f>
        <v/>
      </c>
      <c r="S12" s="178" t="str">
        <f>IF(AND(observasi1!S12="",observasi2!S12=""),"",AVERAGE(observasi1!S12,observasi2!S12))</f>
        <v/>
      </c>
      <c r="T12" s="178" t="str">
        <f>IF(AND(observasi1!T12="",observasi2!T12=""),"",AVERAGE(observasi1!T12,observasi2!T12))</f>
        <v/>
      </c>
      <c r="U12" s="178" t="str">
        <f>IF(AND(observasi1!U12="",observasi2!U12=""),"",AVERAGE(observasi1!U12,observasi2!U12))</f>
        <v/>
      </c>
      <c r="V12" s="178" t="str">
        <f>IF(AND(observasi1!V12="",observasi2!V12=""),"",AVERAGE(observasi1!V12,observasi2!V12))</f>
        <v/>
      </c>
      <c r="W12" s="178" t="str">
        <f>IF(AND(observasi1!W12="",observasi2!W12=""),"",AVERAGE(observasi1!W12,observasi2!W12))</f>
        <v/>
      </c>
      <c r="X12" s="178" t="str">
        <f>IF(AND(observasi1!X12="",observasi2!X12=""),"",AVERAGE(observasi1!X12,observasi2!X12))</f>
        <v/>
      </c>
      <c r="Y12" s="178" t="str">
        <f>IF(AND(observasi1!Y12="",observasi2!Y12=""),"",AVERAGE(observasi1!Y12,observasi2!Y12))</f>
        <v/>
      </c>
      <c r="Z12" s="178" t="str">
        <f>IF(AND(observasi1!Z12="",observasi2!Z12=""),"",AVERAGE(observasi1!Z12,observasi2!Z12))</f>
        <v/>
      </c>
      <c r="AA12" s="178" t="str">
        <f>IF(AND(observasi1!AA12="",observasi2!AA12=""),"",AVERAGE(observasi1!AA12,observasi2!AA12))</f>
        <v/>
      </c>
      <c r="AB12" s="178" t="str">
        <f>IF(AND(observasi1!AB12="",observasi2!AB12=""),"",AVERAGE(observasi1!AB12,observasi2!AB12))</f>
        <v/>
      </c>
      <c r="AC12" s="178" t="str">
        <f>IF(AND(observasi1!AC12="",observasi2!AC12=""),"",AVERAGE(observasi1!AC12,observasi2!AC12))</f>
        <v/>
      </c>
      <c r="AD12" s="178" t="str">
        <f>IF(AND(observasi1!AD12="",observasi2!AD12=""),"",AVERAGE(observasi1!AD12,observasi2!AD12))</f>
        <v/>
      </c>
      <c r="AE12" s="178" t="str">
        <f>IF(AND(observasi1!AE12="",observasi2!AE12=""),"",AVERAGE(observasi1!AE12,observasi2!AE12))</f>
        <v/>
      </c>
      <c r="AF12" s="178" t="str">
        <f>IF(AND(observasi1!AF12="",observasi2!AF12=""),"",AVERAGE(observasi1!AF12,observasi2!AF12))</f>
        <v/>
      </c>
      <c r="AG12" s="178" t="str">
        <f>IF(AND(observasi1!AG12="",observasi2!AG12=""),"",AVERAGE(observasi1!AG12,observasi2!AG12))</f>
        <v/>
      </c>
      <c r="AH12" s="178" t="str">
        <f>IF(AND(observasi1!AH12="",observasi2!AH12=""),"",AVERAGE(observasi1!AH12,observasi2!AH12))</f>
        <v/>
      </c>
      <c r="AI12" s="178" t="str">
        <f>IF(AND(observasi1!AI12="",observasi2!AI12=""),"",AVERAGE(observasi1!AI12,observasi2!AI12))</f>
        <v/>
      </c>
      <c r="AJ12" s="178" t="str">
        <f>IF(AND(observasi1!AJ12="",observasi2!AJ12=""),"",AVERAGE(observasi1!AJ12,observasi2!AJ12))</f>
        <v/>
      </c>
      <c r="AK12" s="178" t="str">
        <f>IF(AND(observasi1!AK12="",observasi2!AK12=""),"",AVERAGE(observasi1!AK12,observasi2!AK12))</f>
        <v/>
      </c>
      <c r="AL12" s="178" t="str">
        <f>IF(AND(observasi1!AL12="",observasi2!AL12=""),"",AVERAGE(observasi1!AL12,observasi2!AL12))</f>
        <v/>
      </c>
      <c r="AM12" s="178" t="str">
        <f>IF(AND(observasi1!AM12="",observasi2!AM12=""),"",AVERAGE(observasi1!AM12,observasi2!AM12))</f>
        <v/>
      </c>
      <c r="AN12" s="178" t="str">
        <f>IF(AND(observasi1!AN12="",observasi2!AN12=""),"",AVERAGE(observasi1!AN12,observasi2!AN12))</f>
        <v/>
      </c>
      <c r="AO12" s="178" t="str">
        <f>IF(AND(observasi1!AO12="",observasi2!AO12=""),"",AVERAGE(observasi1!AO12,observasi2!AO12))</f>
        <v/>
      </c>
      <c r="AP12" s="178" t="str">
        <f>IF(AND(observasi1!AP12="",observasi2!AP12=""),"",AVERAGE(observasi1!AP12,observasi2!AP12))</f>
        <v/>
      </c>
      <c r="AQ12" s="178" t="str">
        <f>IF(AND(observasi1!AQ12="",observasi2!AQ12=""),"",AVERAGE(observasi1!AQ12,observasi2!AQ12))</f>
        <v/>
      </c>
      <c r="AR12" s="178" t="str">
        <f>IF(AND(observasi1!AR12="",observasi2!AR12=""),"",AVERAGE(observasi1!AR12,observasi2!AR12))</f>
        <v/>
      </c>
      <c r="AS12" s="178" t="str">
        <f>IF(AND(observasi1!AS12="",observasi2!AS12=""),"",AVERAGE(observasi1!AS12,observasi2!AS12))</f>
        <v/>
      </c>
      <c r="AT12" s="178" t="str">
        <f>IF(AND(observasi1!AT12="",observasi2!AT12=""),"",AVERAGE(observasi1!AT12,observasi2!AT12))</f>
        <v/>
      </c>
      <c r="AU12" s="178" t="str">
        <f>IF(AND(observasi1!AU12="",observasi2!AU12=""),"",AVERAGE(observasi1!AU12,observasi2!AU12))</f>
        <v/>
      </c>
      <c r="AV12" s="178" t="str">
        <f>IF(AND(observasi1!AV12="",observasi2!AV12=""),"",AVERAGE(observasi1!AV12,observasi2!AV12))</f>
        <v/>
      </c>
      <c r="AW12" s="178" t="str">
        <f>IF(AND(observasi1!AW12="",observasi2!AW12=""),"",AVERAGE(observasi1!AW12,observasi2!AW12))</f>
        <v/>
      </c>
      <c r="AX12" s="178" t="str">
        <f>IF(AND(observasi1!AX12="",observasi2!AX12=""),"",AVERAGE(observasi1!AX12,observasi2!AX12))</f>
        <v/>
      </c>
      <c r="AY12" s="178" t="str">
        <f>IF(AND(observasi1!AY12="",observasi2!AY12=""),"",AVERAGE(observasi1!AY12,observasi2!AY12))</f>
        <v/>
      </c>
    </row>
    <row r="13" spans="1:51">
      <c r="A13" s="618"/>
      <c r="B13" s="164" t="s">
        <v>156</v>
      </c>
      <c r="C13" s="165" t="s">
        <v>65</v>
      </c>
      <c r="D13" s="178" t="str">
        <f>IF(AND(observasi1!D13="",observasi2!D13=""),"",AVERAGE(observasi1!D13,observasi2!D13))</f>
        <v/>
      </c>
      <c r="E13" s="178" t="str">
        <f>IF(AND(observasi1!E13="",observasi2!E13=""),"",AVERAGE(observasi1!E13,observasi2!E13))</f>
        <v/>
      </c>
      <c r="F13" s="178" t="str">
        <f>IF(AND(observasi1!F13="",observasi2!F13=""),"",AVERAGE(observasi1!F13,observasi2!F13))</f>
        <v/>
      </c>
      <c r="G13" s="178" t="str">
        <f>IF(AND(observasi1!G13="",observasi2!G13=""),"",AVERAGE(observasi1!G13,observasi2!G13))</f>
        <v/>
      </c>
      <c r="H13" s="178" t="str">
        <f>IF(AND(observasi1!H13="",observasi2!H13=""),"",AVERAGE(observasi1!H13,observasi2!H13))</f>
        <v/>
      </c>
      <c r="I13" s="178" t="str">
        <f>IF(AND(observasi1!I13="",observasi2!I13=""),"",AVERAGE(observasi1!I13,observasi2!I13))</f>
        <v/>
      </c>
      <c r="J13" s="178" t="str">
        <f>IF(AND(observasi1!J13="",observasi2!J13=""),"",AVERAGE(observasi1!J13,observasi2!J13))</f>
        <v/>
      </c>
      <c r="K13" s="178" t="str">
        <f>IF(AND(observasi1!K13="",observasi2!K13=""),"",AVERAGE(observasi1!K13,observasi2!K13))</f>
        <v/>
      </c>
      <c r="L13" s="178" t="str">
        <f>IF(AND(observasi1!L13="",observasi2!L13=""),"",AVERAGE(observasi1!L13,observasi2!L13))</f>
        <v/>
      </c>
      <c r="M13" s="178" t="str">
        <f>IF(AND(observasi1!M13="",observasi2!M13=""),"",AVERAGE(observasi1!M13,observasi2!M13))</f>
        <v/>
      </c>
      <c r="N13" s="178" t="str">
        <f>IF(AND(observasi1!N13="",observasi2!N13=""),"",AVERAGE(observasi1!N13,observasi2!N13))</f>
        <v/>
      </c>
      <c r="O13" s="178" t="str">
        <f>IF(AND(observasi1!O13="",observasi2!O13=""),"",AVERAGE(observasi1!O13,observasi2!O13))</f>
        <v/>
      </c>
      <c r="P13" s="178" t="str">
        <f>IF(AND(observasi1!P13="",observasi2!P13=""),"",AVERAGE(observasi1!P13,observasi2!P13))</f>
        <v/>
      </c>
      <c r="Q13" s="178" t="str">
        <f>IF(AND(observasi1!Q13="",observasi2!Q13=""),"",AVERAGE(observasi1!Q13,observasi2!Q13))</f>
        <v/>
      </c>
      <c r="R13" s="178" t="str">
        <f>IF(AND(observasi1!R13="",observasi2!R13=""),"",AVERAGE(observasi1!R13,observasi2!R13))</f>
        <v/>
      </c>
      <c r="S13" s="178" t="str">
        <f>IF(AND(observasi1!S13="",observasi2!S13=""),"",AVERAGE(observasi1!S13,observasi2!S13))</f>
        <v/>
      </c>
      <c r="T13" s="178" t="str">
        <f>IF(AND(observasi1!T13="",observasi2!T13=""),"",AVERAGE(observasi1!T13,observasi2!T13))</f>
        <v/>
      </c>
      <c r="U13" s="178" t="str">
        <f>IF(AND(observasi1!U13="",observasi2!U13=""),"",AVERAGE(observasi1!U13,observasi2!U13))</f>
        <v/>
      </c>
      <c r="V13" s="178" t="str">
        <f>IF(AND(observasi1!V13="",observasi2!V13=""),"",AVERAGE(observasi1!V13,observasi2!V13))</f>
        <v/>
      </c>
      <c r="W13" s="178" t="str">
        <f>IF(AND(observasi1!W13="",observasi2!W13=""),"",AVERAGE(observasi1!W13,observasi2!W13))</f>
        <v/>
      </c>
      <c r="X13" s="178" t="str">
        <f>IF(AND(observasi1!X13="",observasi2!X13=""),"",AVERAGE(observasi1!X13,observasi2!X13))</f>
        <v/>
      </c>
      <c r="Y13" s="178" t="str">
        <f>IF(AND(observasi1!Y13="",observasi2!Y13=""),"",AVERAGE(observasi1!Y13,observasi2!Y13))</f>
        <v/>
      </c>
      <c r="Z13" s="178" t="str">
        <f>IF(AND(observasi1!Z13="",observasi2!Z13=""),"",AVERAGE(observasi1!Z13,observasi2!Z13))</f>
        <v/>
      </c>
      <c r="AA13" s="178" t="str">
        <f>IF(AND(observasi1!AA13="",observasi2!AA13=""),"",AVERAGE(observasi1!AA13,observasi2!AA13))</f>
        <v/>
      </c>
      <c r="AB13" s="178" t="str">
        <f>IF(AND(observasi1!AB13="",observasi2!AB13=""),"",AVERAGE(observasi1!AB13,observasi2!AB13))</f>
        <v/>
      </c>
      <c r="AC13" s="178" t="str">
        <f>IF(AND(observasi1!AC13="",observasi2!AC13=""),"",AVERAGE(observasi1!AC13,observasi2!AC13))</f>
        <v/>
      </c>
      <c r="AD13" s="178" t="str">
        <f>IF(AND(observasi1!AD13="",observasi2!AD13=""),"",AVERAGE(observasi1!AD13,observasi2!AD13))</f>
        <v/>
      </c>
      <c r="AE13" s="178" t="str">
        <f>IF(AND(observasi1!AE13="",observasi2!AE13=""),"",AVERAGE(observasi1!AE13,observasi2!AE13))</f>
        <v/>
      </c>
      <c r="AF13" s="178" t="str">
        <f>IF(AND(observasi1!AF13="",observasi2!AF13=""),"",AVERAGE(observasi1!AF13,observasi2!AF13))</f>
        <v/>
      </c>
      <c r="AG13" s="178" t="str">
        <f>IF(AND(observasi1!AG13="",observasi2!AG13=""),"",AVERAGE(observasi1!AG13,observasi2!AG13))</f>
        <v/>
      </c>
      <c r="AH13" s="178" t="str">
        <f>IF(AND(observasi1!AH13="",observasi2!AH13=""),"",AVERAGE(observasi1!AH13,observasi2!AH13))</f>
        <v/>
      </c>
      <c r="AI13" s="178" t="str">
        <f>IF(AND(observasi1!AI13="",observasi2!AI13=""),"",AVERAGE(observasi1!AI13,observasi2!AI13))</f>
        <v/>
      </c>
      <c r="AJ13" s="178" t="str">
        <f>IF(AND(observasi1!AJ13="",observasi2!AJ13=""),"",AVERAGE(observasi1!AJ13,observasi2!AJ13))</f>
        <v/>
      </c>
      <c r="AK13" s="178" t="str">
        <f>IF(AND(observasi1!AK13="",observasi2!AK13=""),"",AVERAGE(observasi1!AK13,observasi2!AK13))</f>
        <v/>
      </c>
      <c r="AL13" s="178" t="str">
        <f>IF(AND(observasi1!AL13="",observasi2!AL13=""),"",AVERAGE(observasi1!AL13,observasi2!AL13))</f>
        <v/>
      </c>
      <c r="AM13" s="178" t="str">
        <f>IF(AND(observasi1!AM13="",observasi2!AM13=""),"",AVERAGE(observasi1!AM13,observasi2!AM13))</f>
        <v/>
      </c>
      <c r="AN13" s="178" t="str">
        <f>IF(AND(observasi1!AN13="",observasi2!AN13=""),"",AVERAGE(observasi1!AN13,observasi2!AN13))</f>
        <v/>
      </c>
      <c r="AO13" s="178" t="str">
        <f>IF(AND(observasi1!AO13="",observasi2!AO13=""),"",AVERAGE(observasi1!AO13,observasi2!AO13))</f>
        <v/>
      </c>
      <c r="AP13" s="178" t="str">
        <f>IF(AND(observasi1!AP13="",observasi2!AP13=""),"",AVERAGE(observasi1!AP13,observasi2!AP13))</f>
        <v/>
      </c>
      <c r="AQ13" s="178" t="str">
        <f>IF(AND(observasi1!AQ13="",observasi2!AQ13=""),"",AVERAGE(observasi1!AQ13,observasi2!AQ13))</f>
        <v/>
      </c>
      <c r="AR13" s="178" t="str">
        <f>IF(AND(observasi1!AR13="",observasi2!AR13=""),"",AVERAGE(observasi1!AR13,observasi2!AR13))</f>
        <v/>
      </c>
      <c r="AS13" s="178" t="str">
        <f>IF(AND(observasi1!AS13="",observasi2!AS13=""),"",AVERAGE(observasi1!AS13,observasi2!AS13))</f>
        <v/>
      </c>
      <c r="AT13" s="178" t="str">
        <f>IF(AND(observasi1!AT13="",observasi2!AT13=""),"",AVERAGE(observasi1!AT13,observasi2!AT13))</f>
        <v/>
      </c>
      <c r="AU13" s="178" t="str">
        <f>IF(AND(observasi1!AU13="",observasi2!AU13=""),"",AVERAGE(observasi1!AU13,observasi2!AU13))</f>
        <v/>
      </c>
      <c r="AV13" s="178" t="str">
        <f>IF(AND(observasi1!AV13="",observasi2!AV13=""),"",AVERAGE(observasi1!AV13,observasi2!AV13))</f>
        <v/>
      </c>
      <c r="AW13" s="178" t="str">
        <f>IF(AND(observasi1!AW13="",observasi2!AW13=""),"",AVERAGE(observasi1!AW13,observasi2!AW13))</f>
        <v/>
      </c>
      <c r="AX13" s="178" t="str">
        <f>IF(AND(observasi1!AX13="",observasi2!AX13=""),"",AVERAGE(observasi1!AX13,observasi2!AX13))</f>
        <v/>
      </c>
      <c r="AY13" s="178" t="str">
        <f>IF(AND(observasi1!AY13="",observasi2!AY13=""),"",AVERAGE(observasi1!AY13,observasi2!AY13))</f>
        <v/>
      </c>
    </row>
    <row r="14" spans="1:51">
      <c r="A14" s="618"/>
      <c r="B14" s="166"/>
      <c r="C14" s="167"/>
      <c r="D14" s="171" t="str">
        <f>IF(AND(D9="",D10="",D11="",D12="",D13=""),"",AVERAGE(D9:D13))</f>
        <v/>
      </c>
      <c r="E14" s="171" t="str">
        <f t="shared" ref="E14:AY14" si="1">IF(AND(E9="",E10="",E11="",E12="",E13=""),"",AVERAGE(E9:E13))</f>
        <v/>
      </c>
      <c r="F14" s="171" t="str">
        <f t="shared" si="1"/>
        <v/>
      </c>
      <c r="G14" s="171" t="str">
        <f t="shared" si="1"/>
        <v/>
      </c>
      <c r="H14" s="171" t="str">
        <f t="shared" si="1"/>
        <v/>
      </c>
      <c r="I14" s="171" t="str">
        <f t="shared" si="1"/>
        <v/>
      </c>
      <c r="J14" s="171" t="str">
        <f t="shared" si="1"/>
        <v/>
      </c>
      <c r="K14" s="171" t="str">
        <f t="shared" si="1"/>
        <v/>
      </c>
      <c r="L14" s="171" t="str">
        <f t="shared" si="1"/>
        <v/>
      </c>
      <c r="M14" s="171" t="str">
        <f t="shared" si="1"/>
        <v/>
      </c>
      <c r="N14" s="171" t="str">
        <f t="shared" si="1"/>
        <v/>
      </c>
      <c r="O14" s="171" t="str">
        <f t="shared" si="1"/>
        <v/>
      </c>
      <c r="P14" s="171" t="str">
        <f t="shared" si="1"/>
        <v/>
      </c>
      <c r="Q14" s="171" t="str">
        <f t="shared" si="1"/>
        <v/>
      </c>
      <c r="R14" s="171" t="str">
        <f t="shared" si="1"/>
        <v/>
      </c>
      <c r="S14" s="171" t="str">
        <f t="shared" si="1"/>
        <v/>
      </c>
      <c r="T14" s="171" t="str">
        <f t="shared" si="1"/>
        <v/>
      </c>
      <c r="U14" s="171" t="str">
        <f t="shared" si="1"/>
        <v/>
      </c>
      <c r="V14" s="171" t="str">
        <f t="shared" si="1"/>
        <v/>
      </c>
      <c r="W14" s="171" t="str">
        <f t="shared" si="1"/>
        <v/>
      </c>
      <c r="X14" s="171" t="str">
        <f t="shared" si="1"/>
        <v/>
      </c>
      <c r="Y14" s="171" t="str">
        <f t="shared" si="1"/>
        <v/>
      </c>
      <c r="Z14" s="171" t="str">
        <f t="shared" si="1"/>
        <v/>
      </c>
      <c r="AA14" s="171" t="str">
        <f t="shared" si="1"/>
        <v/>
      </c>
      <c r="AB14" s="171" t="str">
        <f t="shared" si="1"/>
        <v/>
      </c>
      <c r="AC14" s="171" t="str">
        <f t="shared" si="1"/>
        <v/>
      </c>
      <c r="AD14" s="171" t="str">
        <f t="shared" si="1"/>
        <v/>
      </c>
      <c r="AE14" s="171" t="str">
        <f t="shared" si="1"/>
        <v/>
      </c>
      <c r="AF14" s="171" t="str">
        <f t="shared" si="1"/>
        <v/>
      </c>
      <c r="AG14" s="171" t="str">
        <f t="shared" si="1"/>
        <v/>
      </c>
      <c r="AH14" s="171" t="str">
        <f t="shared" si="1"/>
        <v/>
      </c>
      <c r="AI14" s="171" t="str">
        <f t="shared" si="1"/>
        <v/>
      </c>
      <c r="AJ14" s="171" t="str">
        <f t="shared" si="1"/>
        <v/>
      </c>
      <c r="AK14" s="171" t="str">
        <f t="shared" si="1"/>
        <v/>
      </c>
      <c r="AL14" s="171" t="str">
        <f t="shared" si="1"/>
        <v/>
      </c>
      <c r="AM14" s="171" t="str">
        <f t="shared" si="1"/>
        <v/>
      </c>
      <c r="AN14" s="171" t="str">
        <f t="shared" si="1"/>
        <v/>
      </c>
      <c r="AO14" s="171" t="str">
        <f t="shared" si="1"/>
        <v/>
      </c>
      <c r="AP14" s="171" t="str">
        <f t="shared" si="1"/>
        <v/>
      </c>
      <c r="AQ14" s="171" t="str">
        <f t="shared" si="1"/>
        <v/>
      </c>
      <c r="AR14" s="171" t="str">
        <f t="shared" si="1"/>
        <v/>
      </c>
      <c r="AS14" s="171" t="str">
        <f t="shared" si="1"/>
        <v/>
      </c>
      <c r="AT14" s="171" t="str">
        <f t="shared" si="1"/>
        <v/>
      </c>
      <c r="AU14" s="171" t="str">
        <f t="shared" si="1"/>
        <v/>
      </c>
      <c r="AV14" s="171" t="str">
        <f t="shared" si="1"/>
        <v/>
      </c>
      <c r="AW14" s="171" t="str">
        <f t="shared" si="1"/>
        <v/>
      </c>
      <c r="AX14" s="171" t="str">
        <f t="shared" si="1"/>
        <v/>
      </c>
      <c r="AY14" s="171" t="str">
        <f t="shared" si="1"/>
        <v/>
      </c>
    </row>
    <row r="15" spans="1:51">
      <c r="A15" s="617" t="s">
        <v>9</v>
      </c>
      <c r="B15" s="164" t="s">
        <v>157</v>
      </c>
      <c r="C15" s="165" t="s">
        <v>158</v>
      </c>
      <c r="D15" s="178" t="str">
        <f>IF(AND(observasi1!D15="",observasi2!D15=""),"",AVERAGE(observasi1!D15,observasi2!D15))</f>
        <v/>
      </c>
      <c r="E15" s="178" t="str">
        <f>IF(AND(observasi1!E15="",observasi2!E15=""),"",AVERAGE(observasi1!E15,observasi2!E15))</f>
        <v/>
      </c>
      <c r="F15" s="178" t="str">
        <f>IF(AND(observasi1!F15="",observasi2!F15=""),"",AVERAGE(observasi1!F15,observasi2!F15))</f>
        <v/>
      </c>
      <c r="G15" s="178" t="str">
        <f>IF(AND(observasi1!G15="",observasi2!G15=""),"",AVERAGE(observasi1!G15,observasi2!G15))</f>
        <v/>
      </c>
      <c r="H15" s="178" t="str">
        <f>IF(AND(observasi1!H15="",observasi2!H15=""),"",AVERAGE(observasi1!H15,observasi2!H15))</f>
        <v/>
      </c>
      <c r="I15" s="178" t="str">
        <f>IF(AND(observasi1!I15="",observasi2!I15=""),"",AVERAGE(observasi1!I15,observasi2!I15))</f>
        <v/>
      </c>
      <c r="J15" s="178" t="str">
        <f>IF(AND(observasi1!J15="",observasi2!J15=""),"",AVERAGE(observasi1!J15,observasi2!J15))</f>
        <v/>
      </c>
      <c r="K15" s="178" t="str">
        <f>IF(AND(observasi1!K15="",observasi2!K15=""),"",AVERAGE(observasi1!K15,observasi2!K15))</f>
        <v/>
      </c>
      <c r="L15" s="178" t="str">
        <f>IF(AND(observasi1!L15="",observasi2!L15=""),"",AVERAGE(observasi1!L15,observasi2!L15))</f>
        <v/>
      </c>
      <c r="M15" s="178" t="str">
        <f>IF(AND(observasi1!M15="",observasi2!M15=""),"",AVERAGE(observasi1!M15,observasi2!M15))</f>
        <v/>
      </c>
      <c r="N15" s="178" t="str">
        <f>IF(AND(observasi1!N15="",observasi2!N15=""),"",AVERAGE(observasi1!N15,observasi2!N15))</f>
        <v/>
      </c>
      <c r="O15" s="178" t="str">
        <f>IF(AND(observasi1!O15="",observasi2!O15=""),"",AVERAGE(observasi1!O15,observasi2!O15))</f>
        <v/>
      </c>
      <c r="P15" s="178" t="str">
        <f>IF(AND(observasi1!P15="",observasi2!P15=""),"",AVERAGE(observasi1!P15,observasi2!P15))</f>
        <v/>
      </c>
      <c r="Q15" s="178" t="str">
        <f>IF(AND(observasi1!Q15="",observasi2!Q15=""),"",AVERAGE(observasi1!Q15,observasi2!Q15))</f>
        <v/>
      </c>
      <c r="R15" s="178" t="str">
        <f>IF(AND(observasi1!R15="",observasi2!R15=""),"",AVERAGE(observasi1!R15,observasi2!R15))</f>
        <v/>
      </c>
      <c r="S15" s="178" t="str">
        <f>IF(AND(observasi1!S15="",observasi2!S15=""),"",AVERAGE(observasi1!S15,observasi2!S15))</f>
        <v/>
      </c>
      <c r="T15" s="178" t="str">
        <f>IF(AND(observasi1!T15="",observasi2!T15=""),"",AVERAGE(observasi1!T15,observasi2!T15))</f>
        <v/>
      </c>
      <c r="U15" s="178" t="str">
        <f>IF(AND(observasi1!U15="",observasi2!U15=""),"",AVERAGE(observasi1!U15,observasi2!U15))</f>
        <v/>
      </c>
      <c r="V15" s="178" t="str">
        <f>IF(AND(observasi1!V15="",observasi2!V15=""),"",AVERAGE(observasi1!V15,observasi2!V15))</f>
        <v/>
      </c>
      <c r="W15" s="178" t="str">
        <f>IF(AND(observasi1!W15="",observasi2!W15=""),"",AVERAGE(observasi1!W15,observasi2!W15))</f>
        <v/>
      </c>
      <c r="X15" s="178" t="str">
        <f>IF(AND(observasi1!X15="",observasi2!X15=""),"",AVERAGE(observasi1!X15,observasi2!X15))</f>
        <v/>
      </c>
      <c r="Y15" s="178" t="str">
        <f>IF(AND(observasi1!Y15="",observasi2!Y15=""),"",AVERAGE(observasi1!Y15,observasi2!Y15))</f>
        <v/>
      </c>
      <c r="Z15" s="178" t="str">
        <f>IF(AND(observasi1!Z15="",observasi2!Z15=""),"",AVERAGE(observasi1!Z15,observasi2!Z15))</f>
        <v/>
      </c>
      <c r="AA15" s="178" t="str">
        <f>IF(AND(observasi1!AA15="",observasi2!AA15=""),"",AVERAGE(observasi1!AA15,observasi2!AA15))</f>
        <v/>
      </c>
      <c r="AB15" s="178" t="str">
        <f>IF(AND(observasi1!AB15="",observasi2!AB15=""),"",AVERAGE(observasi1!AB15,observasi2!AB15))</f>
        <v/>
      </c>
      <c r="AC15" s="178" t="str">
        <f>IF(AND(observasi1!AC15="",observasi2!AC15=""),"",AVERAGE(observasi1!AC15,observasi2!AC15))</f>
        <v/>
      </c>
      <c r="AD15" s="178" t="str">
        <f>IF(AND(observasi1!AD15="",observasi2!AD15=""),"",AVERAGE(observasi1!AD15,observasi2!AD15))</f>
        <v/>
      </c>
      <c r="AE15" s="178" t="str">
        <f>IF(AND(observasi1!AE15="",observasi2!AE15=""),"",AVERAGE(observasi1!AE15,observasi2!AE15))</f>
        <v/>
      </c>
      <c r="AF15" s="178" t="str">
        <f>IF(AND(observasi1!AF15="",observasi2!AF15=""),"",AVERAGE(observasi1!AF15,observasi2!AF15))</f>
        <v/>
      </c>
      <c r="AG15" s="178" t="str">
        <f>IF(AND(observasi1!AG15="",observasi2!AG15=""),"",AVERAGE(observasi1!AG15,observasi2!AG15))</f>
        <v/>
      </c>
      <c r="AH15" s="178" t="str">
        <f>IF(AND(observasi1!AH15="",observasi2!AH15=""),"",AVERAGE(observasi1!AH15,observasi2!AH15))</f>
        <v/>
      </c>
      <c r="AI15" s="178" t="str">
        <f>IF(AND(observasi1!AI15="",observasi2!AI15=""),"",AVERAGE(observasi1!AI15,observasi2!AI15))</f>
        <v/>
      </c>
      <c r="AJ15" s="178" t="str">
        <f>IF(AND(observasi1!AJ15="",observasi2!AJ15=""),"",AVERAGE(observasi1!AJ15,observasi2!AJ15))</f>
        <v/>
      </c>
      <c r="AK15" s="178" t="str">
        <f>IF(AND(observasi1!AK15="",observasi2!AK15=""),"",AVERAGE(observasi1!AK15,observasi2!AK15))</f>
        <v/>
      </c>
      <c r="AL15" s="178" t="str">
        <f>IF(AND(observasi1!AL15="",observasi2!AL15=""),"",AVERAGE(observasi1!AL15,observasi2!AL15))</f>
        <v/>
      </c>
      <c r="AM15" s="178" t="str">
        <f>IF(AND(observasi1!AM15="",observasi2!AM15=""),"",AVERAGE(observasi1!AM15,observasi2!AM15))</f>
        <v/>
      </c>
      <c r="AN15" s="178" t="str">
        <f>IF(AND(observasi1!AN15="",observasi2!AN15=""),"",AVERAGE(observasi1!AN15,observasi2!AN15))</f>
        <v/>
      </c>
      <c r="AO15" s="178" t="str">
        <f>IF(AND(observasi1!AO15="",observasi2!AO15=""),"",AVERAGE(observasi1!AO15,observasi2!AO15))</f>
        <v/>
      </c>
      <c r="AP15" s="178" t="str">
        <f>IF(AND(observasi1!AP15="",observasi2!AP15=""),"",AVERAGE(observasi1!AP15,observasi2!AP15))</f>
        <v/>
      </c>
      <c r="AQ15" s="178" t="str">
        <f>IF(AND(observasi1!AQ15="",observasi2!AQ15=""),"",AVERAGE(observasi1!AQ15,observasi2!AQ15))</f>
        <v/>
      </c>
      <c r="AR15" s="178" t="str">
        <f>IF(AND(observasi1!AR15="",observasi2!AR15=""),"",AVERAGE(observasi1!AR15,observasi2!AR15))</f>
        <v/>
      </c>
      <c r="AS15" s="178" t="str">
        <f>IF(AND(observasi1!AS15="",observasi2!AS15=""),"",AVERAGE(observasi1!AS15,observasi2!AS15))</f>
        <v/>
      </c>
      <c r="AT15" s="178" t="str">
        <f>IF(AND(observasi1!AT15="",observasi2!AT15=""),"",AVERAGE(observasi1!AT15,observasi2!AT15))</f>
        <v/>
      </c>
      <c r="AU15" s="178" t="str">
        <f>IF(AND(observasi1!AU15="",observasi2!AU15=""),"",AVERAGE(observasi1!AU15,observasi2!AU15))</f>
        <v/>
      </c>
      <c r="AV15" s="178" t="str">
        <f>IF(AND(observasi1!AV15="",observasi2!AV15=""),"",AVERAGE(observasi1!AV15,observasi2!AV15))</f>
        <v/>
      </c>
      <c r="AW15" s="178" t="str">
        <f>IF(AND(observasi1!AW15="",observasi2!AW15=""),"",AVERAGE(observasi1!AW15,observasi2!AW15))</f>
        <v/>
      </c>
      <c r="AX15" s="178" t="str">
        <f>IF(AND(observasi1!AX15="",observasi2!AX15=""),"",AVERAGE(observasi1!AX15,observasi2!AX15))</f>
        <v/>
      </c>
      <c r="AY15" s="178" t="str">
        <f>IF(AND(observasi1!AY15="",observasi2!AY15=""),"",AVERAGE(observasi1!AY15,observasi2!AY15))</f>
        <v/>
      </c>
    </row>
    <row r="16" spans="1:51">
      <c r="A16" s="617"/>
      <c r="B16" s="164" t="s">
        <v>159</v>
      </c>
      <c r="C16" s="165" t="s">
        <v>67</v>
      </c>
      <c r="D16" s="178" t="str">
        <f>IF(AND(observasi1!D16="",observasi2!D16=""),"",AVERAGE(observasi1!D16,observasi2!D16))</f>
        <v/>
      </c>
      <c r="E16" s="178" t="str">
        <f>IF(AND(observasi1!E16="",observasi2!E16=""),"",AVERAGE(observasi1!E16,observasi2!E16))</f>
        <v/>
      </c>
      <c r="F16" s="178" t="str">
        <f>IF(AND(observasi1!F16="",observasi2!F16=""),"",AVERAGE(observasi1!F16,observasi2!F16))</f>
        <v/>
      </c>
      <c r="G16" s="178" t="str">
        <f>IF(AND(observasi1!G16="",observasi2!G16=""),"",AVERAGE(observasi1!G16,observasi2!G16))</f>
        <v/>
      </c>
      <c r="H16" s="178" t="str">
        <f>IF(AND(observasi1!H16="",observasi2!H16=""),"",AVERAGE(observasi1!H16,observasi2!H16))</f>
        <v/>
      </c>
      <c r="I16" s="178" t="str">
        <f>IF(AND(observasi1!I16="",observasi2!I16=""),"",AVERAGE(observasi1!I16,observasi2!I16))</f>
        <v/>
      </c>
      <c r="J16" s="178" t="str">
        <f>IF(AND(observasi1!J16="",observasi2!J16=""),"",AVERAGE(observasi1!J16,observasi2!J16))</f>
        <v/>
      </c>
      <c r="K16" s="178" t="str">
        <f>IF(AND(observasi1!K16="",observasi2!K16=""),"",AVERAGE(observasi1!K16,observasi2!K16))</f>
        <v/>
      </c>
      <c r="L16" s="178" t="str">
        <f>IF(AND(observasi1!L16="",observasi2!L16=""),"",AVERAGE(observasi1!L16,observasi2!L16))</f>
        <v/>
      </c>
      <c r="M16" s="178" t="str">
        <f>IF(AND(observasi1!M16="",observasi2!M16=""),"",AVERAGE(observasi1!M16,observasi2!M16))</f>
        <v/>
      </c>
      <c r="N16" s="178" t="str">
        <f>IF(AND(observasi1!N16="",observasi2!N16=""),"",AVERAGE(observasi1!N16,observasi2!N16))</f>
        <v/>
      </c>
      <c r="O16" s="178" t="str">
        <f>IF(AND(observasi1!O16="",observasi2!O16=""),"",AVERAGE(observasi1!O16,observasi2!O16))</f>
        <v/>
      </c>
      <c r="P16" s="178" t="str">
        <f>IF(AND(observasi1!P16="",observasi2!P16=""),"",AVERAGE(observasi1!P16,observasi2!P16))</f>
        <v/>
      </c>
      <c r="Q16" s="178" t="str">
        <f>IF(AND(observasi1!Q16="",observasi2!Q16=""),"",AVERAGE(observasi1!Q16,observasi2!Q16))</f>
        <v/>
      </c>
      <c r="R16" s="178" t="str">
        <f>IF(AND(observasi1!R16="",observasi2!R16=""),"",AVERAGE(observasi1!R16,observasi2!R16))</f>
        <v/>
      </c>
      <c r="S16" s="178" t="str">
        <f>IF(AND(observasi1!S16="",observasi2!S16=""),"",AVERAGE(observasi1!S16,observasi2!S16))</f>
        <v/>
      </c>
      <c r="T16" s="178" t="str">
        <f>IF(AND(observasi1!T16="",observasi2!T16=""),"",AVERAGE(observasi1!T16,observasi2!T16))</f>
        <v/>
      </c>
      <c r="U16" s="178" t="str">
        <f>IF(AND(observasi1!U16="",observasi2!U16=""),"",AVERAGE(observasi1!U16,observasi2!U16))</f>
        <v/>
      </c>
      <c r="V16" s="178" t="str">
        <f>IF(AND(observasi1!V16="",observasi2!V16=""),"",AVERAGE(observasi1!V16,observasi2!V16))</f>
        <v/>
      </c>
      <c r="W16" s="178" t="str">
        <f>IF(AND(observasi1!W16="",observasi2!W16=""),"",AVERAGE(observasi1!W16,observasi2!W16))</f>
        <v/>
      </c>
      <c r="X16" s="178" t="str">
        <f>IF(AND(observasi1!X16="",observasi2!X16=""),"",AVERAGE(observasi1!X16,observasi2!X16))</f>
        <v/>
      </c>
      <c r="Y16" s="178" t="str">
        <f>IF(AND(observasi1!Y16="",observasi2!Y16=""),"",AVERAGE(observasi1!Y16,observasi2!Y16))</f>
        <v/>
      </c>
      <c r="Z16" s="178" t="str">
        <f>IF(AND(observasi1!Z16="",observasi2!Z16=""),"",AVERAGE(observasi1!Z16,observasi2!Z16))</f>
        <v/>
      </c>
      <c r="AA16" s="178" t="str">
        <f>IF(AND(observasi1!AA16="",observasi2!AA16=""),"",AVERAGE(observasi1!AA16,observasi2!AA16))</f>
        <v/>
      </c>
      <c r="AB16" s="178" t="str">
        <f>IF(AND(observasi1!AB16="",observasi2!AB16=""),"",AVERAGE(observasi1!AB16,observasi2!AB16))</f>
        <v/>
      </c>
      <c r="AC16" s="178" t="str">
        <f>IF(AND(observasi1!AC16="",observasi2!AC16=""),"",AVERAGE(observasi1!AC16,observasi2!AC16))</f>
        <v/>
      </c>
      <c r="AD16" s="178" t="str">
        <f>IF(AND(observasi1!AD16="",observasi2!AD16=""),"",AVERAGE(observasi1!AD16,observasi2!AD16))</f>
        <v/>
      </c>
      <c r="AE16" s="178" t="str">
        <f>IF(AND(observasi1!AE16="",observasi2!AE16=""),"",AVERAGE(observasi1!AE16,observasi2!AE16))</f>
        <v/>
      </c>
      <c r="AF16" s="178" t="str">
        <f>IF(AND(observasi1!AF16="",observasi2!AF16=""),"",AVERAGE(observasi1!AF16,observasi2!AF16))</f>
        <v/>
      </c>
      <c r="AG16" s="178" t="str">
        <f>IF(AND(observasi1!AG16="",observasi2!AG16=""),"",AVERAGE(observasi1!AG16,observasi2!AG16))</f>
        <v/>
      </c>
      <c r="AH16" s="178" t="str">
        <f>IF(AND(observasi1!AH16="",observasi2!AH16=""),"",AVERAGE(observasi1!AH16,observasi2!AH16))</f>
        <v/>
      </c>
      <c r="AI16" s="178" t="str">
        <f>IF(AND(observasi1!AI16="",observasi2!AI16=""),"",AVERAGE(observasi1!AI16,observasi2!AI16))</f>
        <v/>
      </c>
      <c r="AJ16" s="178" t="str">
        <f>IF(AND(observasi1!AJ16="",observasi2!AJ16=""),"",AVERAGE(observasi1!AJ16,observasi2!AJ16))</f>
        <v/>
      </c>
      <c r="AK16" s="178" t="str">
        <f>IF(AND(observasi1!AK16="",observasi2!AK16=""),"",AVERAGE(observasi1!AK16,observasi2!AK16))</f>
        <v/>
      </c>
      <c r="AL16" s="178" t="str">
        <f>IF(AND(observasi1!AL16="",observasi2!AL16=""),"",AVERAGE(observasi1!AL16,observasi2!AL16))</f>
        <v/>
      </c>
      <c r="AM16" s="178" t="str">
        <f>IF(AND(observasi1!AM16="",observasi2!AM16=""),"",AVERAGE(observasi1!AM16,observasi2!AM16))</f>
        <v/>
      </c>
      <c r="AN16" s="178" t="str">
        <f>IF(AND(observasi1!AN16="",observasi2!AN16=""),"",AVERAGE(observasi1!AN16,observasi2!AN16))</f>
        <v/>
      </c>
      <c r="AO16" s="178" t="str">
        <f>IF(AND(observasi1!AO16="",observasi2!AO16=""),"",AVERAGE(observasi1!AO16,observasi2!AO16))</f>
        <v/>
      </c>
      <c r="AP16" s="178" t="str">
        <f>IF(AND(observasi1!AP16="",observasi2!AP16=""),"",AVERAGE(observasi1!AP16,observasi2!AP16))</f>
        <v/>
      </c>
      <c r="AQ16" s="178" t="str">
        <f>IF(AND(observasi1!AQ16="",observasi2!AQ16=""),"",AVERAGE(observasi1!AQ16,observasi2!AQ16))</f>
        <v/>
      </c>
      <c r="AR16" s="178" t="str">
        <f>IF(AND(observasi1!AR16="",observasi2!AR16=""),"",AVERAGE(observasi1!AR16,observasi2!AR16))</f>
        <v/>
      </c>
      <c r="AS16" s="178" t="str">
        <f>IF(AND(observasi1!AS16="",observasi2!AS16=""),"",AVERAGE(observasi1!AS16,observasi2!AS16))</f>
        <v/>
      </c>
      <c r="AT16" s="178" t="str">
        <f>IF(AND(observasi1!AT16="",observasi2!AT16=""),"",AVERAGE(observasi1!AT16,observasi2!AT16))</f>
        <v/>
      </c>
      <c r="AU16" s="178" t="str">
        <f>IF(AND(observasi1!AU16="",observasi2!AU16=""),"",AVERAGE(observasi1!AU16,observasi2!AU16))</f>
        <v/>
      </c>
      <c r="AV16" s="178" t="str">
        <f>IF(AND(observasi1!AV16="",observasi2!AV16=""),"",AVERAGE(observasi1!AV16,observasi2!AV16))</f>
        <v/>
      </c>
      <c r="AW16" s="178" t="str">
        <f>IF(AND(observasi1!AW16="",observasi2!AW16=""),"",AVERAGE(observasi1!AW16,observasi2!AW16))</f>
        <v/>
      </c>
      <c r="AX16" s="178" t="str">
        <f>IF(AND(observasi1!AX16="",observasi2!AX16=""),"",AVERAGE(observasi1!AX16,observasi2!AX16))</f>
        <v/>
      </c>
      <c r="AY16" s="178" t="str">
        <f>IF(AND(observasi1!AY16="",observasi2!AY16=""),"",AVERAGE(observasi1!AY16,observasi2!AY16))</f>
        <v/>
      </c>
    </row>
    <row r="17" spans="1:51">
      <c r="A17" s="617"/>
      <c r="B17" s="164" t="s">
        <v>160</v>
      </c>
      <c r="C17" s="165" t="s">
        <v>68</v>
      </c>
      <c r="D17" s="178" t="str">
        <f>IF(AND(observasi1!D17="",observasi2!D17=""),"",AVERAGE(observasi1!D17,observasi2!D17))</f>
        <v/>
      </c>
      <c r="E17" s="178" t="str">
        <f>IF(AND(observasi1!E17="",observasi2!E17=""),"",AVERAGE(observasi1!E17,observasi2!E17))</f>
        <v/>
      </c>
      <c r="F17" s="178" t="str">
        <f>IF(AND(observasi1!F17="",observasi2!F17=""),"",AVERAGE(observasi1!F17,observasi2!F17))</f>
        <v/>
      </c>
      <c r="G17" s="178" t="str">
        <f>IF(AND(observasi1!G17="",observasi2!G17=""),"",AVERAGE(observasi1!G17,observasi2!G17))</f>
        <v/>
      </c>
      <c r="H17" s="178" t="str">
        <f>IF(AND(observasi1!H17="",observasi2!H17=""),"",AVERAGE(observasi1!H17,observasi2!H17))</f>
        <v/>
      </c>
      <c r="I17" s="178" t="str">
        <f>IF(AND(observasi1!I17="",observasi2!I17=""),"",AVERAGE(observasi1!I17,observasi2!I17))</f>
        <v/>
      </c>
      <c r="J17" s="178" t="str">
        <f>IF(AND(observasi1!J17="",observasi2!J17=""),"",AVERAGE(observasi1!J17,observasi2!J17))</f>
        <v/>
      </c>
      <c r="K17" s="178" t="str">
        <f>IF(AND(observasi1!K17="",observasi2!K17=""),"",AVERAGE(observasi1!K17,observasi2!K17))</f>
        <v/>
      </c>
      <c r="L17" s="178" t="str">
        <f>IF(AND(observasi1!L17="",observasi2!L17=""),"",AVERAGE(observasi1!L17,observasi2!L17))</f>
        <v/>
      </c>
      <c r="M17" s="178" t="str">
        <f>IF(AND(observasi1!M17="",observasi2!M17=""),"",AVERAGE(observasi1!M17,observasi2!M17))</f>
        <v/>
      </c>
      <c r="N17" s="178" t="str">
        <f>IF(AND(observasi1!N17="",observasi2!N17=""),"",AVERAGE(observasi1!N17,observasi2!N17))</f>
        <v/>
      </c>
      <c r="O17" s="178" t="str">
        <f>IF(AND(observasi1!O17="",observasi2!O17=""),"",AVERAGE(observasi1!O17,observasi2!O17))</f>
        <v/>
      </c>
      <c r="P17" s="178" t="str">
        <f>IF(AND(observasi1!P17="",observasi2!P17=""),"",AVERAGE(observasi1!P17,observasi2!P17))</f>
        <v/>
      </c>
      <c r="Q17" s="178" t="str">
        <f>IF(AND(observasi1!Q17="",observasi2!Q17=""),"",AVERAGE(observasi1!Q17,observasi2!Q17))</f>
        <v/>
      </c>
      <c r="R17" s="178" t="str">
        <f>IF(AND(observasi1!R17="",observasi2!R17=""),"",AVERAGE(observasi1!R17,observasi2!R17))</f>
        <v/>
      </c>
      <c r="S17" s="178" t="str">
        <f>IF(AND(observasi1!S17="",observasi2!S17=""),"",AVERAGE(observasi1!S17,observasi2!S17))</f>
        <v/>
      </c>
      <c r="T17" s="178" t="str">
        <f>IF(AND(observasi1!T17="",observasi2!T17=""),"",AVERAGE(observasi1!T17,observasi2!T17))</f>
        <v/>
      </c>
      <c r="U17" s="178" t="str">
        <f>IF(AND(observasi1!U17="",observasi2!U17=""),"",AVERAGE(observasi1!U17,observasi2!U17))</f>
        <v/>
      </c>
      <c r="V17" s="178" t="str">
        <f>IF(AND(observasi1!V17="",observasi2!V17=""),"",AVERAGE(observasi1!V17,observasi2!V17))</f>
        <v/>
      </c>
      <c r="W17" s="178" t="str">
        <f>IF(AND(observasi1!W17="",observasi2!W17=""),"",AVERAGE(observasi1!W17,observasi2!W17))</f>
        <v/>
      </c>
      <c r="X17" s="178" t="str">
        <f>IF(AND(observasi1!X17="",observasi2!X17=""),"",AVERAGE(observasi1!X17,observasi2!X17))</f>
        <v/>
      </c>
      <c r="Y17" s="178" t="str">
        <f>IF(AND(observasi1!Y17="",observasi2!Y17=""),"",AVERAGE(observasi1!Y17,observasi2!Y17))</f>
        <v/>
      </c>
      <c r="Z17" s="178" t="str">
        <f>IF(AND(observasi1!Z17="",observasi2!Z17=""),"",AVERAGE(observasi1!Z17,observasi2!Z17))</f>
        <v/>
      </c>
      <c r="AA17" s="178" t="str">
        <f>IF(AND(observasi1!AA17="",observasi2!AA17=""),"",AVERAGE(observasi1!AA17,observasi2!AA17))</f>
        <v/>
      </c>
      <c r="AB17" s="178" t="str">
        <f>IF(AND(observasi1!AB17="",observasi2!AB17=""),"",AVERAGE(observasi1!AB17,observasi2!AB17))</f>
        <v/>
      </c>
      <c r="AC17" s="178" t="str">
        <f>IF(AND(observasi1!AC17="",observasi2!AC17=""),"",AVERAGE(observasi1!AC17,observasi2!AC17))</f>
        <v/>
      </c>
      <c r="AD17" s="178" t="str">
        <f>IF(AND(observasi1!AD17="",observasi2!AD17=""),"",AVERAGE(observasi1!AD17,observasi2!AD17))</f>
        <v/>
      </c>
      <c r="AE17" s="178" t="str">
        <f>IF(AND(observasi1!AE17="",observasi2!AE17=""),"",AVERAGE(observasi1!AE17,observasi2!AE17))</f>
        <v/>
      </c>
      <c r="AF17" s="178" t="str">
        <f>IF(AND(observasi1!AF17="",observasi2!AF17=""),"",AVERAGE(observasi1!AF17,observasi2!AF17))</f>
        <v/>
      </c>
      <c r="AG17" s="178" t="str">
        <f>IF(AND(observasi1!AG17="",observasi2!AG17=""),"",AVERAGE(observasi1!AG17,observasi2!AG17))</f>
        <v/>
      </c>
      <c r="AH17" s="178" t="str">
        <f>IF(AND(observasi1!AH17="",observasi2!AH17=""),"",AVERAGE(observasi1!AH17,observasi2!AH17))</f>
        <v/>
      </c>
      <c r="AI17" s="178" t="str">
        <f>IF(AND(observasi1!AI17="",observasi2!AI17=""),"",AVERAGE(observasi1!AI17,observasi2!AI17))</f>
        <v/>
      </c>
      <c r="AJ17" s="178" t="str">
        <f>IF(AND(observasi1!AJ17="",observasi2!AJ17=""),"",AVERAGE(observasi1!AJ17,observasi2!AJ17))</f>
        <v/>
      </c>
      <c r="AK17" s="178" t="str">
        <f>IF(AND(observasi1!AK17="",observasi2!AK17=""),"",AVERAGE(observasi1!AK17,observasi2!AK17))</f>
        <v/>
      </c>
      <c r="AL17" s="178" t="str">
        <f>IF(AND(observasi1!AL17="",observasi2!AL17=""),"",AVERAGE(observasi1!AL17,observasi2!AL17))</f>
        <v/>
      </c>
      <c r="AM17" s="178" t="str">
        <f>IF(AND(observasi1!AM17="",observasi2!AM17=""),"",AVERAGE(observasi1!AM17,observasi2!AM17))</f>
        <v/>
      </c>
      <c r="AN17" s="178" t="str">
        <f>IF(AND(observasi1!AN17="",observasi2!AN17=""),"",AVERAGE(observasi1!AN17,observasi2!AN17))</f>
        <v/>
      </c>
      <c r="AO17" s="178" t="str">
        <f>IF(AND(observasi1!AO17="",observasi2!AO17=""),"",AVERAGE(observasi1!AO17,observasi2!AO17))</f>
        <v/>
      </c>
      <c r="AP17" s="178" t="str">
        <f>IF(AND(observasi1!AP17="",observasi2!AP17=""),"",AVERAGE(observasi1!AP17,observasi2!AP17))</f>
        <v/>
      </c>
      <c r="AQ17" s="178" t="str">
        <f>IF(AND(observasi1!AQ17="",observasi2!AQ17=""),"",AVERAGE(observasi1!AQ17,observasi2!AQ17))</f>
        <v/>
      </c>
      <c r="AR17" s="178" t="str">
        <f>IF(AND(observasi1!AR17="",observasi2!AR17=""),"",AVERAGE(observasi1!AR17,observasi2!AR17))</f>
        <v/>
      </c>
      <c r="AS17" s="178" t="str">
        <f>IF(AND(observasi1!AS17="",observasi2!AS17=""),"",AVERAGE(observasi1!AS17,observasi2!AS17))</f>
        <v/>
      </c>
      <c r="AT17" s="178" t="str">
        <f>IF(AND(observasi1!AT17="",observasi2!AT17=""),"",AVERAGE(observasi1!AT17,observasi2!AT17))</f>
        <v/>
      </c>
      <c r="AU17" s="178" t="str">
        <f>IF(AND(observasi1!AU17="",observasi2!AU17=""),"",AVERAGE(observasi1!AU17,observasi2!AU17))</f>
        <v/>
      </c>
      <c r="AV17" s="178" t="str">
        <f>IF(AND(observasi1!AV17="",observasi2!AV17=""),"",AVERAGE(observasi1!AV17,observasi2!AV17))</f>
        <v/>
      </c>
      <c r="AW17" s="178" t="str">
        <f>IF(AND(observasi1!AW17="",observasi2!AW17=""),"",AVERAGE(observasi1!AW17,observasi2!AW17))</f>
        <v/>
      </c>
      <c r="AX17" s="178" t="str">
        <f>IF(AND(observasi1!AX17="",observasi2!AX17=""),"",AVERAGE(observasi1!AX17,observasi2!AX17))</f>
        <v/>
      </c>
      <c r="AY17" s="178" t="str">
        <f>IF(AND(observasi1!AY17="",observasi2!AY17=""),"",AVERAGE(observasi1!AY17,observasi2!AY17))</f>
        <v/>
      </c>
    </row>
    <row r="18" spans="1:51">
      <c r="A18" s="617"/>
      <c r="B18" s="164" t="s">
        <v>161</v>
      </c>
      <c r="C18" s="165" t="s">
        <v>69</v>
      </c>
      <c r="D18" s="178" t="str">
        <f>IF(AND(observasi1!D18="",observasi2!D18=""),"",AVERAGE(observasi1!D18,observasi2!D18))</f>
        <v/>
      </c>
      <c r="E18" s="178" t="str">
        <f>IF(AND(observasi1!E18="",observasi2!E18=""),"",AVERAGE(observasi1!E18,observasi2!E18))</f>
        <v/>
      </c>
      <c r="F18" s="178" t="str">
        <f>IF(AND(observasi1!F18="",observasi2!F18=""),"",AVERAGE(observasi1!F18,observasi2!F18))</f>
        <v/>
      </c>
      <c r="G18" s="178" t="str">
        <f>IF(AND(observasi1!G18="",observasi2!G18=""),"",AVERAGE(observasi1!G18,observasi2!G18))</f>
        <v/>
      </c>
      <c r="H18" s="178" t="str">
        <f>IF(AND(observasi1!H18="",observasi2!H18=""),"",AVERAGE(observasi1!H18,observasi2!H18))</f>
        <v/>
      </c>
      <c r="I18" s="178" t="str">
        <f>IF(AND(observasi1!I18="",observasi2!I18=""),"",AVERAGE(observasi1!I18,observasi2!I18))</f>
        <v/>
      </c>
      <c r="J18" s="178" t="str">
        <f>IF(AND(observasi1!J18="",observasi2!J18=""),"",AVERAGE(observasi1!J18,observasi2!J18))</f>
        <v/>
      </c>
      <c r="K18" s="178" t="str">
        <f>IF(AND(observasi1!K18="",observasi2!K18=""),"",AVERAGE(observasi1!K18,observasi2!K18))</f>
        <v/>
      </c>
      <c r="L18" s="178" t="str">
        <f>IF(AND(observasi1!L18="",observasi2!L18=""),"",AVERAGE(observasi1!L18,observasi2!L18))</f>
        <v/>
      </c>
      <c r="M18" s="178" t="str">
        <f>IF(AND(observasi1!M18="",observasi2!M18=""),"",AVERAGE(observasi1!M18,observasi2!M18))</f>
        <v/>
      </c>
      <c r="N18" s="178" t="str">
        <f>IF(AND(observasi1!N18="",observasi2!N18=""),"",AVERAGE(observasi1!N18,observasi2!N18))</f>
        <v/>
      </c>
      <c r="O18" s="178" t="str">
        <f>IF(AND(observasi1!O18="",observasi2!O18=""),"",AVERAGE(observasi1!O18,observasi2!O18))</f>
        <v/>
      </c>
      <c r="P18" s="178" t="str">
        <f>IF(AND(observasi1!P18="",observasi2!P18=""),"",AVERAGE(observasi1!P18,observasi2!P18))</f>
        <v/>
      </c>
      <c r="Q18" s="178" t="str">
        <f>IF(AND(observasi1!Q18="",observasi2!Q18=""),"",AVERAGE(observasi1!Q18,observasi2!Q18))</f>
        <v/>
      </c>
      <c r="R18" s="178" t="str">
        <f>IF(AND(observasi1!R18="",observasi2!R18=""),"",AVERAGE(observasi1!R18,observasi2!R18))</f>
        <v/>
      </c>
      <c r="S18" s="178" t="str">
        <f>IF(AND(observasi1!S18="",observasi2!S18=""),"",AVERAGE(observasi1!S18,observasi2!S18))</f>
        <v/>
      </c>
      <c r="T18" s="178" t="str">
        <f>IF(AND(observasi1!T18="",observasi2!T18=""),"",AVERAGE(observasi1!T18,observasi2!T18))</f>
        <v/>
      </c>
      <c r="U18" s="178" t="str">
        <f>IF(AND(observasi1!U18="",observasi2!U18=""),"",AVERAGE(observasi1!U18,observasi2!U18))</f>
        <v/>
      </c>
      <c r="V18" s="178" t="str">
        <f>IF(AND(observasi1!V18="",observasi2!V18=""),"",AVERAGE(observasi1!V18,observasi2!V18))</f>
        <v/>
      </c>
      <c r="W18" s="178" t="str">
        <f>IF(AND(observasi1!W18="",observasi2!W18=""),"",AVERAGE(observasi1!W18,observasi2!W18))</f>
        <v/>
      </c>
      <c r="X18" s="178" t="str">
        <f>IF(AND(observasi1!X18="",observasi2!X18=""),"",AVERAGE(observasi1!X18,observasi2!X18))</f>
        <v/>
      </c>
      <c r="Y18" s="178" t="str">
        <f>IF(AND(observasi1!Y18="",observasi2!Y18=""),"",AVERAGE(observasi1!Y18,observasi2!Y18))</f>
        <v/>
      </c>
      <c r="Z18" s="178" t="str">
        <f>IF(AND(observasi1!Z18="",observasi2!Z18=""),"",AVERAGE(observasi1!Z18,observasi2!Z18))</f>
        <v/>
      </c>
      <c r="AA18" s="178" t="str">
        <f>IF(AND(observasi1!AA18="",observasi2!AA18=""),"",AVERAGE(observasi1!AA18,observasi2!AA18))</f>
        <v/>
      </c>
      <c r="AB18" s="178" t="str">
        <f>IF(AND(observasi1!AB18="",observasi2!AB18=""),"",AVERAGE(observasi1!AB18,observasi2!AB18))</f>
        <v/>
      </c>
      <c r="AC18" s="178" t="str">
        <f>IF(AND(observasi1!AC18="",observasi2!AC18=""),"",AVERAGE(observasi1!AC18,observasi2!AC18))</f>
        <v/>
      </c>
      <c r="AD18" s="178" t="str">
        <f>IF(AND(observasi1!AD18="",observasi2!AD18=""),"",AVERAGE(observasi1!AD18,observasi2!AD18))</f>
        <v/>
      </c>
      <c r="AE18" s="178" t="str">
        <f>IF(AND(observasi1!AE18="",observasi2!AE18=""),"",AVERAGE(observasi1!AE18,observasi2!AE18))</f>
        <v/>
      </c>
      <c r="AF18" s="178" t="str">
        <f>IF(AND(observasi1!AF18="",observasi2!AF18=""),"",AVERAGE(observasi1!AF18,observasi2!AF18))</f>
        <v/>
      </c>
      <c r="AG18" s="178" t="str">
        <f>IF(AND(observasi1!AG18="",observasi2!AG18=""),"",AVERAGE(observasi1!AG18,observasi2!AG18))</f>
        <v/>
      </c>
      <c r="AH18" s="178" t="str">
        <f>IF(AND(observasi1!AH18="",observasi2!AH18=""),"",AVERAGE(observasi1!AH18,observasi2!AH18))</f>
        <v/>
      </c>
      <c r="AI18" s="178" t="str">
        <f>IF(AND(observasi1!AI18="",observasi2!AI18=""),"",AVERAGE(observasi1!AI18,observasi2!AI18))</f>
        <v/>
      </c>
      <c r="AJ18" s="178" t="str">
        <f>IF(AND(observasi1!AJ18="",observasi2!AJ18=""),"",AVERAGE(observasi1!AJ18,observasi2!AJ18))</f>
        <v/>
      </c>
      <c r="AK18" s="178" t="str">
        <f>IF(AND(observasi1!AK18="",observasi2!AK18=""),"",AVERAGE(observasi1!AK18,observasi2!AK18))</f>
        <v/>
      </c>
      <c r="AL18" s="178" t="str">
        <f>IF(AND(observasi1!AL18="",observasi2!AL18=""),"",AVERAGE(observasi1!AL18,observasi2!AL18))</f>
        <v/>
      </c>
      <c r="AM18" s="178" t="str">
        <f>IF(AND(observasi1!AM18="",observasi2!AM18=""),"",AVERAGE(observasi1!AM18,observasi2!AM18))</f>
        <v/>
      </c>
      <c r="AN18" s="178" t="str">
        <f>IF(AND(observasi1!AN18="",observasi2!AN18=""),"",AVERAGE(observasi1!AN18,observasi2!AN18))</f>
        <v/>
      </c>
      <c r="AO18" s="178" t="str">
        <f>IF(AND(observasi1!AO18="",observasi2!AO18=""),"",AVERAGE(observasi1!AO18,observasi2!AO18))</f>
        <v/>
      </c>
      <c r="AP18" s="178" t="str">
        <f>IF(AND(observasi1!AP18="",observasi2!AP18=""),"",AVERAGE(observasi1!AP18,observasi2!AP18))</f>
        <v/>
      </c>
      <c r="AQ18" s="178" t="str">
        <f>IF(AND(observasi1!AQ18="",observasi2!AQ18=""),"",AVERAGE(observasi1!AQ18,observasi2!AQ18))</f>
        <v/>
      </c>
      <c r="AR18" s="178" t="str">
        <f>IF(AND(observasi1!AR18="",observasi2!AR18=""),"",AVERAGE(observasi1!AR18,observasi2!AR18))</f>
        <v/>
      </c>
      <c r="AS18" s="178" t="str">
        <f>IF(AND(observasi1!AS18="",observasi2!AS18=""),"",AVERAGE(observasi1!AS18,observasi2!AS18))</f>
        <v/>
      </c>
      <c r="AT18" s="178" t="str">
        <f>IF(AND(observasi1!AT18="",observasi2!AT18=""),"",AVERAGE(observasi1!AT18,observasi2!AT18))</f>
        <v/>
      </c>
      <c r="AU18" s="178" t="str">
        <f>IF(AND(observasi1!AU18="",observasi2!AU18=""),"",AVERAGE(observasi1!AU18,observasi2!AU18))</f>
        <v/>
      </c>
      <c r="AV18" s="178" t="str">
        <f>IF(AND(observasi1!AV18="",observasi2!AV18=""),"",AVERAGE(observasi1!AV18,observasi2!AV18))</f>
        <v/>
      </c>
      <c r="AW18" s="178" t="str">
        <f>IF(AND(observasi1!AW18="",observasi2!AW18=""),"",AVERAGE(observasi1!AW18,observasi2!AW18))</f>
        <v/>
      </c>
      <c r="AX18" s="178" t="str">
        <f>IF(AND(observasi1!AX18="",observasi2!AX18=""),"",AVERAGE(observasi1!AX18,observasi2!AX18))</f>
        <v/>
      </c>
      <c r="AY18" s="178" t="str">
        <f>IF(AND(observasi1!AY18="",observasi2!AY18=""),"",AVERAGE(observasi1!AY18,observasi2!AY18))</f>
        <v/>
      </c>
    </row>
    <row r="19" spans="1:51">
      <c r="A19" s="617"/>
      <c r="B19" s="164" t="s">
        <v>162</v>
      </c>
      <c r="C19" s="165" t="s">
        <v>70</v>
      </c>
      <c r="D19" s="178" t="str">
        <f>IF(AND(observasi1!D19="",observasi2!D19=""),"",AVERAGE(observasi1!D19,observasi2!D19))</f>
        <v/>
      </c>
      <c r="E19" s="178" t="str">
        <f>IF(AND(observasi1!E19="",observasi2!E19=""),"",AVERAGE(observasi1!E19,observasi2!E19))</f>
        <v/>
      </c>
      <c r="F19" s="178" t="str">
        <f>IF(AND(observasi1!F19="",observasi2!F19=""),"",AVERAGE(observasi1!F19,observasi2!F19))</f>
        <v/>
      </c>
      <c r="G19" s="178" t="str">
        <f>IF(AND(observasi1!G19="",observasi2!G19=""),"",AVERAGE(observasi1!G19,observasi2!G19))</f>
        <v/>
      </c>
      <c r="H19" s="178" t="str">
        <f>IF(AND(observasi1!H19="",observasi2!H19=""),"",AVERAGE(observasi1!H19,observasi2!H19))</f>
        <v/>
      </c>
      <c r="I19" s="178" t="str">
        <f>IF(AND(observasi1!I19="",observasi2!I19=""),"",AVERAGE(observasi1!I19,observasi2!I19))</f>
        <v/>
      </c>
      <c r="J19" s="178" t="str">
        <f>IF(AND(observasi1!J19="",observasi2!J19=""),"",AVERAGE(observasi1!J19,observasi2!J19))</f>
        <v/>
      </c>
      <c r="K19" s="178" t="str">
        <f>IF(AND(observasi1!K19="",observasi2!K19=""),"",AVERAGE(observasi1!K19,observasi2!K19))</f>
        <v/>
      </c>
      <c r="L19" s="178" t="str">
        <f>IF(AND(observasi1!L19="",observasi2!L19=""),"",AVERAGE(observasi1!L19,observasi2!L19))</f>
        <v/>
      </c>
      <c r="M19" s="178" t="str">
        <f>IF(AND(observasi1!M19="",observasi2!M19=""),"",AVERAGE(observasi1!M19,observasi2!M19))</f>
        <v/>
      </c>
      <c r="N19" s="178" t="str">
        <f>IF(AND(observasi1!N19="",observasi2!N19=""),"",AVERAGE(observasi1!N19,observasi2!N19))</f>
        <v/>
      </c>
      <c r="O19" s="178" t="str">
        <f>IF(AND(observasi1!O19="",observasi2!O19=""),"",AVERAGE(observasi1!O19,observasi2!O19))</f>
        <v/>
      </c>
      <c r="P19" s="178" t="str">
        <f>IF(AND(observasi1!P19="",observasi2!P19=""),"",AVERAGE(observasi1!P19,observasi2!P19))</f>
        <v/>
      </c>
      <c r="Q19" s="178" t="str">
        <f>IF(AND(observasi1!Q19="",observasi2!Q19=""),"",AVERAGE(observasi1!Q19,observasi2!Q19))</f>
        <v/>
      </c>
      <c r="R19" s="178" t="str">
        <f>IF(AND(observasi1!R19="",observasi2!R19=""),"",AVERAGE(observasi1!R19,observasi2!R19))</f>
        <v/>
      </c>
      <c r="S19" s="178" t="str">
        <f>IF(AND(observasi1!S19="",observasi2!S19=""),"",AVERAGE(observasi1!S19,observasi2!S19))</f>
        <v/>
      </c>
      <c r="T19" s="178" t="str">
        <f>IF(AND(observasi1!T19="",observasi2!T19=""),"",AVERAGE(observasi1!T19,observasi2!T19))</f>
        <v/>
      </c>
      <c r="U19" s="178" t="str">
        <f>IF(AND(observasi1!U19="",observasi2!U19=""),"",AVERAGE(observasi1!U19,observasi2!U19))</f>
        <v/>
      </c>
      <c r="V19" s="178" t="str">
        <f>IF(AND(observasi1!V19="",observasi2!V19=""),"",AVERAGE(observasi1!V19,observasi2!V19))</f>
        <v/>
      </c>
      <c r="W19" s="178" t="str">
        <f>IF(AND(observasi1!W19="",observasi2!W19=""),"",AVERAGE(observasi1!W19,observasi2!W19))</f>
        <v/>
      </c>
      <c r="X19" s="178" t="str">
        <f>IF(AND(observasi1!X19="",observasi2!X19=""),"",AVERAGE(observasi1!X19,observasi2!X19))</f>
        <v/>
      </c>
      <c r="Y19" s="178" t="str">
        <f>IF(AND(observasi1!Y19="",observasi2!Y19=""),"",AVERAGE(observasi1!Y19,observasi2!Y19))</f>
        <v/>
      </c>
      <c r="Z19" s="178" t="str">
        <f>IF(AND(observasi1!Z19="",observasi2!Z19=""),"",AVERAGE(observasi1!Z19,observasi2!Z19))</f>
        <v/>
      </c>
      <c r="AA19" s="178" t="str">
        <f>IF(AND(observasi1!AA19="",observasi2!AA19=""),"",AVERAGE(observasi1!AA19,observasi2!AA19))</f>
        <v/>
      </c>
      <c r="AB19" s="178" t="str">
        <f>IF(AND(observasi1!AB19="",observasi2!AB19=""),"",AVERAGE(observasi1!AB19,observasi2!AB19))</f>
        <v/>
      </c>
      <c r="AC19" s="178" t="str">
        <f>IF(AND(observasi1!AC19="",observasi2!AC19=""),"",AVERAGE(observasi1!AC19,observasi2!AC19))</f>
        <v/>
      </c>
      <c r="AD19" s="178" t="str">
        <f>IF(AND(observasi1!AD19="",observasi2!AD19=""),"",AVERAGE(observasi1!AD19,observasi2!AD19))</f>
        <v/>
      </c>
      <c r="AE19" s="178" t="str">
        <f>IF(AND(observasi1!AE19="",observasi2!AE19=""),"",AVERAGE(observasi1!AE19,observasi2!AE19))</f>
        <v/>
      </c>
      <c r="AF19" s="178" t="str">
        <f>IF(AND(observasi1!AF19="",observasi2!AF19=""),"",AVERAGE(observasi1!AF19,observasi2!AF19))</f>
        <v/>
      </c>
      <c r="AG19" s="178" t="str">
        <f>IF(AND(observasi1!AG19="",observasi2!AG19=""),"",AVERAGE(observasi1!AG19,observasi2!AG19))</f>
        <v/>
      </c>
      <c r="AH19" s="178" t="str">
        <f>IF(AND(observasi1!AH19="",observasi2!AH19=""),"",AVERAGE(observasi1!AH19,observasi2!AH19))</f>
        <v/>
      </c>
      <c r="AI19" s="178" t="str">
        <f>IF(AND(observasi1!AI19="",observasi2!AI19=""),"",AVERAGE(observasi1!AI19,observasi2!AI19))</f>
        <v/>
      </c>
      <c r="AJ19" s="178" t="str">
        <f>IF(AND(observasi1!AJ19="",observasi2!AJ19=""),"",AVERAGE(observasi1!AJ19,observasi2!AJ19))</f>
        <v/>
      </c>
      <c r="AK19" s="178" t="str">
        <f>IF(AND(observasi1!AK19="",observasi2!AK19=""),"",AVERAGE(observasi1!AK19,observasi2!AK19))</f>
        <v/>
      </c>
      <c r="AL19" s="178" t="str">
        <f>IF(AND(observasi1!AL19="",observasi2!AL19=""),"",AVERAGE(observasi1!AL19,observasi2!AL19))</f>
        <v/>
      </c>
      <c r="AM19" s="178" t="str">
        <f>IF(AND(observasi1!AM19="",observasi2!AM19=""),"",AVERAGE(observasi1!AM19,observasi2!AM19))</f>
        <v/>
      </c>
      <c r="AN19" s="178" t="str">
        <f>IF(AND(observasi1!AN19="",observasi2!AN19=""),"",AVERAGE(observasi1!AN19,observasi2!AN19))</f>
        <v/>
      </c>
      <c r="AO19" s="178" t="str">
        <f>IF(AND(observasi1!AO19="",observasi2!AO19=""),"",AVERAGE(observasi1!AO19,observasi2!AO19))</f>
        <v/>
      </c>
      <c r="AP19" s="178" t="str">
        <f>IF(AND(observasi1!AP19="",observasi2!AP19=""),"",AVERAGE(observasi1!AP19,observasi2!AP19))</f>
        <v/>
      </c>
      <c r="AQ19" s="178" t="str">
        <f>IF(AND(observasi1!AQ19="",observasi2!AQ19=""),"",AVERAGE(observasi1!AQ19,observasi2!AQ19))</f>
        <v/>
      </c>
      <c r="AR19" s="178" t="str">
        <f>IF(AND(observasi1!AR19="",observasi2!AR19=""),"",AVERAGE(observasi1!AR19,observasi2!AR19))</f>
        <v/>
      </c>
      <c r="AS19" s="178" t="str">
        <f>IF(AND(observasi1!AS19="",observasi2!AS19=""),"",AVERAGE(observasi1!AS19,observasi2!AS19))</f>
        <v/>
      </c>
      <c r="AT19" s="178" t="str">
        <f>IF(AND(observasi1!AT19="",observasi2!AT19=""),"",AVERAGE(observasi1!AT19,observasi2!AT19))</f>
        <v/>
      </c>
      <c r="AU19" s="178" t="str">
        <f>IF(AND(observasi1!AU19="",observasi2!AU19=""),"",AVERAGE(observasi1!AU19,observasi2!AU19))</f>
        <v/>
      </c>
      <c r="AV19" s="178" t="str">
        <f>IF(AND(observasi1!AV19="",observasi2!AV19=""),"",AVERAGE(observasi1!AV19,observasi2!AV19))</f>
        <v/>
      </c>
      <c r="AW19" s="178" t="str">
        <f>IF(AND(observasi1!AW19="",observasi2!AW19=""),"",AVERAGE(observasi1!AW19,observasi2!AW19))</f>
        <v/>
      </c>
      <c r="AX19" s="178" t="str">
        <f>IF(AND(observasi1!AX19="",observasi2!AX19=""),"",AVERAGE(observasi1!AX19,observasi2!AX19))</f>
        <v/>
      </c>
      <c r="AY19" s="178" t="str">
        <f>IF(AND(observasi1!AY19="",observasi2!AY19=""),"",AVERAGE(observasi1!AY19,observasi2!AY19))</f>
        <v/>
      </c>
    </row>
    <row r="20" spans="1:51">
      <c r="A20" s="617"/>
      <c r="B20" s="164" t="s">
        <v>163</v>
      </c>
      <c r="C20" s="165" t="s">
        <v>164</v>
      </c>
      <c r="D20" s="178" t="str">
        <f>IF(AND(observasi1!D20="",observasi2!D20=""),"",AVERAGE(observasi1!D20,observasi2!D20))</f>
        <v/>
      </c>
      <c r="E20" s="178" t="str">
        <f>IF(AND(observasi1!E20="",observasi2!E20=""),"",AVERAGE(observasi1!E20,observasi2!E20))</f>
        <v/>
      </c>
      <c r="F20" s="178" t="str">
        <f>IF(AND(observasi1!F20="",observasi2!F20=""),"",AVERAGE(observasi1!F20,observasi2!F20))</f>
        <v/>
      </c>
      <c r="G20" s="178" t="str">
        <f>IF(AND(observasi1!G20="",observasi2!G20=""),"",AVERAGE(observasi1!G20,observasi2!G20))</f>
        <v/>
      </c>
      <c r="H20" s="178" t="str">
        <f>IF(AND(observasi1!H20="",observasi2!H20=""),"",AVERAGE(observasi1!H20,observasi2!H20))</f>
        <v/>
      </c>
      <c r="I20" s="178" t="str">
        <f>IF(AND(observasi1!I20="",observasi2!I20=""),"",AVERAGE(observasi1!I20,observasi2!I20))</f>
        <v/>
      </c>
      <c r="J20" s="178" t="str">
        <f>IF(AND(observasi1!J20="",observasi2!J20=""),"",AVERAGE(observasi1!J20,observasi2!J20))</f>
        <v/>
      </c>
      <c r="K20" s="178" t="str">
        <f>IF(AND(observasi1!K20="",observasi2!K20=""),"",AVERAGE(observasi1!K20,observasi2!K20))</f>
        <v/>
      </c>
      <c r="L20" s="178" t="str">
        <f>IF(AND(observasi1!L20="",observasi2!L20=""),"",AVERAGE(observasi1!L20,observasi2!L20))</f>
        <v/>
      </c>
      <c r="M20" s="178" t="str">
        <f>IF(AND(observasi1!M20="",observasi2!M20=""),"",AVERAGE(observasi1!M20,observasi2!M20))</f>
        <v/>
      </c>
      <c r="N20" s="178" t="str">
        <f>IF(AND(observasi1!N20="",observasi2!N20=""),"",AVERAGE(observasi1!N20,observasi2!N20))</f>
        <v/>
      </c>
      <c r="O20" s="178" t="str">
        <f>IF(AND(observasi1!O20="",observasi2!O20=""),"",AVERAGE(observasi1!O20,observasi2!O20))</f>
        <v/>
      </c>
      <c r="P20" s="178" t="str">
        <f>IF(AND(observasi1!P20="",observasi2!P20=""),"",AVERAGE(observasi1!P20,observasi2!P20))</f>
        <v/>
      </c>
      <c r="Q20" s="178" t="str">
        <f>IF(AND(observasi1!Q20="",observasi2!Q20=""),"",AVERAGE(observasi1!Q20,observasi2!Q20))</f>
        <v/>
      </c>
      <c r="R20" s="178" t="str">
        <f>IF(AND(observasi1!R20="",observasi2!R20=""),"",AVERAGE(observasi1!R20,observasi2!R20))</f>
        <v/>
      </c>
      <c r="S20" s="178" t="str">
        <f>IF(AND(observasi1!S20="",observasi2!S20=""),"",AVERAGE(observasi1!S20,observasi2!S20))</f>
        <v/>
      </c>
      <c r="T20" s="178" t="str">
        <f>IF(AND(observasi1!T20="",observasi2!T20=""),"",AVERAGE(observasi1!T20,observasi2!T20))</f>
        <v/>
      </c>
      <c r="U20" s="178" t="str">
        <f>IF(AND(observasi1!U20="",observasi2!U20=""),"",AVERAGE(observasi1!U20,observasi2!U20))</f>
        <v/>
      </c>
      <c r="V20" s="178" t="str">
        <f>IF(AND(observasi1!V20="",observasi2!V20=""),"",AVERAGE(observasi1!V20,observasi2!V20))</f>
        <v/>
      </c>
      <c r="W20" s="178" t="str">
        <f>IF(AND(observasi1!W20="",observasi2!W20=""),"",AVERAGE(observasi1!W20,observasi2!W20))</f>
        <v/>
      </c>
      <c r="X20" s="178" t="str">
        <f>IF(AND(observasi1!X20="",observasi2!X20=""),"",AVERAGE(observasi1!X20,observasi2!X20))</f>
        <v/>
      </c>
      <c r="Y20" s="178" t="str">
        <f>IF(AND(observasi1!Y20="",observasi2!Y20=""),"",AVERAGE(observasi1!Y20,observasi2!Y20))</f>
        <v/>
      </c>
      <c r="Z20" s="178" t="str">
        <f>IF(AND(observasi1!Z20="",observasi2!Z20=""),"",AVERAGE(observasi1!Z20,observasi2!Z20))</f>
        <v/>
      </c>
      <c r="AA20" s="178" t="str">
        <f>IF(AND(observasi1!AA20="",observasi2!AA20=""),"",AVERAGE(observasi1!AA20,observasi2!AA20))</f>
        <v/>
      </c>
      <c r="AB20" s="178" t="str">
        <f>IF(AND(observasi1!AB20="",observasi2!AB20=""),"",AVERAGE(observasi1!AB20,observasi2!AB20))</f>
        <v/>
      </c>
      <c r="AC20" s="178" t="str">
        <f>IF(AND(observasi1!AC20="",observasi2!AC20=""),"",AVERAGE(observasi1!AC20,observasi2!AC20))</f>
        <v/>
      </c>
      <c r="AD20" s="178" t="str">
        <f>IF(AND(observasi1!AD20="",observasi2!AD20=""),"",AVERAGE(observasi1!AD20,observasi2!AD20))</f>
        <v/>
      </c>
      <c r="AE20" s="178" t="str">
        <f>IF(AND(observasi1!AE20="",observasi2!AE20=""),"",AVERAGE(observasi1!AE20,observasi2!AE20))</f>
        <v/>
      </c>
      <c r="AF20" s="178" t="str">
        <f>IF(AND(observasi1!AF20="",observasi2!AF20=""),"",AVERAGE(observasi1!AF20,observasi2!AF20))</f>
        <v/>
      </c>
      <c r="AG20" s="178" t="str">
        <f>IF(AND(observasi1!AG20="",observasi2!AG20=""),"",AVERAGE(observasi1!AG20,observasi2!AG20))</f>
        <v/>
      </c>
      <c r="AH20" s="178" t="str">
        <f>IF(AND(observasi1!AH20="",observasi2!AH20=""),"",AVERAGE(observasi1!AH20,observasi2!AH20))</f>
        <v/>
      </c>
      <c r="AI20" s="178" t="str">
        <f>IF(AND(observasi1!AI20="",observasi2!AI20=""),"",AVERAGE(observasi1!AI20,observasi2!AI20))</f>
        <v/>
      </c>
      <c r="AJ20" s="178" t="str">
        <f>IF(AND(observasi1!AJ20="",observasi2!AJ20=""),"",AVERAGE(observasi1!AJ20,observasi2!AJ20))</f>
        <v/>
      </c>
      <c r="AK20" s="178" t="str">
        <f>IF(AND(observasi1!AK20="",observasi2!AK20=""),"",AVERAGE(observasi1!AK20,observasi2!AK20))</f>
        <v/>
      </c>
      <c r="AL20" s="178" t="str">
        <f>IF(AND(observasi1!AL20="",observasi2!AL20=""),"",AVERAGE(observasi1!AL20,observasi2!AL20))</f>
        <v/>
      </c>
      <c r="AM20" s="178" t="str">
        <f>IF(AND(observasi1!AM20="",observasi2!AM20=""),"",AVERAGE(observasi1!AM20,observasi2!AM20))</f>
        <v/>
      </c>
      <c r="AN20" s="178" t="str">
        <f>IF(AND(observasi1!AN20="",observasi2!AN20=""),"",AVERAGE(observasi1!AN20,observasi2!AN20))</f>
        <v/>
      </c>
      <c r="AO20" s="178" t="str">
        <f>IF(AND(observasi1!AO20="",observasi2!AO20=""),"",AVERAGE(observasi1!AO20,observasi2!AO20))</f>
        <v/>
      </c>
      <c r="AP20" s="178" t="str">
        <f>IF(AND(observasi1!AP20="",observasi2!AP20=""),"",AVERAGE(observasi1!AP20,observasi2!AP20))</f>
        <v/>
      </c>
      <c r="AQ20" s="178" t="str">
        <f>IF(AND(observasi1!AQ20="",observasi2!AQ20=""),"",AVERAGE(observasi1!AQ20,observasi2!AQ20))</f>
        <v/>
      </c>
      <c r="AR20" s="178" t="str">
        <f>IF(AND(observasi1!AR20="",observasi2!AR20=""),"",AVERAGE(observasi1!AR20,observasi2!AR20))</f>
        <v/>
      </c>
      <c r="AS20" s="178" t="str">
        <f>IF(AND(observasi1!AS20="",observasi2!AS20=""),"",AVERAGE(observasi1!AS20,observasi2!AS20))</f>
        <v/>
      </c>
      <c r="AT20" s="178" t="str">
        <f>IF(AND(observasi1!AT20="",observasi2!AT20=""),"",AVERAGE(observasi1!AT20,observasi2!AT20))</f>
        <v/>
      </c>
      <c r="AU20" s="178" t="str">
        <f>IF(AND(observasi1!AU20="",observasi2!AU20=""),"",AVERAGE(observasi1!AU20,observasi2!AU20))</f>
        <v/>
      </c>
      <c r="AV20" s="178" t="str">
        <f>IF(AND(observasi1!AV20="",observasi2!AV20=""),"",AVERAGE(observasi1!AV20,observasi2!AV20))</f>
        <v/>
      </c>
      <c r="AW20" s="178" t="str">
        <f>IF(AND(observasi1!AW20="",observasi2!AW20=""),"",AVERAGE(observasi1!AW20,observasi2!AW20))</f>
        <v/>
      </c>
      <c r="AX20" s="178" t="str">
        <f>IF(AND(observasi1!AX20="",observasi2!AX20=""),"",AVERAGE(observasi1!AX20,observasi2!AX20))</f>
        <v/>
      </c>
      <c r="AY20" s="178" t="str">
        <f>IF(AND(observasi1!AY20="",observasi2!AY20=""),"",AVERAGE(observasi1!AY20,observasi2!AY20))</f>
        <v/>
      </c>
    </row>
    <row r="21" spans="1:51">
      <c r="A21" s="617"/>
      <c r="B21" s="164" t="s">
        <v>165</v>
      </c>
      <c r="C21" s="165" t="s">
        <v>166</v>
      </c>
      <c r="D21" s="178" t="str">
        <f>IF(AND(observasi1!D21="",observasi2!D21=""),"",AVERAGE(observasi1!D21,observasi2!D21))</f>
        <v/>
      </c>
      <c r="E21" s="178" t="str">
        <f>IF(AND(observasi1!E21="",observasi2!E21=""),"",AVERAGE(observasi1!E21,observasi2!E21))</f>
        <v/>
      </c>
      <c r="F21" s="178" t="str">
        <f>IF(AND(observasi1!F21="",observasi2!F21=""),"",AVERAGE(observasi1!F21,observasi2!F21))</f>
        <v/>
      </c>
      <c r="G21" s="178" t="str">
        <f>IF(AND(observasi1!G21="",observasi2!G21=""),"",AVERAGE(observasi1!G21,observasi2!G21))</f>
        <v/>
      </c>
      <c r="H21" s="178" t="str">
        <f>IF(AND(observasi1!H21="",observasi2!H21=""),"",AVERAGE(observasi1!H21,observasi2!H21))</f>
        <v/>
      </c>
      <c r="I21" s="178" t="str">
        <f>IF(AND(observasi1!I21="",observasi2!I21=""),"",AVERAGE(observasi1!I21,observasi2!I21))</f>
        <v/>
      </c>
      <c r="J21" s="178" t="str">
        <f>IF(AND(observasi1!J21="",observasi2!J21=""),"",AVERAGE(observasi1!J21,observasi2!J21))</f>
        <v/>
      </c>
      <c r="K21" s="178" t="str">
        <f>IF(AND(observasi1!K21="",observasi2!K21=""),"",AVERAGE(observasi1!K21,observasi2!K21))</f>
        <v/>
      </c>
      <c r="L21" s="178" t="str">
        <f>IF(AND(observasi1!L21="",observasi2!L21=""),"",AVERAGE(observasi1!L21,observasi2!L21))</f>
        <v/>
      </c>
      <c r="M21" s="178" t="str">
        <f>IF(AND(observasi1!M21="",observasi2!M21=""),"",AVERAGE(observasi1!M21,observasi2!M21))</f>
        <v/>
      </c>
      <c r="N21" s="178" t="str">
        <f>IF(AND(observasi1!N21="",observasi2!N21=""),"",AVERAGE(observasi1!N21,observasi2!N21))</f>
        <v/>
      </c>
      <c r="O21" s="178" t="str">
        <f>IF(AND(observasi1!O21="",observasi2!O21=""),"",AVERAGE(observasi1!O21,observasi2!O21))</f>
        <v/>
      </c>
      <c r="P21" s="178" t="str">
        <f>IF(AND(observasi1!P21="",observasi2!P21=""),"",AVERAGE(observasi1!P21,observasi2!P21))</f>
        <v/>
      </c>
      <c r="Q21" s="178" t="str">
        <f>IF(AND(observasi1!Q21="",observasi2!Q21=""),"",AVERAGE(observasi1!Q21,observasi2!Q21))</f>
        <v/>
      </c>
      <c r="R21" s="178" t="str">
        <f>IF(AND(observasi1!R21="",observasi2!R21=""),"",AVERAGE(observasi1!R21,observasi2!R21))</f>
        <v/>
      </c>
      <c r="S21" s="178" t="str">
        <f>IF(AND(observasi1!S21="",observasi2!S21=""),"",AVERAGE(observasi1!S21,observasi2!S21))</f>
        <v/>
      </c>
      <c r="T21" s="178" t="str">
        <f>IF(AND(observasi1!T21="",observasi2!T21=""),"",AVERAGE(observasi1!T21,observasi2!T21))</f>
        <v/>
      </c>
      <c r="U21" s="178" t="str">
        <f>IF(AND(observasi1!U21="",observasi2!U21=""),"",AVERAGE(observasi1!U21,observasi2!U21))</f>
        <v/>
      </c>
      <c r="V21" s="178" t="str">
        <f>IF(AND(observasi1!V21="",observasi2!V21=""),"",AVERAGE(observasi1!V21,observasi2!V21))</f>
        <v/>
      </c>
      <c r="W21" s="178" t="str">
        <f>IF(AND(observasi1!W21="",observasi2!W21=""),"",AVERAGE(observasi1!W21,observasi2!W21))</f>
        <v/>
      </c>
      <c r="X21" s="178" t="str">
        <f>IF(AND(observasi1!X21="",observasi2!X21=""),"",AVERAGE(observasi1!X21,observasi2!X21))</f>
        <v/>
      </c>
      <c r="Y21" s="178" t="str">
        <f>IF(AND(observasi1!Y21="",observasi2!Y21=""),"",AVERAGE(observasi1!Y21,observasi2!Y21))</f>
        <v/>
      </c>
      <c r="Z21" s="178" t="str">
        <f>IF(AND(observasi1!Z21="",observasi2!Z21=""),"",AVERAGE(observasi1!Z21,observasi2!Z21))</f>
        <v/>
      </c>
      <c r="AA21" s="178" t="str">
        <f>IF(AND(observasi1!AA21="",observasi2!AA21=""),"",AVERAGE(observasi1!AA21,observasi2!AA21))</f>
        <v/>
      </c>
      <c r="AB21" s="178" t="str">
        <f>IF(AND(observasi1!AB21="",observasi2!AB21=""),"",AVERAGE(observasi1!AB21,observasi2!AB21))</f>
        <v/>
      </c>
      <c r="AC21" s="178" t="str">
        <f>IF(AND(observasi1!AC21="",observasi2!AC21=""),"",AVERAGE(observasi1!AC21,observasi2!AC21))</f>
        <v/>
      </c>
      <c r="AD21" s="178" t="str">
        <f>IF(AND(observasi1!AD21="",observasi2!AD21=""),"",AVERAGE(observasi1!AD21,observasi2!AD21))</f>
        <v/>
      </c>
      <c r="AE21" s="178" t="str">
        <f>IF(AND(observasi1!AE21="",observasi2!AE21=""),"",AVERAGE(observasi1!AE21,observasi2!AE21))</f>
        <v/>
      </c>
      <c r="AF21" s="178" t="str">
        <f>IF(AND(observasi1!AF21="",observasi2!AF21=""),"",AVERAGE(observasi1!AF21,observasi2!AF21))</f>
        <v/>
      </c>
      <c r="AG21" s="178" t="str">
        <f>IF(AND(observasi1!AG21="",observasi2!AG21=""),"",AVERAGE(observasi1!AG21,observasi2!AG21))</f>
        <v/>
      </c>
      <c r="AH21" s="178" t="str">
        <f>IF(AND(observasi1!AH21="",observasi2!AH21=""),"",AVERAGE(observasi1!AH21,observasi2!AH21))</f>
        <v/>
      </c>
      <c r="AI21" s="178" t="str">
        <f>IF(AND(observasi1!AI21="",observasi2!AI21=""),"",AVERAGE(observasi1!AI21,observasi2!AI21))</f>
        <v/>
      </c>
      <c r="AJ21" s="178" t="str">
        <f>IF(AND(observasi1!AJ21="",observasi2!AJ21=""),"",AVERAGE(observasi1!AJ21,observasi2!AJ21))</f>
        <v/>
      </c>
      <c r="AK21" s="178" t="str">
        <f>IF(AND(observasi1!AK21="",observasi2!AK21=""),"",AVERAGE(observasi1!AK21,observasi2!AK21))</f>
        <v/>
      </c>
      <c r="AL21" s="178" t="str">
        <f>IF(AND(observasi1!AL21="",observasi2!AL21=""),"",AVERAGE(observasi1!AL21,observasi2!AL21))</f>
        <v/>
      </c>
      <c r="AM21" s="178" t="str">
        <f>IF(AND(observasi1!AM21="",observasi2!AM21=""),"",AVERAGE(observasi1!AM21,observasi2!AM21))</f>
        <v/>
      </c>
      <c r="AN21" s="178" t="str">
        <f>IF(AND(observasi1!AN21="",observasi2!AN21=""),"",AVERAGE(observasi1!AN21,observasi2!AN21))</f>
        <v/>
      </c>
      <c r="AO21" s="178" t="str">
        <f>IF(AND(observasi1!AO21="",observasi2!AO21=""),"",AVERAGE(observasi1!AO21,observasi2!AO21))</f>
        <v/>
      </c>
      <c r="AP21" s="178" t="str">
        <f>IF(AND(observasi1!AP21="",observasi2!AP21=""),"",AVERAGE(observasi1!AP21,observasi2!AP21))</f>
        <v/>
      </c>
      <c r="AQ21" s="178" t="str">
        <f>IF(AND(observasi1!AQ21="",observasi2!AQ21=""),"",AVERAGE(observasi1!AQ21,observasi2!AQ21))</f>
        <v/>
      </c>
      <c r="AR21" s="178" t="str">
        <f>IF(AND(observasi1!AR21="",observasi2!AR21=""),"",AVERAGE(observasi1!AR21,observasi2!AR21))</f>
        <v/>
      </c>
      <c r="AS21" s="178" t="str">
        <f>IF(AND(observasi1!AS21="",observasi2!AS21=""),"",AVERAGE(observasi1!AS21,observasi2!AS21))</f>
        <v/>
      </c>
      <c r="AT21" s="178" t="str">
        <f>IF(AND(observasi1!AT21="",observasi2!AT21=""),"",AVERAGE(observasi1!AT21,observasi2!AT21))</f>
        <v/>
      </c>
      <c r="AU21" s="178" t="str">
        <f>IF(AND(observasi1!AU21="",observasi2!AU21=""),"",AVERAGE(observasi1!AU21,observasi2!AU21))</f>
        <v/>
      </c>
      <c r="AV21" s="178" t="str">
        <f>IF(AND(observasi1!AV21="",observasi2!AV21=""),"",AVERAGE(observasi1!AV21,observasi2!AV21))</f>
        <v/>
      </c>
      <c r="AW21" s="178" t="str">
        <f>IF(AND(observasi1!AW21="",observasi2!AW21=""),"",AVERAGE(observasi1!AW21,observasi2!AW21))</f>
        <v/>
      </c>
      <c r="AX21" s="178" t="str">
        <f>IF(AND(observasi1!AX21="",observasi2!AX21=""),"",AVERAGE(observasi1!AX21,observasi2!AX21))</f>
        <v/>
      </c>
      <c r="AY21" s="178" t="str">
        <f>IF(AND(observasi1!AY21="",observasi2!AY21=""),"",AVERAGE(observasi1!AY21,observasi2!AY21))</f>
        <v/>
      </c>
    </row>
    <row r="22" spans="1:51">
      <c r="A22" s="617"/>
      <c r="B22" s="164" t="s">
        <v>167</v>
      </c>
      <c r="C22" s="165" t="s">
        <v>168</v>
      </c>
      <c r="D22" s="178" t="str">
        <f>IF(AND(observasi1!D22="",observasi2!D22=""),"",AVERAGE(observasi1!D22,observasi2!D22))</f>
        <v/>
      </c>
      <c r="E22" s="178" t="str">
        <f>IF(AND(observasi1!E22="",observasi2!E22=""),"",AVERAGE(observasi1!E22,observasi2!E22))</f>
        <v/>
      </c>
      <c r="F22" s="178" t="str">
        <f>IF(AND(observasi1!F22="",observasi2!F22=""),"",AVERAGE(observasi1!F22,observasi2!F22))</f>
        <v/>
      </c>
      <c r="G22" s="178" t="str">
        <f>IF(AND(observasi1!G22="",observasi2!G22=""),"",AVERAGE(observasi1!G22,observasi2!G22))</f>
        <v/>
      </c>
      <c r="H22" s="178" t="str">
        <f>IF(AND(observasi1!H22="",observasi2!H22=""),"",AVERAGE(observasi1!H22,observasi2!H22))</f>
        <v/>
      </c>
      <c r="I22" s="178" t="str">
        <f>IF(AND(observasi1!I22="",observasi2!I22=""),"",AVERAGE(observasi1!I22,observasi2!I22))</f>
        <v/>
      </c>
      <c r="J22" s="178" t="str">
        <f>IF(AND(observasi1!J22="",observasi2!J22=""),"",AVERAGE(observasi1!J22,observasi2!J22))</f>
        <v/>
      </c>
      <c r="K22" s="178" t="str">
        <f>IF(AND(observasi1!K22="",observasi2!K22=""),"",AVERAGE(observasi1!K22,observasi2!K22))</f>
        <v/>
      </c>
      <c r="L22" s="178" t="str">
        <f>IF(AND(observasi1!L22="",observasi2!L22=""),"",AVERAGE(observasi1!L22,observasi2!L22))</f>
        <v/>
      </c>
      <c r="M22" s="178" t="str">
        <f>IF(AND(observasi1!M22="",observasi2!M22=""),"",AVERAGE(observasi1!M22,observasi2!M22))</f>
        <v/>
      </c>
      <c r="N22" s="178" t="str">
        <f>IF(AND(observasi1!N22="",observasi2!N22=""),"",AVERAGE(observasi1!N22,observasi2!N22))</f>
        <v/>
      </c>
      <c r="O22" s="178" t="str">
        <f>IF(AND(observasi1!O22="",observasi2!O22=""),"",AVERAGE(observasi1!O22,observasi2!O22))</f>
        <v/>
      </c>
      <c r="P22" s="178" t="str">
        <f>IF(AND(observasi1!P22="",observasi2!P22=""),"",AVERAGE(observasi1!P22,observasi2!P22))</f>
        <v/>
      </c>
      <c r="Q22" s="178" t="str">
        <f>IF(AND(observasi1!Q22="",observasi2!Q22=""),"",AVERAGE(observasi1!Q22,observasi2!Q22))</f>
        <v/>
      </c>
      <c r="R22" s="178" t="str">
        <f>IF(AND(observasi1!R22="",observasi2!R22=""),"",AVERAGE(observasi1!R22,observasi2!R22))</f>
        <v/>
      </c>
      <c r="S22" s="178" t="str">
        <f>IF(AND(observasi1!S22="",observasi2!S22=""),"",AVERAGE(observasi1!S22,observasi2!S22))</f>
        <v/>
      </c>
      <c r="T22" s="178" t="str">
        <f>IF(AND(observasi1!T22="",observasi2!T22=""),"",AVERAGE(observasi1!T22,observasi2!T22))</f>
        <v/>
      </c>
      <c r="U22" s="178" t="str">
        <f>IF(AND(observasi1!U22="",observasi2!U22=""),"",AVERAGE(observasi1!U22,observasi2!U22))</f>
        <v/>
      </c>
      <c r="V22" s="178" t="str">
        <f>IF(AND(observasi1!V22="",observasi2!V22=""),"",AVERAGE(observasi1!V22,observasi2!V22))</f>
        <v/>
      </c>
      <c r="W22" s="178" t="str">
        <f>IF(AND(observasi1!W22="",observasi2!W22=""),"",AVERAGE(observasi1!W22,observasi2!W22))</f>
        <v/>
      </c>
      <c r="X22" s="178" t="str">
        <f>IF(AND(observasi1!X22="",observasi2!X22=""),"",AVERAGE(observasi1!X22,observasi2!X22))</f>
        <v/>
      </c>
      <c r="Y22" s="178" t="str">
        <f>IF(AND(observasi1!Y22="",observasi2!Y22=""),"",AVERAGE(observasi1!Y22,observasi2!Y22))</f>
        <v/>
      </c>
      <c r="Z22" s="178" t="str">
        <f>IF(AND(observasi1!Z22="",observasi2!Z22=""),"",AVERAGE(observasi1!Z22,observasi2!Z22))</f>
        <v/>
      </c>
      <c r="AA22" s="178" t="str">
        <f>IF(AND(observasi1!AA22="",observasi2!AA22=""),"",AVERAGE(observasi1!AA22,observasi2!AA22))</f>
        <v/>
      </c>
      <c r="AB22" s="178" t="str">
        <f>IF(AND(observasi1!AB22="",observasi2!AB22=""),"",AVERAGE(observasi1!AB22,observasi2!AB22))</f>
        <v/>
      </c>
      <c r="AC22" s="178" t="str">
        <f>IF(AND(observasi1!AC22="",observasi2!AC22=""),"",AVERAGE(observasi1!AC22,observasi2!AC22))</f>
        <v/>
      </c>
      <c r="AD22" s="178" t="str">
        <f>IF(AND(observasi1!AD22="",observasi2!AD22=""),"",AVERAGE(observasi1!AD22,observasi2!AD22))</f>
        <v/>
      </c>
      <c r="AE22" s="178" t="str">
        <f>IF(AND(observasi1!AE22="",observasi2!AE22=""),"",AVERAGE(observasi1!AE22,observasi2!AE22))</f>
        <v/>
      </c>
      <c r="AF22" s="178" t="str">
        <f>IF(AND(observasi1!AF22="",observasi2!AF22=""),"",AVERAGE(observasi1!AF22,observasi2!AF22))</f>
        <v/>
      </c>
      <c r="AG22" s="178" t="str">
        <f>IF(AND(observasi1!AG22="",observasi2!AG22=""),"",AVERAGE(observasi1!AG22,observasi2!AG22))</f>
        <v/>
      </c>
      <c r="AH22" s="178" t="str">
        <f>IF(AND(observasi1!AH22="",observasi2!AH22=""),"",AVERAGE(observasi1!AH22,observasi2!AH22))</f>
        <v/>
      </c>
      <c r="AI22" s="178" t="str">
        <f>IF(AND(observasi1!AI22="",observasi2!AI22=""),"",AVERAGE(observasi1!AI22,observasi2!AI22))</f>
        <v/>
      </c>
      <c r="AJ22" s="178" t="str">
        <f>IF(AND(observasi1!AJ22="",observasi2!AJ22=""),"",AVERAGE(observasi1!AJ22,observasi2!AJ22))</f>
        <v/>
      </c>
      <c r="AK22" s="178" t="str">
        <f>IF(AND(observasi1!AK22="",observasi2!AK22=""),"",AVERAGE(observasi1!AK22,observasi2!AK22))</f>
        <v/>
      </c>
      <c r="AL22" s="178" t="str">
        <f>IF(AND(observasi1!AL22="",observasi2!AL22=""),"",AVERAGE(observasi1!AL22,observasi2!AL22))</f>
        <v/>
      </c>
      <c r="AM22" s="178" t="str">
        <f>IF(AND(observasi1!AM22="",observasi2!AM22=""),"",AVERAGE(observasi1!AM22,observasi2!AM22))</f>
        <v/>
      </c>
      <c r="AN22" s="178" t="str">
        <f>IF(AND(observasi1!AN22="",observasi2!AN22=""),"",AVERAGE(observasi1!AN22,observasi2!AN22))</f>
        <v/>
      </c>
      <c r="AO22" s="178" t="str">
        <f>IF(AND(observasi1!AO22="",observasi2!AO22=""),"",AVERAGE(observasi1!AO22,observasi2!AO22))</f>
        <v/>
      </c>
      <c r="AP22" s="178" t="str">
        <f>IF(AND(observasi1!AP22="",observasi2!AP22=""),"",AVERAGE(observasi1!AP22,observasi2!AP22))</f>
        <v/>
      </c>
      <c r="AQ22" s="178" t="str">
        <f>IF(AND(observasi1!AQ22="",observasi2!AQ22=""),"",AVERAGE(observasi1!AQ22,observasi2!AQ22))</f>
        <v/>
      </c>
      <c r="AR22" s="178" t="str">
        <f>IF(AND(observasi1!AR22="",observasi2!AR22=""),"",AVERAGE(observasi1!AR22,observasi2!AR22))</f>
        <v/>
      </c>
      <c r="AS22" s="178" t="str">
        <f>IF(AND(observasi1!AS22="",observasi2!AS22=""),"",AVERAGE(observasi1!AS22,observasi2!AS22))</f>
        <v/>
      </c>
      <c r="AT22" s="178" t="str">
        <f>IF(AND(observasi1!AT22="",observasi2!AT22=""),"",AVERAGE(observasi1!AT22,observasi2!AT22))</f>
        <v/>
      </c>
      <c r="AU22" s="178" t="str">
        <f>IF(AND(observasi1!AU22="",observasi2!AU22=""),"",AVERAGE(observasi1!AU22,observasi2!AU22))</f>
        <v/>
      </c>
      <c r="AV22" s="178" t="str">
        <f>IF(AND(observasi1!AV22="",observasi2!AV22=""),"",AVERAGE(observasi1!AV22,observasi2!AV22))</f>
        <v/>
      </c>
      <c r="AW22" s="178" t="str">
        <f>IF(AND(observasi1!AW22="",observasi2!AW22=""),"",AVERAGE(observasi1!AW22,observasi2!AW22))</f>
        <v/>
      </c>
      <c r="AX22" s="178" t="str">
        <f>IF(AND(observasi1!AX22="",observasi2!AX22=""),"",AVERAGE(observasi1!AX22,observasi2!AX22))</f>
        <v/>
      </c>
      <c r="AY22" s="178" t="str">
        <f>IF(AND(observasi1!AY22="",observasi2!AY22=""),"",AVERAGE(observasi1!AY22,observasi2!AY22))</f>
        <v/>
      </c>
    </row>
    <row r="23" spans="1:51">
      <c r="A23" s="617"/>
      <c r="B23" s="166"/>
      <c r="C23" s="167"/>
      <c r="D23" s="171" t="str">
        <f>IF(AND(D15="",D16="",D17="",D18="",D19="",D20="",D21="",D22=""),"",AVERAGE(D15:D22))</f>
        <v/>
      </c>
      <c r="E23" s="171" t="str">
        <f t="shared" ref="E23:AY23" si="2">IF(AND(E15="",E16="",E17="",E18="",E19="",E20="",E21="",E22=""),"",AVERAGE(E15:E22))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row>
    <row r="24" spans="1:51" ht="15" customHeight="1">
      <c r="A24" s="618" t="s">
        <v>169</v>
      </c>
      <c r="B24" s="164" t="s">
        <v>170</v>
      </c>
      <c r="C24" s="165" t="s">
        <v>74</v>
      </c>
      <c r="D24" s="178" t="str">
        <f>IF(AND(observasi1!D24="",observasi2!D24=""),"",AVERAGE(observasi1!D24,observasi2!D24))</f>
        <v/>
      </c>
      <c r="E24" s="178" t="str">
        <f>IF(AND(observasi1!E24="",observasi2!E24=""),"",AVERAGE(observasi1!E24,observasi2!E24))</f>
        <v/>
      </c>
      <c r="F24" s="178" t="str">
        <f>IF(AND(observasi1!F24="",observasi2!F24=""),"",AVERAGE(observasi1!F24,observasi2!F24))</f>
        <v/>
      </c>
      <c r="G24" s="178" t="str">
        <f>IF(AND(observasi1!G24="",observasi2!G24=""),"",AVERAGE(observasi1!G24,observasi2!G24))</f>
        <v/>
      </c>
      <c r="H24" s="178" t="str">
        <f>IF(AND(observasi1!H24="",observasi2!H24=""),"",AVERAGE(observasi1!H24,observasi2!H24))</f>
        <v/>
      </c>
      <c r="I24" s="178" t="str">
        <f>IF(AND(observasi1!I24="",observasi2!I24=""),"",AVERAGE(observasi1!I24,observasi2!I24))</f>
        <v/>
      </c>
      <c r="J24" s="178" t="str">
        <f>IF(AND(observasi1!J24="",observasi2!J24=""),"",AVERAGE(observasi1!J24,observasi2!J24))</f>
        <v/>
      </c>
      <c r="K24" s="178" t="str">
        <f>IF(AND(observasi1!K24="",observasi2!K24=""),"",AVERAGE(observasi1!K24,observasi2!K24))</f>
        <v/>
      </c>
      <c r="L24" s="178" t="str">
        <f>IF(AND(observasi1!L24="",observasi2!L24=""),"",AVERAGE(observasi1!L24,observasi2!L24))</f>
        <v/>
      </c>
      <c r="M24" s="178" t="str">
        <f>IF(AND(observasi1!M24="",observasi2!M24=""),"",AVERAGE(observasi1!M24,observasi2!M24))</f>
        <v/>
      </c>
      <c r="N24" s="178" t="str">
        <f>IF(AND(observasi1!N24="",observasi2!N24=""),"",AVERAGE(observasi1!N24,observasi2!N24))</f>
        <v/>
      </c>
      <c r="O24" s="178" t="str">
        <f>IF(AND(observasi1!O24="",observasi2!O24=""),"",AVERAGE(observasi1!O24,observasi2!O24))</f>
        <v/>
      </c>
      <c r="P24" s="178" t="str">
        <f>IF(AND(observasi1!P24="",observasi2!P24=""),"",AVERAGE(observasi1!P24,observasi2!P24))</f>
        <v/>
      </c>
      <c r="Q24" s="178" t="str">
        <f>IF(AND(observasi1!Q24="",observasi2!Q24=""),"",AVERAGE(observasi1!Q24,observasi2!Q24))</f>
        <v/>
      </c>
      <c r="R24" s="178" t="str">
        <f>IF(AND(observasi1!R24="",observasi2!R24=""),"",AVERAGE(observasi1!R24,observasi2!R24))</f>
        <v/>
      </c>
      <c r="S24" s="178" t="str">
        <f>IF(AND(observasi1!S24="",observasi2!S24=""),"",AVERAGE(observasi1!S24,observasi2!S24))</f>
        <v/>
      </c>
      <c r="T24" s="178" t="str">
        <f>IF(AND(observasi1!T24="",observasi2!T24=""),"",AVERAGE(observasi1!T24,observasi2!T24))</f>
        <v/>
      </c>
      <c r="U24" s="178" t="str">
        <f>IF(AND(observasi1!U24="",observasi2!U24=""),"",AVERAGE(observasi1!U24,observasi2!U24))</f>
        <v/>
      </c>
      <c r="V24" s="178" t="str">
        <f>IF(AND(observasi1!V24="",observasi2!V24=""),"",AVERAGE(observasi1!V24,observasi2!V24))</f>
        <v/>
      </c>
      <c r="W24" s="178" t="str">
        <f>IF(AND(observasi1!W24="",observasi2!W24=""),"",AVERAGE(observasi1!W24,observasi2!W24))</f>
        <v/>
      </c>
      <c r="X24" s="178" t="str">
        <f>IF(AND(observasi1!X24="",observasi2!X24=""),"",AVERAGE(observasi1!X24,observasi2!X24))</f>
        <v/>
      </c>
      <c r="Y24" s="178" t="str">
        <f>IF(AND(observasi1!Y24="",observasi2!Y24=""),"",AVERAGE(observasi1!Y24,observasi2!Y24))</f>
        <v/>
      </c>
      <c r="Z24" s="178" t="str">
        <f>IF(AND(observasi1!Z24="",observasi2!Z24=""),"",AVERAGE(observasi1!Z24,observasi2!Z24))</f>
        <v/>
      </c>
      <c r="AA24" s="178" t="str">
        <f>IF(AND(observasi1!AA24="",observasi2!AA24=""),"",AVERAGE(observasi1!AA24,observasi2!AA24))</f>
        <v/>
      </c>
      <c r="AB24" s="178" t="str">
        <f>IF(AND(observasi1!AB24="",observasi2!AB24=""),"",AVERAGE(observasi1!AB24,observasi2!AB24))</f>
        <v/>
      </c>
      <c r="AC24" s="178" t="str">
        <f>IF(AND(observasi1!AC24="",observasi2!AC24=""),"",AVERAGE(observasi1!AC24,observasi2!AC24))</f>
        <v/>
      </c>
      <c r="AD24" s="178" t="str">
        <f>IF(AND(observasi1!AD24="",observasi2!AD24=""),"",AVERAGE(observasi1!AD24,observasi2!AD24))</f>
        <v/>
      </c>
      <c r="AE24" s="178" t="str">
        <f>IF(AND(observasi1!AE24="",observasi2!AE24=""),"",AVERAGE(observasi1!AE24,observasi2!AE24))</f>
        <v/>
      </c>
      <c r="AF24" s="178" t="str">
        <f>IF(AND(observasi1!AF24="",observasi2!AF24=""),"",AVERAGE(observasi1!AF24,observasi2!AF24))</f>
        <v/>
      </c>
      <c r="AG24" s="178" t="str">
        <f>IF(AND(observasi1!AG24="",observasi2!AG24=""),"",AVERAGE(observasi1!AG24,observasi2!AG24))</f>
        <v/>
      </c>
      <c r="AH24" s="178" t="str">
        <f>IF(AND(observasi1!AH24="",observasi2!AH24=""),"",AVERAGE(observasi1!AH24,observasi2!AH24))</f>
        <v/>
      </c>
      <c r="AI24" s="178" t="str">
        <f>IF(AND(observasi1!AI24="",observasi2!AI24=""),"",AVERAGE(observasi1!AI24,observasi2!AI24))</f>
        <v/>
      </c>
      <c r="AJ24" s="178" t="str">
        <f>IF(AND(observasi1!AJ24="",observasi2!AJ24=""),"",AVERAGE(observasi1!AJ24,observasi2!AJ24))</f>
        <v/>
      </c>
      <c r="AK24" s="178" t="str">
        <f>IF(AND(observasi1!AK24="",observasi2!AK24=""),"",AVERAGE(observasi1!AK24,observasi2!AK24))</f>
        <v/>
      </c>
      <c r="AL24" s="178" t="str">
        <f>IF(AND(observasi1!AL24="",observasi2!AL24=""),"",AVERAGE(observasi1!AL24,observasi2!AL24))</f>
        <v/>
      </c>
      <c r="AM24" s="178" t="str">
        <f>IF(AND(observasi1!AM24="",observasi2!AM24=""),"",AVERAGE(observasi1!AM24,observasi2!AM24))</f>
        <v/>
      </c>
      <c r="AN24" s="178" t="str">
        <f>IF(AND(observasi1!AN24="",observasi2!AN24=""),"",AVERAGE(observasi1!AN24,observasi2!AN24))</f>
        <v/>
      </c>
      <c r="AO24" s="178" t="str">
        <f>IF(AND(observasi1!AO24="",observasi2!AO24=""),"",AVERAGE(observasi1!AO24,observasi2!AO24))</f>
        <v/>
      </c>
      <c r="AP24" s="178" t="str">
        <f>IF(AND(observasi1!AP24="",observasi2!AP24=""),"",AVERAGE(observasi1!AP24,observasi2!AP24))</f>
        <v/>
      </c>
      <c r="AQ24" s="178" t="str">
        <f>IF(AND(observasi1!AQ24="",observasi2!AQ24=""),"",AVERAGE(observasi1!AQ24,observasi2!AQ24))</f>
        <v/>
      </c>
      <c r="AR24" s="178" t="str">
        <f>IF(AND(observasi1!AR24="",observasi2!AR24=""),"",AVERAGE(observasi1!AR24,observasi2!AR24))</f>
        <v/>
      </c>
      <c r="AS24" s="178" t="str">
        <f>IF(AND(observasi1!AS24="",observasi2!AS24=""),"",AVERAGE(observasi1!AS24,observasi2!AS24))</f>
        <v/>
      </c>
      <c r="AT24" s="178" t="str">
        <f>IF(AND(observasi1!AT24="",observasi2!AT24=""),"",AVERAGE(observasi1!AT24,observasi2!AT24))</f>
        <v/>
      </c>
      <c r="AU24" s="178" t="str">
        <f>IF(AND(observasi1!AU24="",observasi2!AU24=""),"",AVERAGE(observasi1!AU24,observasi2!AU24))</f>
        <v/>
      </c>
      <c r="AV24" s="178" t="str">
        <f>IF(AND(observasi1!AV24="",observasi2!AV24=""),"",AVERAGE(observasi1!AV24,observasi2!AV24))</f>
        <v/>
      </c>
      <c r="AW24" s="178" t="str">
        <f>IF(AND(observasi1!AW24="",observasi2!AW24=""),"",AVERAGE(observasi1!AW24,observasi2!AW24))</f>
        <v/>
      </c>
      <c r="AX24" s="178" t="str">
        <f>IF(AND(observasi1!AX24="",observasi2!AX24=""),"",AVERAGE(observasi1!AX24,observasi2!AX24))</f>
        <v/>
      </c>
      <c r="AY24" s="178" t="str">
        <f>IF(AND(observasi1!AY24="",observasi2!AY24=""),"",AVERAGE(observasi1!AY24,observasi2!AY24))</f>
        <v/>
      </c>
    </row>
    <row r="25" spans="1:51">
      <c r="A25" s="618"/>
      <c r="B25" s="164" t="s">
        <v>171</v>
      </c>
      <c r="C25" s="165" t="s">
        <v>75</v>
      </c>
      <c r="D25" s="178" t="str">
        <f>IF(AND(observasi1!D25="",observasi2!D25=""),"",AVERAGE(observasi1!D25,observasi2!D25))</f>
        <v/>
      </c>
      <c r="E25" s="178" t="str">
        <f>IF(AND(observasi1!E25="",observasi2!E25=""),"",AVERAGE(observasi1!E25,observasi2!E25))</f>
        <v/>
      </c>
      <c r="F25" s="178" t="str">
        <f>IF(AND(observasi1!F25="",observasi2!F25=""),"",AVERAGE(observasi1!F25,observasi2!F25))</f>
        <v/>
      </c>
      <c r="G25" s="178" t="str">
        <f>IF(AND(observasi1!G25="",observasi2!G25=""),"",AVERAGE(observasi1!G25,observasi2!G25))</f>
        <v/>
      </c>
      <c r="H25" s="178" t="str">
        <f>IF(AND(observasi1!H25="",observasi2!H25=""),"",AVERAGE(observasi1!H25,observasi2!H25))</f>
        <v/>
      </c>
      <c r="I25" s="178" t="str">
        <f>IF(AND(observasi1!I25="",observasi2!I25=""),"",AVERAGE(observasi1!I25,observasi2!I25))</f>
        <v/>
      </c>
      <c r="J25" s="178" t="str">
        <f>IF(AND(observasi1!J25="",observasi2!J25=""),"",AVERAGE(observasi1!J25,observasi2!J25))</f>
        <v/>
      </c>
      <c r="K25" s="178" t="str">
        <f>IF(AND(observasi1!K25="",observasi2!K25=""),"",AVERAGE(observasi1!K25,observasi2!K25))</f>
        <v/>
      </c>
      <c r="L25" s="178" t="str">
        <f>IF(AND(observasi1!L25="",observasi2!L25=""),"",AVERAGE(observasi1!L25,observasi2!L25))</f>
        <v/>
      </c>
      <c r="M25" s="178" t="str">
        <f>IF(AND(observasi1!M25="",observasi2!M25=""),"",AVERAGE(observasi1!M25,observasi2!M25))</f>
        <v/>
      </c>
      <c r="N25" s="178" t="str">
        <f>IF(AND(observasi1!N25="",observasi2!N25=""),"",AVERAGE(observasi1!N25,observasi2!N25))</f>
        <v/>
      </c>
      <c r="O25" s="178" t="str">
        <f>IF(AND(observasi1!O25="",observasi2!O25=""),"",AVERAGE(observasi1!O25,observasi2!O25))</f>
        <v/>
      </c>
      <c r="P25" s="178" t="str">
        <f>IF(AND(observasi1!P25="",observasi2!P25=""),"",AVERAGE(observasi1!P25,observasi2!P25))</f>
        <v/>
      </c>
      <c r="Q25" s="178" t="str">
        <f>IF(AND(observasi1!Q25="",observasi2!Q25=""),"",AVERAGE(observasi1!Q25,observasi2!Q25))</f>
        <v/>
      </c>
      <c r="R25" s="178" t="str">
        <f>IF(AND(observasi1!R25="",observasi2!R25=""),"",AVERAGE(observasi1!R25,observasi2!R25))</f>
        <v/>
      </c>
      <c r="S25" s="178" t="str">
        <f>IF(AND(observasi1!S25="",observasi2!S25=""),"",AVERAGE(observasi1!S25,observasi2!S25))</f>
        <v/>
      </c>
      <c r="T25" s="178" t="str">
        <f>IF(AND(observasi1!T25="",observasi2!T25=""),"",AVERAGE(observasi1!T25,observasi2!T25))</f>
        <v/>
      </c>
      <c r="U25" s="178" t="str">
        <f>IF(AND(observasi1!U25="",observasi2!U25=""),"",AVERAGE(observasi1!U25,observasi2!U25))</f>
        <v/>
      </c>
      <c r="V25" s="178" t="str">
        <f>IF(AND(observasi1!V25="",observasi2!V25=""),"",AVERAGE(observasi1!V25,observasi2!V25))</f>
        <v/>
      </c>
      <c r="W25" s="178" t="str">
        <f>IF(AND(observasi1!W25="",observasi2!W25=""),"",AVERAGE(observasi1!W25,observasi2!W25))</f>
        <v/>
      </c>
      <c r="X25" s="178" t="str">
        <f>IF(AND(observasi1!X25="",observasi2!X25=""),"",AVERAGE(observasi1!X25,observasi2!X25))</f>
        <v/>
      </c>
      <c r="Y25" s="178" t="str">
        <f>IF(AND(observasi1!Y25="",observasi2!Y25=""),"",AVERAGE(observasi1!Y25,observasi2!Y25))</f>
        <v/>
      </c>
      <c r="Z25" s="178" t="str">
        <f>IF(AND(observasi1!Z25="",observasi2!Z25=""),"",AVERAGE(observasi1!Z25,observasi2!Z25))</f>
        <v/>
      </c>
      <c r="AA25" s="178" t="str">
        <f>IF(AND(observasi1!AA25="",observasi2!AA25=""),"",AVERAGE(observasi1!AA25,observasi2!AA25))</f>
        <v/>
      </c>
      <c r="AB25" s="178" t="str">
        <f>IF(AND(observasi1!AB25="",observasi2!AB25=""),"",AVERAGE(observasi1!AB25,observasi2!AB25))</f>
        <v/>
      </c>
      <c r="AC25" s="178" t="str">
        <f>IF(AND(observasi1!AC25="",observasi2!AC25=""),"",AVERAGE(observasi1!AC25,observasi2!AC25))</f>
        <v/>
      </c>
      <c r="AD25" s="178" t="str">
        <f>IF(AND(observasi1!AD25="",observasi2!AD25=""),"",AVERAGE(observasi1!AD25,observasi2!AD25))</f>
        <v/>
      </c>
      <c r="AE25" s="178" t="str">
        <f>IF(AND(observasi1!AE25="",observasi2!AE25=""),"",AVERAGE(observasi1!AE25,observasi2!AE25))</f>
        <v/>
      </c>
      <c r="AF25" s="178" t="str">
        <f>IF(AND(observasi1!AF25="",observasi2!AF25=""),"",AVERAGE(observasi1!AF25,observasi2!AF25))</f>
        <v/>
      </c>
      <c r="AG25" s="178" t="str">
        <f>IF(AND(observasi1!AG25="",observasi2!AG25=""),"",AVERAGE(observasi1!AG25,observasi2!AG25))</f>
        <v/>
      </c>
      <c r="AH25" s="178" t="str">
        <f>IF(AND(observasi1!AH25="",observasi2!AH25=""),"",AVERAGE(observasi1!AH25,observasi2!AH25))</f>
        <v/>
      </c>
      <c r="AI25" s="178" t="str">
        <f>IF(AND(observasi1!AI25="",observasi2!AI25=""),"",AVERAGE(observasi1!AI25,observasi2!AI25))</f>
        <v/>
      </c>
      <c r="AJ25" s="178" t="str">
        <f>IF(AND(observasi1!AJ25="",observasi2!AJ25=""),"",AVERAGE(observasi1!AJ25,observasi2!AJ25))</f>
        <v/>
      </c>
      <c r="AK25" s="178" t="str">
        <f>IF(AND(observasi1!AK25="",observasi2!AK25=""),"",AVERAGE(observasi1!AK25,observasi2!AK25))</f>
        <v/>
      </c>
      <c r="AL25" s="178" t="str">
        <f>IF(AND(observasi1!AL25="",observasi2!AL25=""),"",AVERAGE(observasi1!AL25,observasi2!AL25))</f>
        <v/>
      </c>
      <c r="AM25" s="178" t="str">
        <f>IF(AND(observasi1!AM25="",observasi2!AM25=""),"",AVERAGE(observasi1!AM25,observasi2!AM25))</f>
        <v/>
      </c>
      <c r="AN25" s="178" t="str">
        <f>IF(AND(observasi1!AN25="",observasi2!AN25=""),"",AVERAGE(observasi1!AN25,observasi2!AN25))</f>
        <v/>
      </c>
      <c r="AO25" s="178" t="str">
        <f>IF(AND(observasi1!AO25="",observasi2!AO25=""),"",AVERAGE(observasi1!AO25,observasi2!AO25))</f>
        <v/>
      </c>
      <c r="AP25" s="178" t="str">
        <f>IF(AND(observasi1!AP25="",observasi2!AP25=""),"",AVERAGE(observasi1!AP25,observasi2!AP25))</f>
        <v/>
      </c>
      <c r="AQ25" s="178" t="str">
        <f>IF(AND(observasi1!AQ25="",observasi2!AQ25=""),"",AVERAGE(observasi1!AQ25,observasi2!AQ25))</f>
        <v/>
      </c>
      <c r="AR25" s="178" t="str">
        <f>IF(AND(observasi1!AR25="",observasi2!AR25=""),"",AVERAGE(observasi1!AR25,observasi2!AR25))</f>
        <v/>
      </c>
      <c r="AS25" s="178" t="str">
        <f>IF(AND(observasi1!AS25="",observasi2!AS25=""),"",AVERAGE(observasi1!AS25,observasi2!AS25))</f>
        <v/>
      </c>
      <c r="AT25" s="178" t="str">
        <f>IF(AND(observasi1!AT25="",observasi2!AT25=""),"",AVERAGE(observasi1!AT25,observasi2!AT25))</f>
        <v/>
      </c>
      <c r="AU25" s="178" t="str">
        <f>IF(AND(observasi1!AU25="",observasi2!AU25=""),"",AVERAGE(observasi1!AU25,observasi2!AU25))</f>
        <v/>
      </c>
      <c r="AV25" s="178" t="str">
        <f>IF(AND(observasi1!AV25="",observasi2!AV25=""),"",AVERAGE(observasi1!AV25,observasi2!AV25))</f>
        <v/>
      </c>
      <c r="AW25" s="178" t="str">
        <f>IF(AND(observasi1!AW25="",observasi2!AW25=""),"",AVERAGE(observasi1!AW25,observasi2!AW25))</f>
        <v/>
      </c>
      <c r="AX25" s="178" t="str">
        <f>IF(AND(observasi1!AX25="",observasi2!AX25=""),"",AVERAGE(observasi1!AX25,observasi2!AX25))</f>
        <v/>
      </c>
      <c r="AY25" s="178" t="str">
        <f>IF(AND(observasi1!AY25="",observasi2!AY25=""),"",AVERAGE(observasi1!AY25,observasi2!AY25))</f>
        <v/>
      </c>
    </row>
    <row r="26" spans="1:51">
      <c r="A26" s="618"/>
      <c r="B26" s="164" t="s">
        <v>172</v>
      </c>
      <c r="C26" s="165" t="s">
        <v>173</v>
      </c>
      <c r="D26" s="178" t="str">
        <f>IF(AND(observasi1!D26="",observasi2!D26=""),"",AVERAGE(observasi1!D26,observasi2!D26))</f>
        <v/>
      </c>
      <c r="E26" s="178" t="str">
        <f>IF(AND(observasi1!E26="",observasi2!E26=""),"",AVERAGE(observasi1!E26,observasi2!E26))</f>
        <v/>
      </c>
      <c r="F26" s="178" t="str">
        <f>IF(AND(observasi1!F26="",observasi2!F26=""),"",AVERAGE(observasi1!F26,observasi2!F26))</f>
        <v/>
      </c>
      <c r="G26" s="178" t="str">
        <f>IF(AND(observasi1!G26="",observasi2!G26=""),"",AVERAGE(observasi1!G26,observasi2!G26))</f>
        <v/>
      </c>
      <c r="H26" s="178" t="str">
        <f>IF(AND(observasi1!H26="",observasi2!H26=""),"",AVERAGE(observasi1!H26,observasi2!H26))</f>
        <v/>
      </c>
      <c r="I26" s="178" t="str">
        <f>IF(AND(observasi1!I26="",observasi2!I26=""),"",AVERAGE(observasi1!I26,observasi2!I26))</f>
        <v/>
      </c>
      <c r="J26" s="178" t="str">
        <f>IF(AND(observasi1!J26="",observasi2!J26=""),"",AVERAGE(observasi1!J26,observasi2!J26))</f>
        <v/>
      </c>
      <c r="K26" s="178" t="str">
        <f>IF(AND(observasi1!K26="",observasi2!K26=""),"",AVERAGE(observasi1!K26,observasi2!K26))</f>
        <v/>
      </c>
      <c r="L26" s="178" t="str">
        <f>IF(AND(observasi1!L26="",observasi2!L26=""),"",AVERAGE(observasi1!L26,observasi2!L26))</f>
        <v/>
      </c>
      <c r="M26" s="178" t="str">
        <f>IF(AND(observasi1!M26="",observasi2!M26=""),"",AVERAGE(observasi1!M26,observasi2!M26))</f>
        <v/>
      </c>
      <c r="N26" s="178" t="str">
        <f>IF(AND(observasi1!N26="",observasi2!N26=""),"",AVERAGE(observasi1!N26,observasi2!N26))</f>
        <v/>
      </c>
      <c r="O26" s="178" t="str">
        <f>IF(AND(observasi1!O26="",observasi2!O26=""),"",AVERAGE(observasi1!O26,observasi2!O26))</f>
        <v/>
      </c>
      <c r="P26" s="178" t="str">
        <f>IF(AND(observasi1!P26="",observasi2!P26=""),"",AVERAGE(observasi1!P26,observasi2!P26))</f>
        <v/>
      </c>
      <c r="Q26" s="178" t="str">
        <f>IF(AND(observasi1!Q26="",observasi2!Q26=""),"",AVERAGE(observasi1!Q26,observasi2!Q26))</f>
        <v/>
      </c>
      <c r="R26" s="178" t="str">
        <f>IF(AND(observasi1!R26="",observasi2!R26=""),"",AVERAGE(observasi1!R26,observasi2!R26))</f>
        <v/>
      </c>
      <c r="S26" s="178" t="str">
        <f>IF(AND(observasi1!S26="",observasi2!S26=""),"",AVERAGE(observasi1!S26,observasi2!S26))</f>
        <v/>
      </c>
      <c r="T26" s="178" t="str">
        <f>IF(AND(observasi1!T26="",observasi2!T26=""),"",AVERAGE(observasi1!T26,observasi2!T26))</f>
        <v/>
      </c>
      <c r="U26" s="178" t="str">
        <f>IF(AND(observasi1!U26="",observasi2!U26=""),"",AVERAGE(observasi1!U26,observasi2!U26))</f>
        <v/>
      </c>
      <c r="V26" s="178" t="str">
        <f>IF(AND(observasi1!V26="",observasi2!V26=""),"",AVERAGE(observasi1!V26,observasi2!V26))</f>
        <v/>
      </c>
      <c r="W26" s="178" t="str">
        <f>IF(AND(observasi1!W26="",observasi2!W26=""),"",AVERAGE(observasi1!W26,observasi2!W26))</f>
        <v/>
      </c>
      <c r="X26" s="178" t="str">
        <f>IF(AND(observasi1!X26="",observasi2!X26=""),"",AVERAGE(observasi1!X26,observasi2!X26))</f>
        <v/>
      </c>
      <c r="Y26" s="178" t="str">
        <f>IF(AND(observasi1!Y26="",observasi2!Y26=""),"",AVERAGE(observasi1!Y26,observasi2!Y26))</f>
        <v/>
      </c>
      <c r="Z26" s="178" t="str">
        <f>IF(AND(observasi1!Z26="",observasi2!Z26=""),"",AVERAGE(observasi1!Z26,observasi2!Z26))</f>
        <v/>
      </c>
      <c r="AA26" s="178" t="str">
        <f>IF(AND(observasi1!AA26="",observasi2!AA26=""),"",AVERAGE(observasi1!AA26,observasi2!AA26))</f>
        <v/>
      </c>
      <c r="AB26" s="178" t="str">
        <f>IF(AND(observasi1!AB26="",observasi2!AB26=""),"",AVERAGE(observasi1!AB26,observasi2!AB26))</f>
        <v/>
      </c>
      <c r="AC26" s="178" t="str">
        <f>IF(AND(observasi1!AC26="",observasi2!AC26=""),"",AVERAGE(observasi1!AC26,observasi2!AC26))</f>
        <v/>
      </c>
      <c r="AD26" s="178" t="str">
        <f>IF(AND(observasi1!AD26="",observasi2!AD26=""),"",AVERAGE(observasi1!AD26,observasi2!AD26))</f>
        <v/>
      </c>
      <c r="AE26" s="178" t="str">
        <f>IF(AND(observasi1!AE26="",observasi2!AE26=""),"",AVERAGE(observasi1!AE26,observasi2!AE26))</f>
        <v/>
      </c>
      <c r="AF26" s="178" t="str">
        <f>IF(AND(observasi1!AF26="",observasi2!AF26=""),"",AVERAGE(observasi1!AF26,observasi2!AF26))</f>
        <v/>
      </c>
      <c r="AG26" s="178" t="str">
        <f>IF(AND(observasi1!AG26="",observasi2!AG26=""),"",AVERAGE(observasi1!AG26,observasi2!AG26))</f>
        <v/>
      </c>
      <c r="AH26" s="178" t="str">
        <f>IF(AND(observasi1!AH26="",observasi2!AH26=""),"",AVERAGE(observasi1!AH26,observasi2!AH26))</f>
        <v/>
      </c>
      <c r="AI26" s="178" t="str">
        <f>IF(AND(observasi1!AI26="",observasi2!AI26=""),"",AVERAGE(observasi1!AI26,observasi2!AI26))</f>
        <v/>
      </c>
      <c r="AJ26" s="178" t="str">
        <f>IF(AND(observasi1!AJ26="",observasi2!AJ26=""),"",AVERAGE(observasi1!AJ26,observasi2!AJ26))</f>
        <v/>
      </c>
      <c r="AK26" s="178" t="str">
        <f>IF(AND(observasi1!AK26="",observasi2!AK26=""),"",AVERAGE(observasi1!AK26,observasi2!AK26))</f>
        <v/>
      </c>
      <c r="AL26" s="178" t="str">
        <f>IF(AND(observasi1!AL26="",observasi2!AL26=""),"",AVERAGE(observasi1!AL26,observasi2!AL26))</f>
        <v/>
      </c>
      <c r="AM26" s="178" t="str">
        <f>IF(AND(observasi1!AM26="",observasi2!AM26=""),"",AVERAGE(observasi1!AM26,observasi2!AM26))</f>
        <v/>
      </c>
      <c r="AN26" s="178" t="str">
        <f>IF(AND(observasi1!AN26="",observasi2!AN26=""),"",AVERAGE(observasi1!AN26,observasi2!AN26))</f>
        <v/>
      </c>
      <c r="AO26" s="178" t="str">
        <f>IF(AND(observasi1!AO26="",observasi2!AO26=""),"",AVERAGE(observasi1!AO26,observasi2!AO26))</f>
        <v/>
      </c>
      <c r="AP26" s="178" t="str">
        <f>IF(AND(observasi1!AP26="",observasi2!AP26=""),"",AVERAGE(observasi1!AP26,observasi2!AP26))</f>
        <v/>
      </c>
      <c r="AQ26" s="178" t="str">
        <f>IF(AND(observasi1!AQ26="",observasi2!AQ26=""),"",AVERAGE(observasi1!AQ26,observasi2!AQ26))</f>
        <v/>
      </c>
      <c r="AR26" s="178" t="str">
        <f>IF(AND(observasi1!AR26="",observasi2!AR26=""),"",AVERAGE(observasi1!AR26,observasi2!AR26))</f>
        <v/>
      </c>
      <c r="AS26" s="178" t="str">
        <f>IF(AND(observasi1!AS26="",observasi2!AS26=""),"",AVERAGE(observasi1!AS26,observasi2!AS26))</f>
        <v/>
      </c>
      <c r="AT26" s="178" t="str">
        <f>IF(AND(observasi1!AT26="",observasi2!AT26=""),"",AVERAGE(observasi1!AT26,observasi2!AT26))</f>
        <v/>
      </c>
      <c r="AU26" s="178" t="str">
        <f>IF(AND(observasi1!AU26="",observasi2!AU26=""),"",AVERAGE(observasi1!AU26,observasi2!AU26))</f>
        <v/>
      </c>
      <c r="AV26" s="178" t="str">
        <f>IF(AND(observasi1!AV26="",observasi2!AV26=""),"",AVERAGE(observasi1!AV26,observasi2!AV26))</f>
        <v/>
      </c>
      <c r="AW26" s="178" t="str">
        <f>IF(AND(observasi1!AW26="",observasi2!AW26=""),"",AVERAGE(observasi1!AW26,observasi2!AW26))</f>
        <v/>
      </c>
      <c r="AX26" s="178" t="str">
        <f>IF(AND(observasi1!AX26="",observasi2!AX26=""),"",AVERAGE(observasi1!AX26,observasi2!AX26))</f>
        <v/>
      </c>
      <c r="AY26" s="178" t="str">
        <f>IF(AND(observasi1!AY26="",observasi2!AY26=""),"",AVERAGE(observasi1!AY26,observasi2!AY26))</f>
        <v/>
      </c>
    </row>
    <row r="27" spans="1:51">
      <c r="A27" s="618"/>
      <c r="B27" s="164" t="s">
        <v>174</v>
      </c>
      <c r="C27" s="165" t="s">
        <v>77</v>
      </c>
      <c r="D27" s="178" t="str">
        <f>IF(AND(observasi1!D27="",observasi2!D27=""),"",AVERAGE(observasi1!D27,observasi2!D27))</f>
        <v/>
      </c>
      <c r="E27" s="178" t="str">
        <f>IF(AND(observasi1!E27="",observasi2!E27=""),"",AVERAGE(observasi1!E27,observasi2!E27))</f>
        <v/>
      </c>
      <c r="F27" s="178" t="str">
        <f>IF(AND(observasi1!F27="",observasi2!F27=""),"",AVERAGE(observasi1!F27,observasi2!F27))</f>
        <v/>
      </c>
      <c r="G27" s="178" t="str">
        <f>IF(AND(observasi1!G27="",observasi2!G27=""),"",AVERAGE(observasi1!G27,observasi2!G27))</f>
        <v/>
      </c>
      <c r="H27" s="178" t="str">
        <f>IF(AND(observasi1!H27="",observasi2!H27=""),"",AVERAGE(observasi1!H27,observasi2!H27))</f>
        <v/>
      </c>
      <c r="I27" s="178" t="str">
        <f>IF(AND(observasi1!I27="",observasi2!I27=""),"",AVERAGE(observasi1!I27,observasi2!I27))</f>
        <v/>
      </c>
      <c r="J27" s="178" t="str">
        <f>IF(AND(observasi1!J27="",observasi2!J27=""),"",AVERAGE(observasi1!J27,observasi2!J27))</f>
        <v/>
      </c>
      <c r="K27" s="178" t="str">
        <f>IF(AND(observasi1!K27="",observasi2!K27=""),"",AVERAGE(observasi1!K27,observasi2!K27))</f>
        <v/>
      </c>
      <c r="L27" s="178" t="str">
        <f>IF(AND(observasi1!L27="",observasi2!L27=""),"",AVERAGE(observasi1!L27,observasi2!L27))</f>
        <v/>
      </c>
      <c r="M27" s="178" t="str">
        <f>IF(AND(observasi1!M27="",observasi2!M27=""),"",AVERAGE(observasi1!M27,observasi2!M27))</f>
        <v/>
      </c>
      <c r="N27" s="178" t="str">
        <f>IF(AND(observasi1!N27="",observasi2!N27=""),"",AVERAGE(observasi1!N27,observasi2!N27))</f>
        <v/>
      </c>
      <c r="O27" s="178" t="str">
        <f>IF(AND(observasi1!O27="",observasi2!O27=""),"",AVERAGE(observasi1!O27,observasi2!O27))</f>
        <v/>
      </c>
      <c r="P27" s="178" t="str">
        <f>IF(AND(observasi1!P27="",observasi2!P27=""),"",AVERAGE(observasi1!P27,observasi2!P27))</f>
        <v/>
      </c>
      <c r="Q27" s="178" t="str">
        <f>IF(AND(observasi1!Q27="",observasi2!Q27=""),"",AVERAGE(observasi1!Q27,observasi2!Q27))</f>
        <v/>
      </c>
      <c r="R27" s="178" t="str">
        <f>IF(AND(observasi1!R27="",observasi2!R27=""),"",AVERAGE(observasi1!R27,observasi2!R27))</f>
        <v/>
      </c>
      <c r="S27" s="178" t="str">
        <f>IF(AND(observasi1!S27="",observasi2!S27=""),"",AVERAGE(observasi1!S27,observasi2!S27))</f>
        <v/>
      </c>
      <c r="T27" s="178" t="str">
        <f>IF(AND(observasi1!T27="",observasi2!T27=""),"",AVERAGE(observasi1!T27,observasi2!T27))</f>
        <v/>
      </c>
      <c r="U27" s="178" t="str">
        <f>IF(AND(observasi1!U27="",observasi2!U27=""),"",AVERAGE(observasi1!U27,observasi2!U27))</f>
        <v/>
      </c>
      <c r="V27" s="178" t="str">
        <f>IF(AND(observasi1!V27="",observasi2!V27=""),"",AVERAGE(observasi1!V27,observasi2!V27))</f>
        <v/>
      </c>
      <c r="W27" s="178" t="str">
        <f>IF(AND(observasi1!W27="",observasi2!W27=""),"",AVERAGE(observasi1!W27,observasi2!W27))</f>
        <v/>
      </c>
      <c r="X27" s="178" t="str">
        <f>IF(AND(observasi1!X27="",observasi2!X27=""),"",AVERAGE(observasi1!X27,observasi2!X27))</f>
        <v/>
      </c>
      <c r="Y27" s="178" t="str">
        <f>IF(AND(observasi1!Y27="",observasi2!Y27=""),"",AVERAGE(observasi1!Y27,observasi2!Y27))</f>
        <v/>
      </c>
      <c r="Z27" s="178" t="str">
        <f>IF(AND(observasi1!Z27="",observasi2!Z27=""),"",AVERAGE(observasi1!Z27,observasi2!Z27))</f>
        <v/>
      </c>
      <c r="AA27" s="178" t="str">
        <f>IF(AND(observasi1!AA27="",observasi2!AA27=""),"",AVERAGE(observasi1!AA27,observasi2!AA27))</f>
        <v/>
      </c>
      <c r="AB27" s="178" t="str">
        <f>IF(AND(observasi1!AB27="",observasi2!AB27=""),"",AVERAGE(observasi1!AB27,observasi2!AB27))</f>
        <v/>
      </c>
      <c r="AC27" s="178" t="str">
        <f>IF(AND(observasi1!AC27="",observasi2!AC27=""),"",AVERAGE(observasi1!AC27,observasi2!AC27))</f>
        <v/>
      </c>
      <c r="AD27" s="178" t="str">
        <f>IF(AND(observasi1!AD27="",observasi2!AD27=""),"",AVERAGE(observasi1!AD27,observasi2!AD27))</f>
        <v/>
      </c>
      <c r="AE27" s="178" t="str">
        <f>IF(AND(observasi1!AE27="",observasi2!AE27=""),"",AVERAGE(observasi1!AE27,observasi2!AE27))</f>
        <v/>
      </c>
      <c r="AF27" s="178" t="str">
        <f>IF(AND(observasi1!AF27="",observasi2!AF27=""),"",AVERAGE(observasi1!AF27,observasi2!AF27))</f>
        <v/>
      </c>
      <c r="AG27" s="178" t="str">
        <f>IF(AND(observasi1!AG27="",observasi2!AG27=""),"",AVERAGE(observasi1!AG27,observasi2!AG27))</f>
        <v/>
      </c>
      <c r="AH27" s="178" t="str">
        <f>IF(AND(observasi1!AH27="",observasi2!AH27=""),"",AVERAGE(observasi1!AH27,observasi2!AH27))</f>
        <v/>
      </c>
      <c r="AI27" s="178" t="str">
        <f>IF(AND(observasi1!AI27="",observasi2!AI27=""),"",AVERAGE(observasi1!AI27,observasi2!AI27))</f>
        <v/>
      </c>
      <c r="AJ27" s="178" t="str">
        <f>IF(AND(observasi1!AJ27="",observasi2!AJ27=""),"",AVERAGE(observasi1!AJ27,observasi2!AJ27))</f>
        <v/>
      </c>
      <c r="AK27" s="178" t="str">
        <f>IF(AND(observasi1!AK27="",observasi2!AK27=""),"",AVERAGE(observasi1!AK27,observasi2!AK27))</f>
        <v/>
      </c>
      <c r="AL27" s="178" t="str">
        <f>IF(AND(observasi1!AL27="",observasi2!AL27=""),"",AVERAGE(observasi1!AL27,observasi2!AL27))</f>
        <v/>
      </c>
      <c r="AM27" s="178" t="str">
        <f>IF(AND(observasi1!AM27="",observasi2!AM27=""),"",AVERAGE(observasi1!AM27,observasi2!AM27))</f>
        <v/>
      </c>
      <c r="AN27" s="178" t="str">
        <f>IF(AND(observasi1!AN27="",observasi2!AN27=""),"",AVERAGE(observasi1!AN27,observasi2!AN27))</f>
        <v/>
      </c>
      <c r="AO27" s="178" t="str">
        <f>IF(AND(observasi1!AO27="",observasi2!AO27=""),"",AVERAGE(observasi1!AO27,observasi2!AO27))</f>
        <v/>
      </c>
      <c r="AP27" s="178" t="str">
        <f>IF(AND(observasi1!AP27="",observasi2!AP27=""),"",AVERAGE(observasi1!AP27,observasi2!AP27))</f>
        <v/>
      </c>
      <c r="AQ27" s="178" t="str">
        <f>IF(AND(observasi1!AQ27="",observasi2!AQ27=""),"",AVERAGE(observasi1!AQ27,observasi2!AQ27))</f>
        <v/>
      </c>
      <c r="AR27" s="178" t="str">
        <f>IF(AND(observasi1!AR27="",observasi2!AR27=""),"",AVERAGE(observasi1!AR27,observasi2!AR27))</f>
        <v/>
      </c>
      <c r="AS27" s="178" t="str">
        <f>IF(AND(observasi1!AS27="",observasi2!AS27=""),"",AVERAGE(observasi1!AS27,observasi2!AS27))</f>
        <v/>
      </c>
      <c r="AT27" s="178" t="str">
        <f>IF(AND(observasi1!AT27="",observasi2!AT27=""),"",AVERAGE(observasi1!AT27,observasi2!AT27))</f>
        <v/>
      </c>
      <c r="AU27" s="178" t="str">
        <f>IF(AND(observasi1!AU27="",observasi2!AU27=""),"",AVERAGE(observasi1!AU27,observasi2!AU27))</f>
        <v/>
      </c>
      <c r="AV27" s="178" t="str">
        <f>IF(AND(observasi1!AV27="",observasi2!AV27=""),"",AVERAGE(observasi1!AV27,observasi2!AV27))</f>
        <v/>
      </c>
      <c r="AW27" s="178" t="str">
        <f>IF(AND(observasi1!AW27="",observasi2!AW27=""),"",AVERAGE(observasi1!AW27,observasi2!AW27))</f>
        <v/>
      </c>
      <c r="AX27" s="178" t="str">
        <f>IF(AND(observasi1!AX27="",observasi2!AX27=""),"",AVERAGE(observasi1!AX27,observasi2!AX27))</f>
        <v/>
      </c>
      <c r="AY27" s="178" t="str">
        <f>IF(AND(observasi1!AY27="",observasi2!AY27=""),"",AVERAGE(observasi1!AY27,observasi2!AY27))</f>
        <v/>
      </c>
    </row>
    <row r="28" spans="1:51">
      <c r="A28" s="618"/>
      <c r="B28" s="164" t="s">
        <v>175</v>
      </c>
      <c r="C28" s="165" t="s">
        <v>78</v>
      </c>
      <c r="D28" s="178" t="str">
        <f>IF(AND(observasi1!D28="",observasi2!D28=""),"",AVERAGE(observasi1!D28,observasi2!D28))</f>
        <v/>
      </c>
      <c r="E28" s="178" t="str">
        <f>IF(AND(observasi1!E28="",observasi2!E28=""),"",AVERAGE(observasi1!E28,observasi2!E28))</f>
        <v/>
      </c>
      <c r="F28" s="178" t="str">
        <f>IF(AND(observasi1!F28="",observasi2!F28=""),"",AVERAGE(observasi1!F28,observasi2!F28))</f>
        <v/>
      </c>
      <c r="G28" s="178" t="str">
        <f>IF(AND(observasi1!G28="",observasi2!G28=""),"",AVERAGE(observasi1!G28,observasi2!G28))</f>
        <v/>
      </c>
      <c r="H28" s="178" t="str">
        <f>IF(AND(observasi1!H28="",observasi2!H28=""),"",AVERAGE(observasi1!H28,observasi2!H28))</f>
        <v/>
      </c>
      <c r="I28" s="178" t="str">
        <f>IF(AND(observasi1!I28="",observasi2!I28=""),"",AVERAGE(observasi1!I28,observasi2!I28))</f>
        <v/>
      </c>
      <c r="J28" s="178" t="str">
        <f>IF(AND(observasi1!J28="",observasi2!J28=""),"",AVERAGE(observasi1!J28,observasi2!J28))</f>
        <v/>
      </c>
      <c r="K28" s="178" t="str">
        <f>IF(AND(observasi1!K28="",observasi2!K28=""),"",AVERAGE(observasi1!K28,observasi2!K28))</f>
        <v/>
      </c>
      <c r="L28" s="178" t="str">
        <f>IF(AND(observasi1!L28="",observasi2!L28=""),"",AVERAGE(observasi1!L28,observasi2!L28))</f>
        <v/>
      </c>
      <c r="M28" s="178" t="str">
        <f>IF(AND(observasi1!M28="",observasi2!M28=""),"",AVERAGE(observasi1!M28,observasi2!M28))</f>
        <v/>
      </c>
      <c r="N28" s="178" t="str">
        <f>IF(AND(observasi1!N28="",observasi2!N28=""),"",AVERAGE(observasi1!N28,observasi2!N28))</f>
        <v/>
      </c>
      <c r="O28" s="178" t="str">
        <f>IF(AND(observasi1!O28="",observasi2!O28=""),"",AVERAGE(observasi1!O28,observasi2!O28))</f>
        <v/>
      </c>
      <c r="P28" s="178" t="str">
        <f>IF(AND(observasi1!P28="",observasi2!P28=""),"",AVERAGE(observasi1!P28,observasi2!P28))</f>
        <v/>
      </c>
      <c r="Q28" s="178" t="str">
        <f>IF(AND(observasi1!Q28="",observasi2!Q28=""),"",AVERAGE(observasi1!Q28,observasi2!Q28))</f>
        <v/>
      </c>
      <c r="R28" s="178" t="str">
        <f>IF(AND(observasi1!R28="",observasi2!R28=""),"",AVERAGE(observasi1!R28,observasi2!R28))</f>
        <v/>
      </c>
      <c r="S28" s="178" t="str">
        <f>IF(AND(observasi1!S28="",observasi2!S28=""),"",AVERAGE(observasi1!S28,observasi2!S28))</f>
        <v/>
      </c>
      <c r="T28" s="178" t="str">
        <f>IF(AND(observasi1!T28="",observasi2!T28=""),"",AVERAGE(observasi1!T28,observasi2!T28))</f>
        <v/>
      </c>
      <c r="U28" s="178" t="str">
        <f>IF(AND(observasi1!U28="",observasi2!U28=""),"",AVERAGE(observasi1!U28,observasi2!U28))</f>
        <v/>
      </c>
      <c r="V28" s="178" t="str">
        <f>IF(AND(observasi1!V28="",observasi2!V28=""),"",AVERAGE(observasi1!V28,observasi2!V28))</f>
        <v/>
      </c>
      <c r="W28" s="178" t="str">
        <f>IF(AND(observasi1!W28="",observasi2!W28=""),"",AVERAGE(observasi1!W28,observasi2!W28))</f>
        <v/>
      </c>
      <c r="X28" s="178" t="str">
        <f>IF(AND(observasi1!X28="",observasi2!X28=""),"",AVERAGE(observasi1!X28,observasi2!X28))</f>
        <v/>
      </c>
      <c r="Y28" s="178" t="str">
        <f>IF(AND(observasi1!Y28="",observasi2!Y28=""),"",AVERAGE(observasi1!Y28,observasi2!Y28))</f>
        <v/>
      </c>
      <c r="Z28" s="178" t="str">
        <f>IF(AND(observasi1!Z28="",observasi2!Z28=""),"",AVERAGE(observasi1!Z28,observasi2!Z28))</f>
        <v/>
      </c>
      <c r="AA28" s="178" t="str">
        <f>IF(AND(observasi1!AA28="",observasi2!AA28=""),"",AVERAGE(observasi1!AA28,observasi2!AA28))</f>
        <v/>
      </c>
      <c r="AB28" s="178" t="str">
        <f>IF(AND(observasi1!AB28="",observasi2!AB28=""),"",AVERAGE(observasi1!AB28,observasi2!AB28))</f>
        <v/>
      </c>
      <c r="AC28" s="178" t="str">
        <f>IF(AND(observasi1!AC28="",observasi2!AC28=""),"",AVERAGE(observasi1!AC28,observasi2!AC28))</f>
        <v/>
      </c>
      <c r="AD28" s="178" t="str">
        <f>IF(AND(observasi1!AD28="",observasi2!AD28=""),"",AVERAGE(observasi1!AD28,observasi2!AD28))</f>
        <v/>
      </c>
      <c r="AE28" s="178" t="str">
        <f>IF(AND(observasi1!AE28="",observasi2!AE28=""),"",AVERAGE(observasi1!AE28,observasi2!AE28))</f>
        <v/>
      </c>
      <c r="AF28" s="178" t="str">
        <f>IF(AND(observasi1!AF28="",observasi2!AF28=""),"",AVERAGE(observasi1!AF28,observasi2!AF28))</f>
        <v/>
      </c>
      <c r="AG28" s="178" t="str">
        <f>IF(AND(observasi1!AG28="",observasi2!AG28=""),"",AVERAGE(observasi1!AG28,observasi2!AG28))</f>
        <v/>
      </c>
      <c r="AH28" s="178" t="str">
        <f>IF(AND(observasi1!AH28="",observasi2!AH28=""),"",AVERAGE(observasi1!AH28,observasi2!AH28))</f>
        <v/>
      </c>
      <c r="AI28" s="178" t="str">
        <f>IF(AND(observasi1!AI28="",observasi2!AI28=""),"",AVERAGE(observasi1!AI28,observasi2!AI28))</f>
        <v/>
      </c>
      <c r="AJ28" s="178" t="str">
        <f>IF(AND(observasi1!AJ28="",observasi2!AJ28=""),"",AVERAGE(observasi1!AJ28,observasi2!AJ28))</f>
        <v/>
      </c>
      <c r="AK28" s="178" t="str">
        <f>IF(AND(observasi1!AK28="",observasi2!AK28=""),"",AVERAGE(observasi1!AK28,observasi2!AK28))</f>
        <v/>
      </c>
      <c r="AL28" s="178" t="str">
        <f>IF(AND(observasi1!AL28="",observasi2!AL28=""),"",AVERAGE(observasi1!AL28,observasi2!AL28))</f>
        <v/>
      </c>
      <c r="AM28" s="178" t="str">
        <f>IF(AND(observasi1!AM28="",observasi2!AM28=""),"",AVERAGE(observasi1!AM28,observasi2!AM28))</f>
        <v/>
      </c>
      <c r="AN28" s="178" t="str">
        <f>IF(AND(observasi1!AN28="",observasi2!AN28=""),"",AVERAGE(observasi1!AN28,observasi2!AN28))</f>
        <v/>
      </c>
      <c r="AO28" s="178" t="str">
        <f>IF(AND(observasi1!AO28="",observasi2!AO28=""),"",AVERAGE(observasi1!AO28,observasi2!AO28))</f>
        <v/>
      </c>
      <c r="AP28" s="178" t="str">
        <f>IF(AND(observasi1!AP28="",observasi2!AP28=""),"",AVERAGE(observasi1!AP28,observasi2!AP28))</f>
        <v/>
      </c>
      <c r="AQ28" s="178" t="str">
        <f>IF(AND(observasi1!AQ28="",observasi2!AQ28=""),"",AVERAGE(observasi1!AQ28,observasi2!AQ28))</f>
        <v/>
      </c>
      <c r="AR28" s="178" t="str">
        <f>IF(AND(observasi1!AR28="",observasi2!AR28=""),"",AVERAGE(observasi1!AR28,observasi2!AR28))</f>
        <v/>
      </c>
      <c r="AS28" s="178" t="str">
        <f>IF(AND(observasi1!AS28="",observasi2!AS28=""),"",AVERAGE(observasi1!AS28,observasi2!AS28))</f>
        <v/>
      </c>
      <c r="AT28" s="178" t="str">
        <f>IF(AND(observasi1!AT28="",observasi2!AT28=""),"",AVERAGE(observasi1!AT28,observasi2!AT28))</f>
        <v/>
      </c>
      <c r="AU28" s="178" t="str">
        <f>IF(AND(observasi1!AU28="",observasi2!AU28=""),"",AVERAGE(observasi1!AU28,observasi2!AU28))</f>
        <v/>
      </c>
      <c r="AV28" s="178" t="str">
        <f>IF(AND(observasi1!AV28="",observasi2!AV28=""),"",AVERAGE(observasi1!AV28,observasi2!AV28))</f>
        <v/>
      </c>
      <c r="AW28" s="178" t="str">
        <f>IF(AND(observasi1!AW28="",observasi2!AW28=""),"",AVERAGE(observasi1!AW28,observasi2!AW28))</f>
        <v/>
      </c>
      <c r="AX28" s="178" t="str">
        <f>IF(AND(observasi1!AX28="",observasi2!AX28=""),"",AVERAGE(observasi1!AX28,observasi2!AX28))</f>
        <v/>
      </c>
      <c r="AY28" s="178" t="str">
        <f>IF(AND(observasi1!AY28="",observasi2!AY28=""),"",AVERAGE(observasi1!AY28,observasi2!AY28))</f>
        <v/>
      </c>
    </row>
    <row r="29" spans="1:51">
      <c r="A29" s="618"/>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row>
    <row r="30" spans="1:51" ht="15" customHeight="1">
      <c r="A30" s="617" t="s">
        <v>10</v>
      </c>
      <c r="B30" s="164" t="s">
        <v>176</v>
      </c>
      <c r="C30" s="165" t="s">
        <v>177</v>
      </c>
      <c r="D30" s="178" t="str">
        <f>IF(AND(observasi1!D30="",observasi2!D30=""),"",AVERAGE(observasi1!D30,observasi2!D30))</f>
        <v/>
      </c>
      <c r="E30" s="178" t="str">
        <f>IF(AND(observasi1!E30="",observasi2!E30=""),"",AVERAGE(observasi1!E30,observasi2!E30))</f>
        <v/>
      </c>
      <c r="F30" s="178" t="str">
        <f>IF(AND(observasi1!F30="",observasi2!F30=""),"",AVERAGE(observasi1!F30,observasi2!F30))</f>
        <v/>
      </c>
      <c r="G30" s="178" t="str">
        <f>IF(AND(observasi1!G30="",observasi2!G30=""),"",AVERAGE(observasi1!G30,observasi2!G30))</f>
        <v/>
      </c>
      <c r="H30" s="178" t="str">
        <f>IF(AND(observasi1!H30="",observasi2!H30=""),"",AVERAGE(observasi1!H30,observasi2!H30))</f>
        <v/>
      </c>
      <c r="I30" s="178" t="str">
        <f>IF(AND(observasi1!I30="",observasi2!I30=""),"",AVERAGE(observasi1!I30,observasi2!I30))</f>
        <v/>
      </c>
      <c r="J30" s="178" t="str">
        <f>IF(AND(observasi1!J30="",observasi2!J30=""),"",AVERAGE(observasi1!J30,observasi2!J30))</f>
        <v/>
      </c>
      <c r="K30" s="178" t="str">
        <f>IF(AND(observasi1!K30="",observasi2!K30=""),"",AVERAGE(observasi1!K30,observasi2!K30))</f>
        <v/>
      </c>
      <c r="L30" s="178" t="str">
        <f>IF(AND(observasi1!L30="",observasi2!L30=""),"",AVERAGE(observasi1!L30,observasi2!L30))</f>
        <v/>
      </c>
      <c r="M30" s="178" t="str">
        <f>IF(AND(observasi1!M30="",observasi2!M30=""),"",AVERAGE(observasi1!M30,observasi2!M30))</f>
        <v/>
      </c>
      <c r="N30" s="178" t="str">
        <f>IF(AND(observasi1!N30="",observasi2!N30=""),"",AVERAGE(observasi1!N30,observasi2!N30))</f>
        <v/>
      </c>
      <c r="O30" s="178" t="str">
        <f>IF(AND(observasi1!O30="",observasi2!O30=""),"",AVERAGE(observasi1!O30,observasi2!O30))</f>
        <v/>
      </c>
      <c r="P30" s="178" t="str">
        <f>IF(AND(observasi1!P30="",observasi2!P30=""),"",AVERAGE(observasi1!P30,observasi2!P30))</f>
        <v/>
      </c>
      <c r="Q30" s="178" t="str">
        <f>IF(AND(observasi1!Q30="",observasi2!Q30=""),"",AVERAGE(observasi1!Q30,observasi2!Q30))</f>
        <v/>
      </c>
      <c r="R30" s="178" t="str">
        <f>IF(AND(observasi1!R30="",observasi2!R30=""),"",AVERAGE(observasi1!R30,observasi2!R30))</f>
        <v/>
      </c>
      <c r="S30" s="178" t="str">
        <f>IF(AND(observasi1!S30="",observasi2!S30=""),"",AVERAGE(observasi1!S30,observasi2!S30))</f>
        <v/>
      </c>
      <c r="T30" s="178" t="str">
        <f>IF(AND(observasi1!T30="",observasi2!T30=""),"",AVERAGE(observasi1!T30,observasi2!T30))</f>
        <v/>
      </c>
      <c r="U30" s="178" t="str">
        <f>IF(AND(observasi1!U30="",observasi2!U30=""),"",AVERAGE(observasi1!U30,observasi2!U30))</f>
        <v/>
      </c>
      <c r="V30" s="178" t="str">
        <f>IF(AND(observasi1!V30="",observasi2!V30=""),"",AVERAGE(observasi1!V30,observasi2!V30))</f>
        <v/>
      </c>
      <c r="W30" s="178" t="str">
        <f>IF(AND(observasi1!W30="",observasi2!W30=""),"",AVERAGE(observasi1!W30,observasi2!W30))</f>
        <v/>
      </c>
      <c r="X30" s="178" t="str">
        <f>IF(AND(observasi1!X30="",observasi2!X30=""),"",AVERAGE(observasi1!X30,observasi2!X30))</f>
        <v/>
      </c>
      <c r="Y30" s="178" t="str">
        <f>IF(AND(observasi1!Y30="",observasi2!Y30=""),"",AVERAGE(observasi1!Y30,observasi2!Y30))</f>
        <v/>
      </c>
      <c r="Z30" s="178" t="str">
        <f>IF(AND(observasi1!Z30="",observasi2!Z30=""),"",AVERAGE(observasi1!Z30,observasi2!Z30))</f>
        <v/>
      </c>
      <c r="AA30" s="178" t="str">
        <f>IF(AND(observasi1!AA30="",observasi2!AA30=""),"",AVERAGE(observasi1!AA30,observasi2!AA30))</f>
        <v/>
      </c>
      <c r="AB30" s="178" t="str">
        <f>IF(AND(observasi1!AB30="",observasi2!AB30=""),"",AVERAGE(observasi1!AB30,observasi2!AB30))</f>
        <v/>
      </c>
      <c r="AC30" s="178" t="str">
        <f>IF(AND(observasi1!AC30="",observasi2!AC30=""),"",AVERAGE(observasi1!AC30,observasi2!AC30))</f>
        <v/>
      </c>
      <c r="AD30" s="178" t="str">
        <f>IF(AND(observasi1!AD30="",observasi2!AD30=""),"",AVERAGE(observasi1!AD30,observasi2!AD30))</f>
        <v/>
      </c>
      <c r="AE30" s="178" t="str">
        <f>IF(AND(observasi1!AE30="",observasi2!AE30=""),"",AVERAGE(observasi1!AE30,observasi2!AE30))</f>
        <v/>
      </c>
      <c r="AF30" s="178" t="str">
        <f>IF(AND(observasi1!AF30="",observasi2!AF30=""),"",AVERAGE(observasi1!AF30,observasi2!AF30))</f>
        <v/>
      </c>
      <c r="AG30" s="178" t="str">
        <f>IF(AND(observasi1!AG30="",observasi2!AG30=""),"",AVERAGE(observasi1!AG30,observasi2!AG30))</f>
        <v/>
      </c>
      <c r="AH30" s="178" t="str">
        <f>IF(AND(observasi1!AH30="",observasi2!AH30=""),"",AVERAGE(observasi1!AH30,observasi2!AH30))</f>
        <v/>
      </c>
      <c r="AI30" s="178" t="str">
        <f>IF(AND(observasi1!AI30="",observasi2!AI30=""),"",AVERAGE(observasi1!AI30,observasi2!AI30))</f>
        <v/>
      </c>
      <c r="AJ30" s="178" t="str">
        <f>IF(AND(observasi1!AJ30="",observasi2!AJ30=""),"",AVERAGE(observasi1!AJ30,observasi2!AJ30))</f>
        <v/>
      </c>
      <c r="AK30" s="178" t="str">
        <f>IF(AND(observasi1!AK30="",observasi2!AK30=""),"",AVERAGE(observasi1!AK30,observasi2!AK30))</f>
        <v/>
      </c>
      <c r="AL30" s="178" t="str">
        <f>IF(AND(observasi1!AL30="",observasi2!AL30=""),"",AVERAGE(observasi1!AL30,observasi2!AL30))</f>
        <v/>
      </c>
      <c r="AM30" s="178" t="str">
        <f>IF(AND(observasi1!AM30="",observasi2!AM30=""),"",AVERAGE(observasi1!AM30,observasi2!AM30))</f>
        <v/>
      </c>
      <c r="AN30" s="178" t="str">
        <f>IF(AND(observasi1!AN30="",observasi2!AN30=""),"",AVERAGE(observasi1!AN30,observasi2!AN30))</f>
        <v/>
      </c>
      <c r="AO30" s="178" t="str">
        <f>IF(AND(observasi1!AO30="",observasi2!AO30=""),"",AVERAGE(observasi1!AO30,observasi2!AO30))</f>
        <v/>
      </c>
      <c r="AP30" s="178" t="str">
        <f>IF(AND(observasi1!AP30="",observasi2!AP30=""),"",AVERAGE(observasi1!AP30,observasi2!AP30))</f>
        <v/>
      </c>
      <c r="AQ30" s="178" t="str">
        <f>IF(AND(observasi1!AQ30="",observasi2!AQ30=""),"",AVERAGE(observasi1!AQ30,observasi2!AQ30))</f>
        <v/>
      </c>
      <c r="AR30" s="178" t="str">
        <f>IF(AND(observasi1!AR30="",observasi2!AR30=""),"",AVERAGE(observasi1!AR30,observasi2!AR30))</f>
        <v/>
      </c>
      <c r="AS30" s="178" t="str">
        <f>IF(AND(observasi1!AS30="",observasi2!AS30=""),"",AVERAGE(observasi1!AS30,observasi2!AS30))</f>
        <v/>
      </c>
      <c r="AT30" s="178" t="str">
        <f>IF(AND(observasi1!AT30="",observasi2!AT30=""),"",AVERAGE(observasi1!AT30,observasi2!AT30))</f>
        <v/>
      </c>
      <c r="AU30" s="178" t="str">
        <f>IF(AND(observasi1!AU30="",observasi2!AU30=""),"",AVERAGE(observasi1!AU30,observasi2!AU30))</f>
        <v/>
      </c>
      <c r="AV30" s="178" t="str">
        <f>IF(AND(observasi1!AV30="",observasi2!AV30=""),"",AVERAGE(observasi1!AV30,observasi2!AV30))</f>
        <v/>
      </c>
      <c r="AW30" s="178" t="str">
        <f>IF(AND(observasi1!AW30="",observasi2!AW30=""),"",AVERAGE(observasi1!AW30,observasi2!AW30))</f>
        <v/>
      </c>
      <c r="AX30" s="178" t="str">
        <f>IF(AND(observasi1!AX30="",observasi2!AX30=""),"",AVERAGE(observasi1!AX30,observasi2!AX30))</f>
        <v/>
      </c>
      <c r="AY30" s="178" t="str">
        <f>IF(AND(observasi1!AY30="",observasi2!AY30=""),"",AVERAGE(observasi1!AY30,observasi2!AY30))</f>
        <v/>
      </c>
    </row>
    <row r="31" spans="1:51">
      <c r="A31" s="617"/>
      <c r="B31" s="164" t="s">
        <v>178</v>
      </c>
      <c r="C31" s="165" t="s">
        <v>179</v>
      </c>
      <c r="D31" s="178" t="str">
        <f>IF(AND(observasi1!D31="",observasi2!D31=""),"",AVERAGE(observasi1!D31,observasi2!D31))</f>
        <v/>
      </c>
      <c r="E31" s="178" t="str">
        <f>IF(AND(observasi1!E31="",observasi2!E31=""),"",AVERAGE(observasi1!E31,observasi2!E31))</f>
        <v/>
      </c>
      <c r="F31" s="178" t="str">
        <f>IF(AND(observasi1!F31="",observasi2!F31=""),"",AVERAGE(observasi1!F31,observasi2!F31))</f>
        <v/>
      </c>
      <c r="G31" s="178" t="str">
        <f>IF(AND(observasi1!G31="",observasi2!G31=""),"",AVERAGE(observasi1!G31,observasi2!G31))</f>
        <v/>
      </c>
      <c r="H31" s="178" t="str">
        <f>IF(AND(observasi1!H31="",observasi2!H31=""),"",AVERAGE(observasi1!H31,observasi2!H31))</f>
        <v/>
      </c>
      <c r="I31" s="178" t="str">
        <f>IF(AND(observasi1!I31="",observasi2!I31=""),"",AVERAGE(observasi1!I31,observasi2!I31))</f>
        <v/>
      </c>
      <c r="J31" s="178" t="str">
        <f>IF(AND(observasi1!J31="",observasi2!J31=""),"",AVERAGE(observasi1!J31,observasi2!J31))</f>
        <v/>
      </c>
      <c r="K31" s="178" t="str">
        <f>IF(AND(observasi1!K31="",observasi2!K31=""),"",AVERAGE(observasi1!K31,observasi2!K31))</f>
        <v/>
      </c>
      <c r="L31" s="178" t="str">
        <f>IF(AND(observasi1!L31="",observasi2!L31=""),"",AVERAGE(observasi1!L31,observasi2!L31))</f>
        <v/>
      </c>
      <c r="M31" s="178" t="str">
        <f>IF(AND(observasi1!M31="",observasi2!M31=""),"",AVERAGE(observasi1!M31,observasi2!M31))</f>
        <v/>
      </c>
      <c r="N31" s="178" t="str">
        <f>IF(AND(observasi1!N31="",observasi2!N31=""),"",AVERAGE(observasi1!N31,observasi2!N31))</f>
        <v/>
      </c>
      <c r="O31" s="178" t="str">
        <f>IF(AND(observasi1!O31="",observasi2!O31=""),"",AVERAGE(observasi1!O31,observasi2!O31))</f>
        <v/>
      </c>
      <c r="P31" s="178" t="str">
        <f>IF(AND(observasi1!P31="",observasi2!P31=""),"",AVERAGE(observasi1!P31,observasi2!P31))</f>
        <v/>
      </c>
      <c r="Q31" s="178" t="str">
        <f>IF(AND(observasi1!Q31="",observasi2!Q31=""),"",AVERAGE(observasi1!Q31,observasi2!Q31))</f>
        <v/>
      </c>
      <c r="R31" s="178" t="str">
        <f>IF(AND(observasi1!R31="",observasi2!R31=""),"",AVERAGE(observasi1!R31,observasi2!R31))</f>
        <v/>
      </c>
      <c r="S31" s="178" t="str">
        <f>IF(AND(observasi1!S31="",observasi2!S31=""),"",AVERAGE(observasi1!S31,observasi2!S31))</f>
        <v/>
      </c>
      <c r="T31" s="178" t="str">
        <f>IF(AND(observasi1!T31="",observasi2!T31=""),"",AVERAGE(observasi1!T31,observasi2!T31))</f>
        <v/>
      </c>
      <c r="U31" s="178" t="str">
        <f>IF(AND(observasi1!U31="",observasi2!U31=""),"",AVERAGE(observasi1!U31,observasi2!U31))</f>
        <v/>
      </c>
      <c r="V31" s="178" t="str">
        <f>IF(AND(observasi1!V31="",observasi2!V31=""),"",AVERAGE(observasi1!V31,observasi2!V31))</f>
        <v/>
      </c>
      <c r="W31" s="178" t="str">
        <f>IF(AND(observasi1!W31="",observasi2!W31=""),"",AVERAGE(observasi1!W31,observasi2!W31))</f>
        <v/>
      </c>
      <c r="X31" s="178" t="str">
        <f>IF(AND(observasi1!X31="",observasi2!X31=""),"",AVERAGE(observasi1!X31,observasi2!X31))</f>
        <v/>
      </c>
      <c r="Y31" s="178" t="str">
        <f>IF(AND(observasi1!Y31="",observasi2!Y31=""),"",AVERAGE(observasi1!Y31,observasi2!Y31))</f>
        <v/>
      </c>
      <c r="Z31" s="178" t="str">
        <f>IF(AND(observasi1!Z31="",observasi2!Z31=""),"",AVERAGE(observasi1!Z31,observasi2!Z31))</f>
        <v/>
      </c>
      <c r="AA31" s="178" t="str">
        <f>IF(AND(observasi1!AA31="",observasi2!AA31=""),"",AVERAGE(observasi1!AA31,observasi2!AA31))</f>
        <v/>
      </c>
      <c r="AB31" s="178" t="str">
        <f>IF(AND(observasi1!AB31="",observasi2!AB31=""),"",AVERAGE(observasi1!AB31,observasi2!AB31))</f>
        <v/>
      </c>
      <c r="AC31" s="178" t="str">
        <f>IF(AND(observasi1!AC31="",observasi2!AC31=""),"",AVERAGE(observasi1!AC31,observasi2!AC31))</f>
        <v/>
      </c>
      <c r="AD31" s="178" t="str">
        <f>IF(AND(observasi1!AD31="",observasi2!AD31=""),"",AVERAGE(observasi1!AD31,observasi2!AD31))</f>
        <v/>
      </c>
      <c r="AE31" s="178" t="str">
        <f>IF(AND(observasi1!AE31="",observasi2!AE31=""),"",AVERAGE(observasi1!AE31,observasi2!AE31))</f>
        <v/>
      </c>
      <c r="AF31" s="178" t="str">
        <f>IF(AND(observasi1!AF31="",observasi2!AF31=""),"",AVERAGE(observasi1!AF31,observasi2!AF31))</f>
        <v/>
      </c>
      <c r="AG31" s="178" t="str">
        <f>IF(AND(observasi1!AG31="",observasi2!AG31=""),"",AVERAGE(observasi1!AG31,observasi2!AG31))</f>
        <v/>
      </c>
      <c r="AH31" s="178" t="str">
        <f>IF(AND(observasi1!AH31="",observasi2!AH31=""),"",AVERAGE(observasi1!AH31,observasi2!AH31))</f>
        <v/>
      </c>
      <c r="AI31" s="178" t="str">
        <f>IF(AND(observasi1!AI31="",observasi2!AI31=""),"",AVERAGE(observasi1!AI31,observasi2!AI31))</f>
        <v/>
      </c>
      <c r="AJ31" s="178" t="str">
        <f>IF(AND(observasi1!AJ31="",observasi2!AJ31=""),"",AVERAGE(observasi1!AJ31,observasi2!AJ31))</f>
        <v/>
      </c>
      <c r="AK31" s="178" t="str">
        <f>IF(AND(observasi1!AK31="",observasi2!AK31=""),"",AVERAGE(observasi1!AK31,observasi2!AK31))</f>
        <v/>
      </c>
      <c r="AL31" s="178" t="str">
        <f>IF(AND(observasi1!AL31="",observasi2!AL31=""),"",AVERAGE(observasi1!AL31,observasi2!AL31))</f>
        <v/>
      </c>
      <c r="AM31" s="178" t="str">
        <f>IF(AND(observasi1!AM31="",observasi2!AM31=""),"",AVERAGE(observasi1!AM31,observasi2!AM31))</f>
        <v/>
      </c>
      <c r="AN31" s="178" t="str">
        <f>IF(AND(observasi1!AN31="",observasi2!AN31=""),"",AVERAGE(observasi1!AN31,observasi2!AN31))</f>
        <v/>
      </c>
      <c r="AO31" s="178" t="str">
        <f>IF(AND(observasi1!AO31="",observasi2!AO31=""),"",AVERAGE(observasi1!AO31,observasi2!AO31))</f>
        <v/>
      </c>
      <c r="AP31" s="178" t="str">
        <f>IF(AND(observasi1!AP31="",observasi2!AP31=""),"",AVERAGE(observasi1!AP31,observasi2!AP31))</f>
        <v/>
      </c>
      <c r="AQ31" s="178" t="str">
        <f>IF(AND(observasi1!AQ31="",observasi2!AQ31=""),"",AVERAGE(observasi1!AQ31,observasi2!AQ31))</f>
        <v/>
      </c>
      <c r="AR31" s="178" t="str">
        <f>IF(AND(observasi1!AR31="",observasi2!AR31=""),"",AVERAGE(observasi1!AR31,observasi2!AR31))</f>
        <v/>
      </c>
      <c r="AS31" s="178" t="str">
        <f>IF(AND(observasi1!AS31="",observasi2!AS31=""),"",AVERAGE(observasi1!AS31,observasi2!AS31))</f>
        <v/>
      </c>
      <c r="AT31" s="178" t="str">
        <f>IF(AND(observasi1!AT31="",observasi2!AT31=""),"",AVERAGE(observasi1!AT31,observasi2!AT31))</f>
        <v/>
      </c>
      <c r="AU31" s="178" t="str">
        <f>IF(AND(observasi1!AU31="",observasi2!AU31=""),"",AVERAGE(observasi1!AU31,observasi2!AU31))</f>
        <v/>
      </c>
      <c r="AV31" s="178" t="str">
        <f>IF(AND(observasi1!AV31="",observasi2!AV31=""),"",AVERAGE(observasi1!AV31,observasi2!AV31))</f>
        <v/>
      </c>
      <c r="AW31" s="178" t="str">
        <f>IF(AND(observasi1!AW31="",observasi2!AW31=""),"",AVERAGE(observasi1!AW31,observasi2!AW31))</f>
        <v/>
      </c>
      <c r="AX31" s="178" t="str">
        <f>IF(AND(observasi1!AX31="",observasi2!AX31=""),"",AVERAGE(observasi1!AX31,observasi2!AX31))</f>
        <v/>
      </c>
      <c r="AY31" s="178" t="str">
        <f>IF(AND(observasi1!AY31="",observasi2!AY31=""),"",AVERAGE(observasi1!AY31,observasi2!AY31))</f>
        <v/>
      </c>
    </row>
    <row r="32" spans="1:51">
      <c r="A32" s="617"/>
      <c r="B32" s="164" t="s">
        <v>180</v>
      </c>
      <c r="C32" s="165" t="s">
        <v>181</v>
      </c>
      <c r="D32" s="178" t="str">
        <f>IF(AND(observasi1!D32="",observasi2!D32=""),"",AVERAGE(observasi1!D32,observasi2!D32))</f>
        <v/>
      </c>
      <c r="E32" s="178" t="str">
        <f>IF(AND(observasi1!E32="",observasi2!E32=""),"",AVERAGE(observasi1!E32,observasi2!E32))</f>
        <v/>
      </c>
      <c r="F32" s="178" t="str">
        <f>IF(AND(observasi1!F32="",observasi2!F32=""),"",AVERAGE(observasi1!F32,observasi2!F32))</f>
        <v/>
      </c>
      <c r="G32" s="178" t="str">
        <f>IF(AND(observasi1!G32="",observasi2!G32=""),"",AVERAGE(observasi1!G32,observasi2!G32))</f>
        <v/>
      </c>
      <c r="H32" s="178" t="str">
        <f>IF(AND(observasi1!H32="",observasi2!H32=""),"",AVERAGE(observasi1!H32,observasi2!H32))</f>
        <v/>
      </c>
      <c r="I32" s="178" t="str">
        <f>IF(AND(observasi1!I32="",observasi2!I32=""),"",AVERAGE(observasi1!I32,observasi2!I32))</f>
        <v/>
      </c>
      <c r="J32" s="178" t="str">
        <f>IF(AND(observasi1!J32="",observasi2!J32=""),"",AVERAGE(observasi1!J32,observasi2!J32))</f>
        <v/>
      </c>
      <c r="K32" s="178" t="str">
        <f>IF(AND(observasi1!K32="",observasi2!K32=""),"",AVERAGE(observasi1!K32,observasi2!K32))</f>
        <v/>
      </c>
      <c r="L32" s="178" t="str">
        <f>IF(AND(observasi1!L32="",observasi2!L32=""),"",AVERAGE(observasi1!L32,observasi2!L32))</f>
        <v/>
      </c>
      <c r="M32" s="178" t="str">
        <f>IF(AND(observasi1!M32="",observasi2!M32=""),"",AVERAGE(observasi1!M32,observasi2!M32))</f>
        <v/>
      </c>
      <c r="N32" s="178" t="str">
        <f>IF(AND(observasi1!N32="",observasi2!N32=""),"",AVERAGE(observasi1!N32,observasi2!N32))</f>
        <v/>
      </c>
      <c r="O32" s="178" t="str">
        <f>IF(AND(observasi1!O32="",observasi2!O32=""),"",AVERAGE(observasi1!O32,observasi2!O32))</f>
        <v/>
      </c>
      <c r="P32" s="178" t="str">
        <f>IF(AND(observasi1!P32="",observasi2!P32=""),"",AVERAGE(observasi1!P32,observasi2!P32))</f>
        <v/>
      </c>
      <c r="Q32" s="178" t="str">
        <f>IF(AND(observasi1!Q32="",observasi2!Q32=""),"",AVERAGE(observasi1!Q32,observasi2!Q32))</f>
        <v/>
      </c>
      <c r="R32" s="178" t="str">
        <f>IF(AND(observasi1!R32="",observasi2!R32=""),"",AVERAGE(observasi1!R32,observasi2!R32))</f>
        <v/>
      </c>
      <c r="S32" s="178" t="str">
        <f>IF(AND(observasi1!S32="",observasi2!S32=""),"",AVERAGE(observasi1!S32,observasi2!S32))</f>
        <v/>
      </c>
      <c r="T32" s="178" t="str">
        <f>IF(AND(observasi1!T32="",observasi2!T32=""),"",AVERAGE(observasi1!T32,observasi2!T32))</f>
        <v/>
      </c>
      <c r="U32" s="178" t="str">
        <f>IF(AND(observasi1!U32="",observasi2!U32=""),"",AVERAGE(observasi1!U32,observasi2!U32))</f>
        <v/>
      </c>
      <c r="V32" s="178" t="str">
        <f>IF(AND(observasi1!V32="",observasi2!V32=""),"",AVERAGE(observasi1!V32,observasi2!V32))</f>
        <v/>
      </c>
      <c r="W32" s="178" t="str">
        <f>IF(AND(observasi1!W32="",observasi2!W32=""),"",AVERAGE(observasi1!W32,observasi2!W32))</f>
        <v/>
      </c>
      <c r="X32" s="178" t="str">
        <f>IF(AND(observasi1!X32="",observasi2!X32=""),"",AVERAGE(observasi1!X32,observasi2!X32))</f>
        <v/>
      </c>
      <c r="Y32" s="178" t="str">
        <f>IF(AND(observasi1!Y32="",observasi2!Y32=""),"",AVERAGE(observasi1!Y32,observasi2!Y32))</f>
        <v/>
      </c>
      <c r="Z32" s="178" t="str">
        <f>IF(AND(observasi1!Z32="",observasi2!Z32=""),"",AVERAGE(observasi1!Z32,observasi2!Z32))</f>
        <v/>
      </c>
      <c r="AA32" s="178" t="str">
        <f>IF(AND(observasi1!AA32="",observasi2!AA32=""),"",AVERAGE(observasi1!AA32,observasi2!AA32))</f>
        <v/>
      </c>
      <c r="AB32" s="178" t="str">
        <f>IF(AND(observasi1!AB32="",observasi2!AB32=""),"",AVERAGE(observasi1!AB32,observasi2!AB32))</f>
        <v/>
      </c>
      <c r="AC32" s="178" t="str">
        <f>IF(AND(observasi1!AC32="",observasi2!AC32=""),"",AVERAGE(observasi1!AC32,observasi2!AC32))</f>
        <v/>
      </c>
      <c r="AD32" s="178" t="str">
        <f>IF(AND(observasi1!AD32="",observasi2!AD32=""),"",AVERAGE(observasi1!AD32,observasi2!AD32))</f>
        <v/>
      </c>
      <c r="AE32" s="178" t="str">
        <f>IF(AND(observasi1!AE32="",observasi2!AE32=""),"",AVERAGE(observasi1!AE32,observasi2!AE32))</f>
        <v/>
      </c>
      <c r="AF32" s="178" t="str">
        <f>IF(AND(observasi1!AF32="",observasi2!AF32=""),"",AVERAGE(observasi1!AF32,observasi2!AF32))</f>
        <v/>
      </c>
      <c r="AG32" s="178" t="str">
        <f>IF(AND(observasi1!AG32="",observasi2!AG32=""),"",AVERAGE(observasi1!AG32,observasi2!AG32))</f>
        <v/>
      </c>
      <c r="AH32" s="178" t="str">
        <f>IF(AND(observasi1!AH32="",observasi2!AH32=""),"",AVERAGE(observasi1!AH32,observasi2!AH32))</f>
        <v/>
      </c>
      <c r="AI32" s="178" t="str">
        <f>IF(AND(observasi1!AI32="",observasi2!AI32=""),"",AVERAGE(observasi1!AI32,observasi2!AI32))</f>
        <v/>
      </c>
      <c r="AJ32" s="178" t="str">
        <f>IF(AND(observasi1!AJ32="",observasi2!AJ32=""),"",AVERAGE(observasi1!AJ32,observasi2!AJ32))</f>
        <v/>
      </c>
      <c r="AK32" s="178" t="str">
        <f>IF(AND(observasi1!AK32="",observasi2!AK32=""),"",AVERAGE(observasi1!AK32,observasi2!AK32))</f>
        <v/>
      </c>
      <c r="AL32" s="178" t="str">
        <f>IF(AND(observasi1!AL32="",observasi2!AL32=""),"",AVERAGE(observasi1!AL32,observasi2!AL32))</f>
        <v/>
      </c>
      <c r="AM32" s="178" t="str">
        <f>IF(AND(observasi1!AM32="",observasi2!AM32=""),"",AVERAGE(observasi1!AM32,observasi2!AM32))</f>
        <v/>
      </c>
      <c r="AN32" s="178" t="str">
        <f>IF(AND(observasi1!AN32="",observasi2!AN32=""),"",AVERAGE(observasi1!AN32,observasi2!AN32))</f>
        <v/>
      </c>
      <c r="AO32" s="178" t="str">
        <f>IF(AND(observasi1!AO32="",observasi2!AO32=""),"",AVERAGE(observasi1!AO32,observasi2!AO32))</f>
        <v/>
      </c>
      <c r="AP32" s="178" t="str">
        <f>IF(AND(observasi1!AP32="",observasi2!AP32=""),"",AVERAGE(observasi1!AP32,observasi2!AP32))</f>
        <v/>
      </c>
      <c r="AQ32" s="178" t="str">
        <f>IF(AND(observasi1!AQ32="",observasi2!AQ32=""),"",AVERAGE(observasi1!AQ32,observasi2!AQ32))</f>
        <v/>
      </c>
      <c r="AR32" s="178" t="str">
        <f>IF(AND(observasi1!AR32="",observasi2!AR32=""),"",AVERAGE(observasi1!AR32,observasi2!AR32))</f>
        <v/>
      </c>
      <c r="AS32" s="178" t="str">
        <f>IF(AND(observasi1!AS32="",observasi2!AS32=""),"",AVERAGE(observasi1!AS32,observasi2!AS32))</f>
        <v/>
      </c>
      <c r="AT32" s="178" t="str">
        <f>IF(AND(observasi1!AT32="",observasi2!AT32=""),"",AVERAGE(observasi1!AT32,observasi2!AT32))</f>
        <v/>
      </c>
      <c r="AU32" s="178" t="str">
        <f>IF(AND(observasi1!AU32="",observasi2!AU32=""),"",AVERAGE(observasi1!AU32,observasi2!AU32))</f>
        <v/>
      </c>
      <c r="AV32" s="178" t="str">
        <f>IF(AND(observasi1!AV32="",observasi2!AV32=""),"",AVERAGE(observasi1!AV32,observasi2!AV32))</f>
        <v/>
      </c>
      <c r="AW32" s="178" t="str">
        <f>IF(AND(observasi1!AW32="",observasi2!AW32=""),"",AVERAGE(observasi1!AW32,observasi2!AW32))</f>
        <v/>
      </c>
      <c r="AX32" s="178" t="str">
        <f>IF(AND(observasi1!AX32="",observasi2!AX32=""),"",AVERAGE(observasi1!AX32,observasi2!AX32))</f>
        <v/>
      </c>
      <c r="AY32" s="178" t="str">
        <f>IF(AND(observasi1!AY32="",observasi2!AY32=""),"",AVERAGE(observasi1!AY32,observasi2!AY32))</f>
        <v/>
      </c>
    </row>
    <row r="33" spans="1:51">
      <c r="A33" s="617"/>
      <c r="B33" s="164" t="s">
        <v>182</v>
      </c>
      <c r="C33" s="165" t="s">
        <v>82</v>
      </c>
      <c r="D33" s="178" t="str">
        <f>IF(AND(observasi1!D33="",observasi2!D33=""),"",AVERAGE(observasi1!D33,observasi2!D33))</f>
        <v/>
      </c>
      <c r="E33" s="178" t="str">
        <f>IF(AND(observasi1!E33="",observasi2!E33=""),"",AVERAGE(observasi1!E33,observasi2!E33))</f>
        <v/>
      </c>
      <c r="F33" s="178" t="str">
        <f>IF(AND(observasi1!F33="",observasi2!F33=""),"",AVERAGE(observasi1!F33,observasi2!F33))</f>
        <v/>
      </c>
      <c r="G33" s="178" t="str">
        <f>IF(AND(observasi1!G33="",observasi2!G33=""),"",AVERAGE(observasi1!G33,observasi2!G33))</f>
        <v/>
      </c>
      <c r="H33" s="178" t="str">
        <f>IF(AND(observasi1!H33="",observasi2!H33=""),"",AVERAGE(observasi1!H33,observasi2!H33))</f>
        <v/>
      </c>
      <c r="I33" s="178" t="str">
        <f>IF(AND(observasi1!I33="",observasi2!I33=""),"",AVERAGE(observasi1!I33,observasi2!I33))</f>
        <v/>
      </c>
      <c r="J33" s="178" t="str">
        <f>IF(AND(observasi1!J33="",observasi2!J33=""),"",AVERAGE(observasi1!J33,observasi2!J33))</f>
        <v/>
      </c>
      <c r="K33" s="178" t="str">
        <f>IF(AND(observasi1!K33="",observasi2!K33=""),"",AVERAGE(observasi1!K33,observasi2!K33))</f>
        <v/>
      </c>
      <c r="L33" s="178" t="str">
        <f>IF(AND(observasi1!L33="",observasi2!L33=""),"",AVERAGE(observasi1!L33,observasi2!L33))</f>
        <v/>
      </c>
      <c r="M33" s="178" t="str">
        <f>IF(AND(observasi1!M33="",observasi2!M33=""),"",AVERAGE(observasi1!M33,observasi2!M33))</f>
        <v/>
      </c>
      <c r="N33" s="178" t="str">
        <f>IF(AND(observasi1!N33="",observasi2!N33=""),"",AVERAGE(observasi1!N33,observasi2!N33))</f>
        <v/>
      </c>
      <c r="O33" s="178" t="str">
        <f>IF(AND(observasi1!O33="",observasi2!O33=""),"",AVERAGE(observasi1!O33,observasi2!O33))</f>
        <v/>
      </c>
      <c r="P33" s="178" t="str">
        <f>IF(AND(observasi1!P33="",observasi2!P33=""),"",AVERAGE(observasi1!P33,observasi2!P33))</f>
        <v/>
      </c>
      <c r="Q33" s="178" t="str">
        <f>IF(AND(observasi1!Q33="",observasi2!Q33=""),"",AVERAGE(observasi1!Q33,observasi2!Q33))</f>
        <v/>
      </c>
      <c r="R33" s="178" t="str">
        <f>IF(AND(observasi1!R33="",observasi2!R33=""),"",AVERAGE(observasi1!R33,observasi2!R33))</f>
        <v/>
      </c>
      <c r="S33" s="178" t="str">
        <f>IF(AND(observasi1!S33="",observasi2!S33=""),"",AVERAGE(observasi1!S33,observasi2!S33))</f>
        <v/>
      </c>
      <c r="T33" s="178" t="str">
        <f>IF(AND(observasi1!T33="",observasi2!T33=""),"",AVERAGE(observasi1!T33,observasi2!T33))</f>
        <v/>
      </c>
      <c r="U33" s="178" t="str">
        <f>IF(AND(observasi1!U33="",observasi2!U33=""),"",AVERAGE(observasi1!U33,observasi2!U33))</f>
        <v/>
      </c>
      <c r="V33" s="178" t="str">
        <f>IF(AND(observasi1!V33="",observasi2!V33=""),"",AVERAGE(observasi1!V33,observasi2!V33))</f>
        <v/>
      </c>
      <c r="W33" s="178" t="str">
        <f>IF(AND(observasi1!W33="",observasi2!W33=""),"",AVERAGE(observasi1!W33,observasi2!W33))</f>
        <v/>
      </c>
      <c r="X33" s="178" t="str">
        <f>IF(AND(observasi1!X33="",observasi2!X33=""),"",AVERAGE(observasi1!X33,observasi2!X33))</f>
        <v/>
      </c>
      <c r="Y33" s="178" t="str">
        <f>IF(AND(observasi1!Y33="",observasi2!Y33=""),"",AVERAGE(observasi1!Y33,observasi2!Y33))</f>
        <v/>
      </c>
      <c r="Z33" s="178" t="str">
        <f>IF(AND(observasi1!Z33="",observasi2!Z33=""),"",AVERAGE(observasi1!Z33,observasi2!Z33))</f>
        <v/>
      </c>
      <c r="AA33" s="178" t="str">
        <f>IF(AND(observasi1!AA33="",observasi2!AA33=""),"",AVERAGE(observasi1!AA33,observasi2!AA33))</f>
        <v/>
      </c>
      <c r="AB33" s="178" t="str">
        <f>IF(AND(observasi1!AB33="",observasi2!AB33=""),"",AVERAGE(observasi1!AB33,observasi2!AB33))</f>
        <v/>
      </c>
      <c r="AC33" s="178" t="str">
        <f>IF(AND(observasi1!AC33="",observasi2!AC33=""),"",AVERAGE(observasi1!AC33,observasi2!AC33))</f>
        <v/>
      </c>
      <c r="AD33" s="178" t="str">
        <f>IF(AND(observasi1!AD33="",observasi2!AD33=""),"",AVERAGE(observasi1!AD33,observasi2!AD33))</f>
        <v/>
      </c>
      <c r="AE33" s="178" t="str">
        <f>IF(AND(observasi1!AE33="",observasi2!AE33=""),"",AVERAGE(observasi1!AE33,observasi2!AE33))</f>
        <v/>
      </c>
      <c r="AF33" s="178" t="str">
        <f>IF(AND(observasi1!AF33="",observasi2!AF33=""),"",AVERAGE(observasi1!AF33,observasi2!AF33))</f>
        <v/>
      </c>
      <c r="AG33" s="178" t="str">
        <f>IF(AND(observasi1!AG33="",observasi2!AG33=""),"",AVERAGE(observasi1!AG33,observasi2!AG33))</f>
        <v/>
      </c>
      <c r="AH33" s="178" t="str">
        <f>IF(AND(observasi1!AH33="",observasi2!AH33=""),"",AVERAGE(observasi1!AH33,observasi2!AH33))</f>
        <v/>
      </c>
      <c r="AI33" s="178" t="str">
        <f>IF(AND(observasi1!AI33="",observasi2!AI33=""),"",AVERAGE(observasi1!AI33,observasi2!AI33))</f>
        <v/>
      </c>
      <c r="AJ33" s="178" t="str">
        <f>IF(AND(observasi1!AJ33="",observasi2!AJ33=""),"",AVERAGE(observasi1!AJ33,observasi2!AJ33))</f>
        <v/>
      </c>
      <c r="AK33" s="178" t="str">
        <f>IF(AND(observasi1!AK33="",observasi2!AK33=""),"",AVERAGE(observasi1!AK33,observasi2!AK33))</f>
        <v/>
      </c>
      <c r="AL33" s="178" t="str">
        <f>IF(AND(observasi1!AL33="",observasi2!AL33=""),"",AVERAGE(observasi1!AL33,observasi2!AL33))</f>
        <v/>
      </c>
      <c r="AM33" s="178" t="str">
        <f>IF(AND(observasi1!AM33="",observasi2!AM33=""),"",AVERAGE(observasi1!AM33,observasi2!AM33))</f>
        <v/>
      </c>
      <c r="AN33" s="178" t="str">
        <f>IF(AND(observasi1!AN33="",observasi2!AN33=""),"",AVERAGE(observasi1!AN33,observasi2!AN33))</f>
        <v/>
      </c>
      <c r="AO33" s="178" t="str">
        <f>IF(AND(observasi1!AO33="",observasi2!AO33=""),"",AVERAGE(observasi1!AO33,observasi2!AO33))</f>
        <v/>
      </c>
      <c r="AP33" s="178" t="str">
        <f>IF(AND(observasi1!AP33="",observasi2!AP33=""),"",AVERAGE(observasi1!AP33,observasi2!AP33))</f>
        <v/>
      </c>
      <c r="AQ33" s="178" t="str">
        <f>IF(AND(observasi1!AQ33="",observasi2!AQ33=""),"",AVERAGE(observasi1!AQ33,observasi2!AQ33))</f>
        <v/>
      </c>
      <c r="AR33" s="178" t="str">
        <f>IF(AND(observasi1!AR33="",observasi2!AR33=""),"",AVERAGE(observasi1!AR33,observasi2!AR33))</f>
        <v/>
      </c>
      <c r="AS33" s="178" t="str">
        <f>IF(AND(observasi1!AS33="",observasi2!AS33=""),"",AVERAGE(observasi1!AS33,observasi2!AS33))</f>
        <v/>
      </c>
      <c r="AT33" s="178" t="str">
        <f>IF(AND(observasi1!AT33="",observasi2!AT33=""),"",AVERAGE(observasi1!AT33,observasi2!AT33))</f>
        <v/>
      </c>
      <c r="AU33" s="178" t="str">
        <f>IF(AND(observasi1!AU33="",observasi2!AU33=""),"",AVERAGE(observasi1!AU33,observasi2!AU33))</f>
        <v/>
      </c>
      <c r="AV33" s="178" t="str">
        <f>IF(AND(observasi1!AV33="",observasi2!AV33=""),"",AVERAGE(observasi1!AV33,observasi2!AV33))</f>
        <v/>
      </c>
      <c r="AW33" s="178" t="str">
        <f>IF(AND(observasi1!AW33="",observasi2!AW33=""),"",AVERAGE(observasi1!AW33,observasi2!AW33))</f>
        <v/>
      </c>
      <c r="AX33" s="178" t="str">
        <f>IF(AND(observasi1!AX33="",observasi2!AX33=""),"",AVERAGE(observasi1!AX33,observasi2!AX33))</f>
        <v/>
      </c>
      <c r="AY33" s="178" t="str">
        <f>IF(AND(observasi1!AY33="",observasi2!AY33=""),"",AVERAGE(observasi1!AY33,observasi2!AY33))</f>
        <v/>
      </c>
    </row>
    <row r="34" spans="1:51">
      <c r="A34" s="617"/>
      <c r="B34" s="164" t="s">
        <v>183</v>
      </c>
      <c r="C34" s="165" t="s">
        <v>83</v>
      </c>
      <c r="D34" s="178" t="str">
        <f>IF(AND(observasi1!D34="",observasi2!D34=""),"",AVERAGE(observasi1!D34,observasi2!D34))</f>
        <v/>
      </c>
      <c r="E34" s="178" t="str">
        <f>IF(AND(observasi1!E34="",observasi2!E34=""),"",AVERAGE(observasi1!E34,observasi2!E34))</f>
        <v/>
      </c>
      <c r="F34" s="178" t="str">
        <f>IF(AND(observasi1!F34="",observasi2!F34=""),"",AVERAGE(observasi1!F34,observasi2!F34))</f>
        <v/>
      </c>
      <c r="G34" s="178" t="str">
        <f>IF(AND(observasi1!G34="",observasi2!G34=""),"",AVERAGE(observasi1!G34,observasi2!G34))</f>
        <v/>
      </c>
      <c r="H34" s="178" t="str">
        <f>IF(AND(observasi1!H34="",observasi2!H34=""),"",AVERAGE(observasi1!H34,observasi2!H34))</f>
        <v/>
      </c>
      <c r="I34" s="178" t="str">
        <f>IF(AND(observasi1!I34="",observasi2!I34=""),"",AVERAGE(observasi1!I34,observasi2!I34))</f>
        <v/>
      </c>
      <c r="J34" s="178" t="str">
        <f>IF(AND(observasi1!J34="",observasi2!J34=""),"",AVERAGE(observasi1!J34,observasi2!J34))</f>
        <v/>
      </c>
      <c r="K34" s="178" t="str">
        <f>IF(AND(observasi1!K34="",observasi2!K34=""),"",AVERAGE(observasi1!K34,observasi2!K34))</f>
        <v/>
      </c>
      <c r="L34" s="178" t="str">
        <f>IF(AND(observasi1!L34="",observasi2!L34=""),"",AVERAGE(observasi1!L34,observasi2!L34))</f>
        <v/>
      </c>
      <c r="M34" s="178" t="str">
        <f>IF(AND(observasi1!M34="",observasi2!M34=""),"",AVERAGE(observasi1!M34,observasi2!M34))</f>
        <v/>
      </c>
      <c r="N34" s="178" t="str">
        <f>IF(AND(observasi1!N34="",observasi2!N34=""),"",AVERAGE(observasi1!N34,observasi2!N34))</f>
        <v/>
      </c>
      <c r="O34" s="178" t="str">
        <f>IF(AND(observasi1!O34="",observasi2!O34=""),"",AVERAGE(observasi1!O34,observasi2!O34))</f>
        <v/>
      </c>
      <c r="P34" s="178" t="str">
        <f>IF(AND(observasi1!P34="",observasi2!P34=""),"",AVERAGE(observasi1!P34,observasi2!P34))</f>
        <v/>
      </c>
      <c r="Q34" s="178" t="str">
        <f>IF(AND(observasi1!Q34="",observasi2!Q34=""),"",AVERAGE(observasi1!Q34,observasi2!Q34))</f>
        <v/>
      </c>
      <c r="R34" s="178" t="str">
        <f>IF(AND(observasi1!R34="",observasi2!R34=""),"",AVERAGE(observasi1!R34,observasi2!R34))</f>
        <v/>
      </c>
      <c r="S34" s="178" t="str">
        <f>IF(AND(observasi1!S34="",observasi2!S34=""),"",AVERAGE(observasi1!S34,observasi2!S34))</f>
        <v/>
      </c>
      <c r="T34" s="178" t="str">
        <f>IF(AND(observasi1!T34="",observasi2!T34=""),"",AVERAGE(observasi1!T34,observasi2!T34))</f>
        <v/>
      </c>
      <c r="U34" s="178" t="str">
        <f>IF(AND(observasi1!U34="",observasi2!U34=""),"",AVERAGE(observasi1!U34,observasi2!U34))</f>
        <v/>
      </c>
      <c r="V34" s="178" t="str">
        <f>IF(AND(observasi1!V34="",observasi2!V34=""),"",AVERAGE(observasi1!V34,observasi2!V34))</f>
        <v/>
      </c>
      <c r="W34" s="178" t="str">
        <f>IF(AND(observasi1!W34="",observasi2!W34=""),"",AVERAGE(observasi1!W34,observasi2!W34))</f>
        <v/>
      </c>
      <c r="X34" s="178" t="str">
        <f>IF(AND(observasi1!X34="",observasi2!X34=""),"",AVERAGE(observasi1!X34,observasi2!X34))</f>
        <v/>
      </c>
      <c r="Y34" s="178" t="str">
        <f>IF(AND(observasi1!Y34="",observasi2!Y34=""),"",AVERAGE(observasi1!Y34,observasi2!Y34))</f>
        <v/>
      </c>
      <c r="Z34" s="178" t="str">
        <f>IF(AND(observasi1!Z34="",observasi2!Z34=""),"",AVERAGE(observasi1!Z34,observasi2!Z34))</f>
        <v/>
      </c>
      <c r="AA34" s="178" t="str">
        <f>IF(AND(observasi1!AA34="",observasi2!AA34=""),"",AVERAGE(observasi1!AA34,observasi2!AA34))</f>
        <v/>
      </c>
      <c r="AB34" s="178" t="str">
        <f>IF(AND(observasi1!AB34="",observasi2!AB34=""),"",AVERAGE(observasi1!AB34,observasi2!AB34))</f>
        <v/>
      </c>
      <c r="AC34" s="178" t="str">
        <f>IF(AND(observasi1!AC34="",observasi2!AC34=""),"",AVERAGE(observasi1!AC34,observasi2!AC34))</f>
        <v/>
      </c>
      <c r="AD34" s="178" t="str">
        <f>IF(AND(observasi1!AD34="",observasi2!AD34=""),"",AVERAGE(observasi1!AD34,observasi2!AD34))</f>
        <v/>
      </c>
      <c r="AE34" s="178" t="str">
        <f>IF(AND(observasi1!AE34="",observasi2!AE34=""),"",AVERAGE(observasi1!AE34,observasi2!AE34))</f>
        <v/>
      </c>
      <c r="AF34" s="178" t="str">
        <f>IF(AND(observasi1!AF34="",observasi2!AF34=""),"",AVERAGE(observasi1!AF34,observasi2!AF34))</f>
        <v/>
      </c>
      <c r="AG34" s="178" t="str">
        <f>IF(AND(observasi1!AG34="",observasi2!AG34=""),"",AVERAGE(observasi1!AG34,observasi2!AG34))</f>
        <v/>
      </c>
      <c r="AH34" s="178" t="str">
        <f>IF(AND(observasi1!AH34="",observasi2!AH34=""),"",AVERAGE(observasi1!AH34,observasi2!AH34))</f>
        <v/>
      </c>
      <c r="AI34" s="178" t="str">
        <f>IF(AND(observasi1!AI34="",observasi2!AI34=""),"",AVERAGE(observasi1!AI34,observasi2!AI34))</f>
        <v/>
      </c>
      <c r="AJ34" s="178" t="str">
        <f>IF(AND(observasi1!AJ34="",observasi2!AJ34=""),"",AVERAGE(observasi1!AJ34,observasi2!AJ34))</f>
        <v/>
      </c>
      <c r="AK34" s="178" t="str">
        <f>IF(AND(observasi1!AK34="",observasi2!AK34=""),"",AVERAGE(observasi1!AK34,observasi2!AK34))</f>
        <v/>
      </c>
      <c r="AL34" s="178" t="str">
        <f>IF(AND(observasi1!AL34="",observasi2!AL34=""),"",AVERAGE(observasi1!AL34,observasi2!AL34))</f>
        <v/>
      </c>
      <c r="AM34" s="178" t="str">
        <f>IF(AND(observasi1!AM34="",observasi2!AM34=""),"",AVERAGE(observasi1!AM34,observasi2!AM34))</f>
        <v/>
      </c>
      <c r="AN34" s="178" t="str">
        <f>IF(AND(observasi1!AN34="",observasi2!AN34=""),"",AVERAGE(observasi1!AN34,observasi2!AN34))</f>
        <v/>
      </c>
      <c r="AO34" s="178" t="str">
        <f>IF(AND(observasi1!AO34="",observasi2!AO34=""),"",AVERAGE(observasi1!AO34,observasi2!AO34))</f>
        <v/>
      </c>
      <c r="AP34" s="178" t="str">
        <f>IF(AND(observasi1!AP34="",observasi2!AP34=""),"",AVERAGE(observasi1!AP34,observasi2!AP34))</f>
        <v/>
      </c>
      <c r="AQ34" s="178" t="str">
        <f>IF(AND(observasi1!AQ34="",observasi2!AQ34=""),"",AVERAGE(observasi1!AQ34,observasi2!AQ34))</f>
        <v/>
      </c>
      <c r="AR34" s="178" t="str">
        <f>IF(AND(observasi1!AR34="",observasi2!AR34=""),"",AVERAGE(observasi1!AR34,observasi2!AR34))</f>
        <v/>
      </c>
      <c r="AS34" s="178" t="str">
        <f>IF(AND(observasi1!AS34="",observasi2!AS34=""),"",AVERAGE(observasi1!AS34,observasi2!AS34))</f>
        <v/>
      </c>
      <c r="AT34" s="178" t="str">
        <f>IF(AND(observasi1!AT34="",observasi2!AT34=""),"",AVERAGE(observasi1!AT34,observasi2!AT34))</f>
        <v/>
      </c>
      <c r="AU34" s="178" t="str">
        <f>IF(AND(observasi1!AU34="",observasi2!AU34=""),"",AVERAGE(observasi1!AU34,observasi2!AU34))</f>
        <v/>
      </c>
      <c r="AV34" s="178" t="str">
        <f>IF(AND(observasi1!AV34="",observasi2!AV34=""),"",AVERAGE(observasi1!AV34,observasi2!AV34))</f>
        <v/>
      </c>
      <c r="AW34" s="178" t="str">
        <f>IF(AND(observasi1!AW34="",observasi2!AW34=""),"",AVERAGE(observasi1!AW34,observasi2!AW34))</f>
        <v/>
      </c>
      <c r="AX34" s="178" t="str">
        <f>IF(AND(observasi1!AX34="",observasi2!AX34=""),"",AVERAGE(observasi1!AX34,observasi2!AX34))</f>
        <v/>
      </c>
      <c r="AY34" s="178" t="str">
        <f>IF(AND(observasi1!AY34="",observasi2!AY34=""),"",AVERAGE(observasi1!AY34,observasi2!AY34))</f>
        <v/>
      </c>
    </row>
    <row r="35" spans="1:51">
      <c r="A35" s="617"/>
      <c r="B35" s="166"/>
      <c r="C35" s="167"/>
      <c r="D35" s="171" t="str">
        <f>IF(AND(D30="",D31="",D32="",D33="",D34=""),"",AVERAGE(D30:D34))</f>
        <v/>
      </c>
      <c r="E35" s="171" t="str">
        <f t="shared" ref="E35:AY35" si="4">IF(AND(E30="",E31="",E32="",E33="",E34=""),"",AVERAGE(E30:E34))</f>
        <v/>
      </c>
      <c r="F35" s="171" t="str">
        <f t="shared" si="4"/>
        <v/>
      </c>
      <c r="G35" s="171" t="str">
        <f t="shared" si="4"/>
        <v/>
      </c>
      <c r="H35" s="171" t="str">
        <f t="shared" si="4"/>
        <v/>
      </c>
      <c r="I35" s="171" t="str">
        <f t="shared" si="4"/>
        <v/>
      </c>
      <c r="J35" s="171" t="str">
        <f t="shared" si="4"/>
        <v/>
      </c>
      <c r="K35" s="171" t="str">
        <f t="shared" si="4"/>
        <v/>
      </c>
      <c r="L35" s="171" t="str">
        <f t="shared" si="4"/>
        <v/>
      </c>
      <c r="M35" s="171" t="str">
        <f t="shared" si="4"/>
        <v/>
      </c>
      <c r="N35" s="171" t="str">
        <f t="shared" si="4"/>
        <v/>
      </c>
      <c r="O35" s="171" t="str">
        <f t="shared" si="4"/>
        <v/>
      </c>
      <c r="P35" s="171" t="str">
        <f t="shared" si="4"/>
        <v/>
      </c>
      <c r="Q35" s="171" t="str">
        <f t="shared" si="4"/>
        <v/>
      </c>
      <c r="R35" s="171" t="str">
        <f t="shared" si="4"/>
        <v/>
      </c>
      <c r="S35" s="171" t="str">
        <f t="shared" si="4"/>
        <v/>
      </c>
      <c r="T35" s="171" t="str">
        <f t="shared" si="4"/>
        <v/>
      </c>
      <c r="U35" s="171" t="str">
        <f t="shared" si="4"/>
        <v/>
      </c>
      <c r="V35" s="171" t="str">
        <f t="shared" si="4"/>
        <v/>
      </c>
      <c r="W35" s="171" t="str">
        <f t="shared" si="4"/>
        <v/>
      </c>
      <c r="X35" s="171" t="str">
        <f t="shared" si="4"/>
        <v/>
      </c>
      <c r="Y35" s="171" t="str">
        <f t="shared" si="4"/>
        <v/>
      </c>
      <c r="Z35" s="171" t="str">
        <f t="shared" si="4"/>
        <v/>
      </c>
      <c r="AA35" s="171" t="str">
        <f t="shared" si="4"/>
        <v/>
      </c>
      <c r="AB35" s="171" t="str">
        <f t="shared" si="4"/>
        <v/>
      </c>
      <c r="AC35" s="171" t="str">
        <f t="shared" si="4"/>
        <v/>
      </c>
      <c r="AD35" s="171" t="str">
        <f t="shared" si="4"/>
        <v/>
      </c>
      <c r="AE35" s="171" t="str">
        <f t="shared" si="4"/>
        <v/>
      </c>
      <c r="AF35" s="171" t="str">
        <f t="shared" si="4"/>
        <v/>
      </c>
      <c r="AG35" s="171" t="str">
        <f t="shared" si="4"/>
        <v/>
      </c>
      <c r="AH35" s="171" t="str">
        <f t="shared" si="4"/>
        <v/>
      </c>
      <c r="AI35" s="171" t="str">
        <f t="shared" si="4"/>
        <v/>
      </c>
      <c r="AJ35" s="171" t="str">
        <f t="shared" si="4"/>
        <v/>
      </c>
      <c r="AK35" s="171" t="str">
        <f t="shared" si="4"/>
        <v/>
      </c>
      <c r="AL35" s="171" t="str">
        <f t="shared" si="4"/>
        <v/>
      </c>
      <c r="AM35" s="171" t="str">
        <f t="shared" si="4"/>
        <v/>
      </c>
      <c r="AN35" s="171" t="str">
        <f t="shared" si="4"/>
        <v/>
      </c>
      <c r="AO35" s="171" t="str">
        <f t="shared" si="4"/>
        <v/>
      </c>
      <c r="AP35" s="171" t="str">
        <f t="shared" si="4"/>
        <v/>
      </c>
      <c r="AQ35" s="171" t="str">
        <f t="shared" si="4"/>
        <v/>
      </c>
      <c r="AR35" s="171" t="str">
        <f t="shared" si="4"/>
        <v/>
      </c>
      <c r="AS35" s="171" t="str">
        <f t="shared" si="4"/>
        <v/>
      </c>
      <c r="AT35" s="171" t="str">
        <f t="shared" si="4"/>
        <v/>
      </c>
      <c r="AU35" s="171" t="str">
        <f t="shared" si="4"/>
        <v/>
      </c>
      <c r="AV35" s="171" t="str">
        <f t="shared" si="4"/>
        <v/>
      </c>
      <c r="AW35" s="171" t="str">
        <f t="shared" si="4"/>
        <v/>
      </c>
      <c r="AX35" s="171" t="str">
        <f t="shared" si="4"/>
        <v/>
      </c>
      <c r="AY35" s="171" t="str">
        <f t="shared" si="4"/>
        <v/>
      </c>
    </row>
    <row r="36" spans="1:51" ht="15" customHeight="1">
      <c r="A36" s="618" t="s">
        <v>184</v>
      </c>
      <c r="B36" s="164" t="s">
        <v>185</v>
      </c>
      <c r="C36" s="165" t="s">
        <v>84</v>
      </c>
      <c r="D36" s="178" t="str">
        <f>IF(AND(observasi1!D36="",observasi2!D36=""),"",AVERAGE(observasi1!D36,observasi2!D36))</f>
        <v/>
      </c>
      <c r="E36" s="178" t="str">
        <f>IF(AND(observasi1!E36="",observasi2!E36=""),"",AVERAGE(observasi1!E36,observasi2!E36))</f>
        <v/>
      </c>
      <c r="F36" s="178" t="str">
        <f>IF(AND(observasi1!F36="",observasi2!F36=""),"",AVERAGE(observasi1!F36,observasi2!F36))</f>
        <v/>
      </c>
      <c r="G36" s="178" t="str">
        <f>IF(AND(observasi1!G36="",observasi2!G36=""),"",AVERAGE(observasi1!G36,observasi2!G36))</f>
        <v/>
      </c>
      <c r="H36" s="178" t="str">
        <f>IF(AND(observasi1!H36="",observasi2!H36=""),"",AVERAGE(observasi1!H36,observasi2!H36))</f>
        <v/>
      </c>
      <c r="I36" s="178" t="str">
        <f>IF(AND(observasi1!I36="",observasi2!I36=""),"",AVERAGE(observasi1!I36,observasi2!I36))</f>
        <v/>
      </c>
      <c r="J36" s="178" t="str">
        <f>IF(AND(observasi1!J36="",observasi2!J36=""),"",AVERAGE(observasi1!J36,observasi2!J36))</f>
        <v/>
      </c>
      <c r="K36" s="178" t="str">
        <f>IF(AND(observasi1!K36="",observasi2!K36=""),"",AVERAGE(observasi1!K36,observasi2!K36))</f>
        <v/>
      </c>
      <c r="L36" s="178" t="str">
        <f>IF(AND(observasi1!L36="",observasi2!L36=""),"",AVERAGE(observasi1!L36,observasi2!L36))</f>
        <v/>
      </c>
      <c r="M36" s="178" t="str">
        <f>IF(AND(observasi1!M36="",observasi2!M36=""),"",AVERAGE(observasi1!M36,observasi2!M36))</f>
        <v/>
      </c>
      <c r="N36" s="178" t="str">
        <f>IF(AND(observasi1!N36="",observasi2!N36=""),"",AVERAGE(observasi1!N36,observasi2!N36))</f>
        <v/>
      </c>
      <c r="O36" s="178" t="str">
        <f>IF(AND(observasi1!O36="",observasi2!O36=""),"",AVERAGE(observasi1!O36,observasi2!O36))</f>
        <v/>
      </c>
      <c r="P36" s="178" t="str">
        <f>IF(AND(observasi1!P36="",observasi2!P36=""),"",AVERAGE(observasi1!P36,observasi2!P36))</f>
        <v/>
      </c>
      <c r="Q36" s="178" t="str">
        <f>IF(AND(observasi1!Q36="",observasi2!Q36=""),"",AVERAGE(observasi1!Q36,observasi2!Q36))</f>
        <v/>
      </c>
      <c r="R36" s="178" t="str">
        <f>IF(AND(observasi1!R36="",observasi2!R36=""),"",AVERAGE(observasi1!R36,observasi2!R36))</f>
        <v/>
      </c>
      <c r="S36" s="178" t="str">
        <f>IF(AND(observasi1!S36="",observasi2!S36=""),"",AVERAGE(observasi1!S36,observasi2!S36))</f>
        <v/>
      </c>
      <c r="T36" s="178" t="str">
        <f>IF(AND(observasi1!T36="",observasi2!T36=""),"",AVERAGE(observasi1!T36,observasi2!T36))</f>
        <v/>
      </c>
      <c r="U36" s="178" t="str">
        <f>IF(AND(observasi1!U36="",observasi2!U36=""),"",AVERAGE(observasi1!U36,observasi2!U36))</f>
        <v/>
      </c>
      <c r="V36" s="178" t="str">
        <f>IF(AND(observasi1!V36="",observasi2!V36=""),"",AVERAGE(observasi1!V36,observasi2!V36))</f>
        <v/>
      </c>
      <c r="W36" s="178" t="str">
        <f>IF(AND(observasi1!W36="",observasi2!W36=""),"",AVERAGE(observasi1!W36,observasi2!W36))</f>
        <v/>
      </c>
      <c r="X36" s="178" t="str">
        <f>IF(AND(observasi1!X36="",observasi2!X36=""),"",AVERAGE(observasi1!X36,observasi2!X36))</f>
        <v/>
      </c>
      <c r="Y36" s="178" t="str">
        <f>IF(AND(observasi1!Y36="",observasi2!Y36=""),"",AVERAGE(observasi1!Y36,observasi2!Y36))</f>
        <v/>
      </c>
      <c r="Z36" s="178" t="str">
        <f>IF(AND(observasi1!Z36="",observasi2!Z36=""),"",AVERAGE(observasi1!Z36,observasi2!Z36))</f>
        <v/>
      </c>
      <c r="AA36" s="178" t="str">
        <f>IF(AND(observasi1!AA36="",observasi2!AA36=""),"",AVERAGE(observasi1!AA36,observasi2!AA36))</f>
        <v/>
      </c>
      <c r="AB36" s="178" t="str">
        <f>IF(AND(observasi1!AB36="",observasi2!AB36=""),"",AVERAGE(observasi1!AB36,observasi2!AB36))</f>
        <v/>
      </c>
      <c r="AC36" s="178" t="str">
        <f>IF(AND(observasi1!AC36="",observasi2!AC36=""),"",AVERAGE(observasi1!AC36,observasi2!AC36))</f>
        <v/>
      </c>
      <c r="AD36" s="178" t="str">
        <f>IF(AND(observasi1!AD36="",observasi2!AD36=""),"",AVERAGE(observasi1!AD36,observasi2!AD36))</f>
        <v/>
      </c>
      <c r="AE36" s="178" t="str">
        <f>IF(AND(observasi1!AE36="",observasi2!AE36=""),"",AVERAGE(observasi1!AE36,observasi2!AE36))</f>
        <v/>
      </c>
      <c r="AF36" s="178" t="str">
        <f>IF(AND(observasi1!AF36="",observasi2!AF36=""),"",AVERAGE(observasi1!AF36,observasi2!AF36))</f>
        <v/>
      </c>
      <c r="AG36" s="178" t="str">
        <f>IF(AND(observasi1!AG36="",observasi2!AG36=""),"",AVERAGE(observasi1!AG36,observasi2!AG36))</f>
        <v/>
      </c>
      <c r="AH36" s="178" t="str">
        <f>IF(AND(observasi1!AH36="",observasi2!AH36=""),"",AVERAGE(observasi1!AH36,observasi2!AH36))</f>
        <v/>
      </c>
      <c r="AI36" s="178" t="str">
        <f>IF(AND(observasi1!AI36="",observasi2!AI36=""),"",AVERAGE(observasi1!AI36,observasi2!AI36))</f>
        <v/>
      </c>
      <c r="AJ36" s="178" t="str">
        <f>IF(AND(observasi1!AJ36="",observasi2!AJ36=""),"",AVERAGE(observasi1!AJ36,observasi2!AJ36))</f>
        <v/>
      </c>
      <c r="AK36" s="178" t="str">
        <f>IF(AND(observasi1!AK36="",observasi2!AK36=""),"",AVERAGE(observasi1!AK36,observasi2!AK36))</f>
        <v/>
      </c>
      <c r="AL36" s="178" t="str">
        <f>IF(AND(observasi1!AL36="",observasi2!AL36=""),"",AVERAGE(observasi1!AL36,observasi2!AL36))</f>
        <v/>
      </c>
      <c r="AM36" s="178" t="str">
        <f>IF(AND(observasi1!AM36="",observasi2!AM36=""),"",AVERAGE(observasi1!AM36,observasi2!AM36))</f>
        <v/>
      </c>
      <c r="AN36" s="178" t="str">
        <f>IF(AND(observasi1!AN36="",observasi2!AN36=""),"",AVERAGE(observasi1!AN36,observasi2!AN36))</f>
        <v/>
      </c>
      <c r="AO36" s="178" t="str">
        <f>IF(AND(observasi1!AO36="",observasi2!AO36=""),"",AVERAGE(observasi1!AO36,observasi2!AO36))</f>
        <v/>
      </c>
      <c r="AP36" s="178" t="str">
        <f>IF(AND(observasi1!AP36="",observasi2!AP36=""),"",AVERAGE(observasi1!AP36,observasi2!AP36))</f>
        <v/>
      </c>
      <c r="AQ36" s="178" t="str">
        <f>IF(AND(observasi1!AQ36="",observasi2!AQ36=""),"",AVERAGE(observasi1!AQ36,observasi2!AQ36))</f>
        <v/>
      </c>
      <c r="AR36" s="178" t="str">
        <f>IF(AND(observasi1!AR36="",observasi2!AR36=""),"",AVERAGE(observasi1!AR36,observasi2!AR36))</f>
        <v/>
      </c>
      <c r="AS36" s="178" t="str">
        <f>IF(AND(observasi1!AS36="",observasi2!AS36=""),"",AVERAGE(observasi1!AS36,observasi2!AS36))</f>
        <v/>
      </c>
      <c r="AT36" s="178" t="str">
        <f>IF(AND(observasi1!AT36="",observasi2!AT36=""),"",AVERAGE(observasi1!AT36,observasi2!AT36))</f>
        <v/>
      </c>
      <c r="AU36" s="178" t="str">
        <f>IF(AND(observasi1!AU36="",observasi2!AU36=""),"",AVERAGE(observasi1!AU36,observasi2!AU36))</f>
        <v/>
      </c>
      <c r="AV36" s="178" t="str">
        <f>IF(AND(observasi1!AV36="",observasi2!AV36=""),"",AVERAGE(observasi1!AV36,observasi2!AV36))</f>
        <v/>
      </c>
      <c r="AW36" s="178" t="str">
        <f>IF(AND(observasi1!AW36="",observasi2!AW36=""),"",AVERAGE(observasi1!AW36,observasi2!AW36))</f>
        <v/>
      </c>
      <c r="AX36" s="178" t="str">
        <f>IF(AND(observasi1!AX36="",observasi2!AX36=""),"",AVERAGE(observasi1!AX36,observasi2!AX36))</f>
        <v/>
      </c>
      <c r="AY36" s="178" t="str">
        <f>IF(AND(observasi1!AY36="",observasi2!AY36=""),"",AVERAGE(observasi1!AY36,observasi2!AY36))</f>
        <v/>
      </c>
    </row>
    <row r="37" spans="1:51">
      <c r="A37" s="618"/>
      <c r="B37" s="164" t="s">
        <v>186</v>
      </c>
      <c r="C37" s="165" t="s">
        <v>187</v>
      </c>
      <c r="D37" s="178" t="str">
        <f>IF(AND(observasi1!D37="",observasi2!D37=""),"",AVERAGE(observasi1!D37,observasi2!D37))</f>
        <v/>
      </c>
      <c r="E37" s="178" t="str">
        <f>IF(AND(observasi1!E37="",observasi2!E37=""),"",AVERAGE(observasi1!E37,observasi2!E37))</f>
        <v/>
      </c>
      <c r="F37" s="178" t="str">
        <f>IF(AND(observasi1!F37="",observasi2!F37=""),"",AVERAGE(observasi1!F37,observasi2!F37))</f>
        <v/>
      </c>
      <c r="G37" s="178" t="str">
        <f>IF(AND(observasi1!G37="",observasi2!G37=""),"",AVERAGE(observasi1!G37,observasi2!G37))</f>
        <v/>
      </c>
      <c r="H37" s="178" t="str">
        <f>IF(AND(observasi1!H37="",observasi2!H37=""),"",AVERAGE(observasi1!H37,observasi2!H37))</f>
        <v/>
      </c>
      <c r="I37" s="178" t="str">
        <f>IF(AND(observasi1!I37="",observasi2!I37=""),"",AVERAGE(observasi1!I37,observasi2!I37))</f>
        <v/>
      </c>
      <c r="J37" s="178" t="str">
        <f>IF(AND(observasi1!J37="",observasi2!J37=""),"",AVERAGE(observasi1!J37,observasi2!J37))</f>
        <v/>
      </c>
      <c r="K37" s="178" t="str">
        <f>IF(AND(observasi1!K37="",observasi2!K37=""),"",AVERAGE(observasi1!K37,observasi2!K37))</f>
        <v/>
      </c>
      <c r="L37" s="178" t="str">
        <f>IF(AND(observasi1!L37="",observasi2!L37=""),"",AVERAGE(observasi1!L37,observasi2!L37))</f>
        <v/>
      </c>
      <c r="M37" s="178" t="str">
        <f>IF(AND(observasi1!M37="",observasi2!M37=""),"",AVERAGE(observasi1!M37,observasi2!M37))</f>
        <v/>
      </c>
      <c r="N37" s="178" t="str">
        <f>IF(AND(observasi1!N37="",observasi2!N37=""),"",AVERAGE(observasi1!N37,observasi2!N37))</f>
        <v/>
      </c>
      <c r="O37" s="178" t="str">
        <f>IF(AND(observasi1!O37="",observasi2!O37=""),"",AVERAGE(observasi1!O37,observasi2!O37))</f>
        <v/>
      </c>
      <c r="P37" s="178" t="str">
        <f>IF(AND(observasi1!P37="",observasi2!P37=""),"",AVERAGE(observasi1!P37,observasi2!P37))</f>
        <v/>
      </c>
      <c r="Q37" s="178" t="str">
        <f>IF(AND(observasi1!Q37="",observasi2!Q37=""),"",AVERAGE(observasi1!Q37,observasi2!Q37))</f>
        <v/>
      </c>
      <c r="R37" s="178" t="str">
        <f>IF(AND(observasi1!R37="",observasi2!R37=""),"",AVERAGE(observasi1!R37,observasi2!R37))</f>
        <v/>
      </c>
      <c r="S37" s="178" t="str">
        <f>IF(AND(observasi1!S37="",observasi2!S37=""),"",AVERAGE(observasi1!S37,observasi2!S37))</f>
        <v/>
      </c>
      <c r="T37" s="178" t="str">
        <f>IF(AND(observasi1!T37="",observasi2!T37=""),"",AVERAGE(observasi1!T37,observasi2!T37))</f>
        <v/>
      </c>
      <c r="U37" s="178" t="str">
        <f>IF(AND(observasi1!U37="",observasi2!U37=""),"",AVERAGE(observasi1!U37,observasi2!U37))</f>
        <v/>
      </c>
      <c r="V37" s="178" t="str">
        <f>IF(AND(observasi1!V37="",observasi2!V37=""),"",AVERAGE(observasi1!V37,observasi2!V37))</f>
        <v/>
      </c>
      <c r="W37" s="178" t="str">
        <f>IF(AND(observasi1!W37="",observasi2!W37=""),"",AVERAGE(observasi1!W37,observasi2!W37))</f>
        <v/>
      </c>
      <c r="X37" s="178" t="str">
        <f>IF(AND(observasi1!X37="",observasi2!X37=""),"",AVERAGE(observasi1!X37,observasi2!X37))</f>
        <v/>
      </c>
      <c r="Y37" s="178" t="str">
        <f>IF(AND(observasi1!Y37="",observasi2!Y37=""),"",AVERAGE(observasi1!Y37,observasi2!Y37))</f>
        <v/>
      </c>
      <c r="Z37" s="178" t="str">
        <f>IF(AND(observasi1!Z37="",observasi2!Z37=""),"",AVERAGE(observasi1!Z37,observasi2!Z37))</f>
        <v/>
      </c>
      <c r="AA37" s="178" t="str">
        <f>IF(AND(observasi1!AA37="",observasi2!AA37=""),"",AVERAGE(observasi1!AA37,observasi2!AA37))</f>
        <v/>
      </c>
      <c r="AB37" s="178" t="str">
        <f>IF(AND(observasi1!AB37="",observasi2!AB37=""),"",AVERAGE(observasi1!AB37,observasi2!AB37))</f>
        <v/>
      </c>
      <c r="AC37" s="178" t="str">
        <f>IF(AND(observasi1!AC37="",observasi2!AC37=""),"",AVERAGE(observasi1!AC37,observasi2!AC37))</f>
        <v/>
      </c>
      <c r="AD37" s="178" t="str">
        <f>IF(AND(observasi1!AD37="",observasi2!AD37=""),"",AVERAGE(observasi1!AD37,observasi2!AD37))</f>
        <v/>
      </c>
      <c r="AE37" s="178" t="str">
        <f>IF(AND(observasi1!AE37="",observasi2!AE37=""),"",AVERAGE(observasi1!AE37,observasi2!AE37))</f>
        <v/>
      </c>
      <c r="AF37" s="178" t="str">
        <f>IF(AND(observasi1!AF37="",observasi2!AF37=""),"",AVERAGE(observasi1!AF37,observasi2!AF37))</f>
        <v/>
      </c>
      <c r="AG37" s="178" t="str">
        <f>IF(AND(observasi1!AG37="",observasi2!AG37=""),"",AVERAGE(observasi1!AG37,observasi2!AG37))</f>
        <v/>
      </c>
      <c r="AH37" s="178" t="str">
        <f>IF(AND(observasi1!AH37="",observasi2!AH37=""),"",AVERAGE(observasi1!AH37,observasi2!AH37))</f>
        <v/>
      </c>
      <c r="AI37" s="178" t="str">
        <f>IF(AND(observasi1!AI37="",observasi2!AI37=""),"",AVERAGE(observasi1!AI37,observasi2!AI37))</f>
        <v/>
      </c>
      <c r="AJ37" s="178" t="str">
        <f>IF(AND(observasi1!AJ37="",observasi2!AJ37=""),"",AVERAGE(observasi1!AJ37,observasi2!AJ37))</f>
        <v/>
      </c>
      <c r="AK37" s="178" t="str">
        <f>IF(AND(observasi1!AK37="",observasi2!AK37=""),"",AVERAGE(observasi1!AK37,observasi2!AK37))</f>
        <v/>
      </c>
      <c r="AL37" s="178" t="str">
        <f>IF(AND(observasi1!AL37="",observasi2!AL37=""),"",AVERAGE(observasi1!AL37,observasi2!AL37))</f>
        <v/>
      </c>
      <c r="AM37" s="178" t="str">
        <f>IF(AND(observasi1!AM37="",observasi2!AM37=""),"",AVERAGE(observasi1!AM37,observasi2!AM37))</f>
        <v/>
      </c>
      <c r="AN37" s="178" t="str">
        <f>IF(AND(observasi1!AN37="",observasi2!AN37=""),"",AVERAGE(observasi1!AN37,observasi2!AN37))</f>
        <v/>
      </c>
      <c r="AO37" s="178" t="str">
        <f>IF(AND(observasi1!AO37="",observasi2!AO37=""),"",AVERAGE(observasi1!AO37,observasi2!AO37))</f>
        <v/>
      </c>
      <c r="AP37" s="178" t="str">
        <f>IF(AND(observasi1!AP37="",observasi2!AP37=""),"",AVERAGE(observasi1!AP37,observasi2!AP37))</f>
        <v/>
      </c>
      <c r="AQ37" s="178" t="str">
        <f>IF(AND(observasi1!AQ37="",observasi2!AQ37=""),"",AVERAGE(observasi1!AQ37,observasi2!AQ37))</f>
        <v/>
      </c>
      <c r="AR37" s="178" t="str">
        <f>IF(AND(observasi1!AR37="",observasi2!AR37=""),"",AVERAGE(observasi1!AR37,observasi2!AR37))</f>
        <v/>
      </c>
      <c r="AS37" s="178" t="str">
        <f>IF(AND(observasi1!AS37="",observasi2!AS37=""),"",AVERAGE(observasi1!AS37,observasi2!AS37))</f>
        <v/>
      </c>
      <c r="AT37" s="178" t="str">
        <f>IF(AND(observasi1!AT37="",observasi2!AT37=""),"",AVERAGE(observasi1!AT37,observasi2!AT37))</f>
        <v/>
      </c>
      <c r="AU37" s="178" t="str">
        <f>IF(AND(observasi1!AU37="",observasi2!AU37=""),"",AVERAGE(observasi1!AU37,observasi2!AU37))</f>
        <v/>
      </c>
      <c r="AV37" s="178" t="str">
        <f>IF(AND(observasi1!AV37="",observasi2!AV37=""),"",AVERAGE(observasi1!AV37,observasi2!AV37))</f>
        <v/>
      </c>
      <c r="AW37" s="178" t="str">
        <f>IF(AND(observasi1!AW37="",observasi2!AW37=""),"",AVERAGE(observasi1!AW37,observasi2!AW37))</f>
        <v/>
      </c>
      <c r="AX37" s="178" t="str">
        <f>IF(AND(observasi1!AX37="",observasi2!AX37=""),"",AVERAGE(observasi1!AX37,observasi2!AX37))</f>
        <v/>
      </c>
      <c r="AY37" s="178" t="str">
        <f>IF(AND(observasi1!AY37="",observasi2!AY37=""),"",AVERAGE(observasi1!AY37,observasi2!AY37))</f>
        <v/>
      </c>
    </row>
    <row r="38" spans="1:51">
      <c r="A38" s="618"/>
      <c r="B38" s="164" t="s">
        <v>188</v>
      </c>
      <c r="C38" s="165" t="s">
        <v>86</v>
      </c>
      <c r="D38" s="178" t="str">
        <f>IF(AND(observasi1!D38="",observasi2!D38=""),"",AVERAGE(observasi1!D38,observasi2!D38))</f>
        <v/>
      </c>
      <c r="E38" s="178" t="str">
        <f>IF(AND(observasi1!E38="",observasi2!E38=""),"",AVERAGE(observasi1!E38,observasi2!E38))</f>
        <v/>
      </c>
      <c r="F38" s="178" t="str">
        <f>IF(AND(observasi1!F38="",observasi2!F38=""),"",AVERAGE(observasi1!F38,observasi2!F38))</f>
        <v/>
      </c>
      <c r="G38" s="178" t="str">
        <f>IF(AND(observasi1!G38="",observasi2!G38=""),"",AVERAGE(observasi1!G38,observasi2!G38))</f>
        <v/>
      </c>
      <c r="H38" s="178" t="str">
        <f>IF(AND(observasi1!H38="",observasi2!H38=""),"",AVERAGE(observasi1!H38,observasi2!H38))</f>
        <v/>
      </c>
      <c r="I38" s="178" t="str">
        <f>IF(AND(observasi1!I38="",observasi2!I38=""),"",AVERAGE(observasi1!I38,observasi2!I38))</f>
        <v/>
      </c>
      <c r="J38" s="178" t="str">
        <f>IF(AND(observasi1!J38="",observasi2!J38=""),"",AVERAGE(observasi1!J38,observasi2!J38))</f>
        <v/>
      </c>
      <c r="K38" s="178" t="str">
        <f>IF(AND(observasi1!K38="",observasi2!K38=""),"",AVERAGE(observasi1!K38,observasi2!K38))</f>
        <v/>
      </c>
      <c r="L38" s="178" t="str">
        <f>IF(AND(observasi1!L38="",observasi2!L38=""),"",AVERAGE(observasi1!L38,observasi2!L38))</f>
        <v/>
      </c>
      <c r="M38" s="178" t="str">
        <f>IF(AND(observasi1!M38="",observasi2!M38=""),"",AVERAGE(observasi1!M38,observasi2!M38))</f>
        <v/>
      </c>
      <c r="N38" s="178" t="str">
        <f>IF(AND(observasi1!N38="",observasi2!N38=""),"",AVERAGE(observasi1!N38,observasi2!N38))</f>
        <v/>
      </c>
      <c r="O38" s="178" t="str">
        <f>IF(AND(observasi1!O38="",observasi2!O38=""),"",AVERAGE(observasi1!O38,observasi2!O38))</f>
        <v/>
      </c>
      <c r="P38" s="178" t="str">
        <f>IF(AND(observasi1!P38="",observasi2!P38=""),"",AVERAGE(observasi1!P38,observasi2!P38))</f>
        <v/>
      </c>
      <c r="Q38" s="178" t="str">
        <f>IF(AND(observasi1!Q38="",observasi2!Q38=""),"",AVERAGE(observasi1!Q38,observasi2!Q38))</f>
        <v/>
      </c>
      <c r="R38" s="178" t="str">
        <f>IF(AND(observasi1!R38="",observasi2!R38=""),"",AVERAGE(observasi1!R38,observasi2!R38))</f>
        <v/>
      </c>
      <c r="S38" s="178" t="str">
        <f>IF(AND(observasi1!S38="",observasi2!S38=""),"",AVERAGE(observasi1!S38,observasi2!S38))</f>
        <v/>
      </c>
      <c r="T38" s="178" t="str">
        <f>IF(AND(observasi1!T38="",observasi2!T38=""),"",AVERAGE(observasi1!T38,observasi2!T38))</f>
        <v/>
      </c>
      <c r="U38" s="178" t="str">
        <f>IF(AND(observasi1!U38="",observasi2!U38=""),"",AVERAGE(observasi1!U38,observasi2!U38))</f>
        <v/>
      </c>
      <c r="V38" s="178" t="str">
        <f>IF(AND(observasi1!V38="",observasi2!V38=""),"",AVERAGE(observasi1!V38,observasi2!V38))</f>
        <v/>
      </c>
      <c r="W38" s="178" t="str">
        <f>IF(AND(observasi1!W38="",observasi2!W38=""),"",AVERAGE(observasi1!W38,observasi2!W38))</f>
        <v/>
      </c>
      <c r="X38" s="178" t="str">
        <f>IF(AND(observasi1!X38="",observasi2!X38=""),"",AVERAGE(observasi1!X38,observasi2!X38))</f>
        <v/>
      </c>
      <c r="Y38" s="178" t="str">
        <f>IF(AND(observasi1!Y38="",observasi2!Y38=""),"",AVERAGE(observasi1!Y38,observasi2!Y38))</f>
        <v/>
      </c>
      <c r="Z38" s="178" t="str">
        <f>IF(AND(observasi1!Z38="",observasi2!Z38=""),"",AVERAGE(observasi1!Z38,observasi2!Z38))</f>
        <v/>
      </c>
      <c r="AA38" s="178" t="str">
        <f>IF(AND(observasi1!AA38="",observasi2!AA38=""),"",AVERAGE(observasi1!AA38,observasi2!AA38))</f>
        <v/>
      </c>
      <c r="AB38" s="178" t="str">
        <f>IF(AND(observasi1!AB38="",observasi2!AB38=""),"",AVERAGE(observasi1!AB38,observasi2!AB38))</f>
        <v/>
      </c>
      <c r="AC38" s="178" t="str">
        <f>IF(AND(observasi1!AC38="",observasi2!AC38=""),"",AVERAGE(observasi1!AC38,observasi2!AC38))</f>
        <v/>
      </c>
      <c r="AD38" s="178" t="str">
        <f>IF(AND(observasi1!AD38="",observasi2!AD38=""),"",AVERAGE(observasi1!AD38,observasi2!AD38))</f>
        <v/>
      </c>
      <c r="AE38" s="178" t="str">
        <f>IF(AND(observasi1!AE38="",observasi2!AE38=""),"",AVERAGE(observasi1!AE38,observasi2!AE38))</f>
        <v/>
      </c>
      <c r="AF38" s="178" t="str">
        <f>IF(AND(observasi1!AF38="",observasi2!AF38=""),"",AVERAGE(observasi1!AF38,observasi2!AF38))</f>
        <v/>
      </c>
      <c r="AG38" s="178" t="str">
        <f>IF(AND(observasi1!AG38="",observasi2!AG38=""),"",AVERAGE(observasi1!AG38,observasi2!AG38))</f>
        <v/>
      </c>
      <c r="AH38" s="178" t="str">
        <f>IF(AND(observasi1!AH38="",observasi2!AH38=""),"",AVERAGE(observasi1!AH38,observasi2!AH38))</f>
        <v/>
      </c>
      <c r="AI38" s="178" t="str">
        <f>IF(AND(observasi1!AI38="",observasi2!AI38=""),"",AVERAGE(observasi1!AI38,observasi2!AI38))</f>
        <v/>
      </c>
      <c r="AJ38" s="178" t="str">
        <f>IF(AND(observasi1!AJ38="",observasi2!AJ38=""),"",AVERAGE(observasi1!AJ38,observasi2!AJ38))</f>
        <v/>
      </c>
      <c r="AK38" s="178" t="str">
        <f>IF(AND(observasi1!AK38="",observasi2!AK38=""),"",AVERAGE(observasi1!AK38,observasi2!AK38))</f>
        <v/>
      </c>
      <c r="AL38" s="178" t="str">
        <f>IF(AND(observasi1!AL38="",observasi2!AL38=""),"",AVERAGE(observasi1!AL38,observasi2!AL38))</f>
        <v/>
      </c>
      <c r="AM38" s="178" t="str">
        <f>IF(AND(observasi1!AM38="",observasi2!AM38=""),"",AVERAGE(observasi1!AM38,observasi2!AM38))</f>
        <v/>
      </c>
      <c r="AN38" s="178" t="str">
        <f>IF(AND(observasi1!AN38="",observasi2!AN38=""),"",AVERAGE(observasi1!AN38,observasi2!AN38))</f>
        <v/>
      </c>
      <c r="AO38" s="178" t="str">
        <f>IF(AND(observasi1!AO38="",observasi2!AO38=""),"",AVERAGE(observasi1!AO38,observasi2!AO38))</f>
        <v/>
      </c>
      <c r="AP38" s="178" t="str">
        <f>IF(AND(observasi1!AP38="",observasi2!AP38=""),"",AVERAGE(observasi1!AP38,observasi2!AP38))</f>
        <v/>
      </c>
      <c r="AQ38" s="178" t="str">
        <f>IF(AND(observasi1!AQ38="",observasi2!AQ38=""),"",AVERAGE(observasi1!AQ38,observasi2!AQ38))</f>
        <v/>
      </c>
      <c r="AR38" s="178" t="str">
        <f>IF(AND(observasi1!AR38="",observasi2!AR38=""),"",AVERAGE(observasi1!AR38,observasi2!AR38))</f>
        <v/>
      </c>
      <c r="AS38" s="178" t="str">
        <f>IF(AND(observasi1!AS38="",observasi2!AS38=""),"",AVERAGE(observasi1!AS38,observasi2!AS38))</f>
        <v/>
      </c>
      <c r="AT38" s="178" t="str">
        <f>IF(AND(observasi1!AT38="",observasi2!AT38=""),"",AVERAGE(observasi1!AT38,observasi2!AT38))</f>
        <v/>
      </c>
      <c r="AU38" s="178" t="str">
        <f>IF(AND(observasi1!AU38="",observasi2!AU38=""),"",AVERAGE(observasi1!AU38,observasi2!AU38))</f>
        <v/>
      </c>
      <c r="AV38" s="178" t="str">
        <f>IF(AND(observasi1!AV38="",observasi2!AV38=""),"",AVERAGE(observasi1!AV38,observasi2!AV38))</f>
        <v/>
      </c>
      <c r="AW38" s="178" t="str">
        <f>IF(AND(observasi1!AW38="",observasi2!AW38=""),"",AVERAGE(observasi1!AW38,observasi2!AW38))</f>
        <v/>
      </c>
      <c r="AX38" s="178" t="str">
        <f>IF(AND(observasi1!AX38="",observasi2!AX38=""),"",AVERAGE(observasi1!AX38,observasi2!AX38))</f>
        <v/>
      </c>
      <c r="AY38" s="178" t="str">
        <f>IF(AND(observasi1!AY38="",observasi2!AY38=""),"",AVERAGE(observasi1!AY38,observasi2!AY38))</f>
        <v/>
      </c>
    </row>
    <row r="39" spans="1:51">
      <c r="A39" s="618"/>
      <c r="B39" s="164" t="s">
        <v>189</v>
      </c>
      <c r="C39" s="165" t="s">
        <v>190</v>
      </c>
      <c r="D39" s="178" t="str">
        <f>IF(AND(observasi1!D39="",observasi2!D39=""),"",AVERAGE(observasi1!D39,observasi2!D39))</f>
        <v/>
      </c>
      <c r="E39" s="178" t="str">
        <f>IF(AND(observasi1!E39="",observasi2!E39=""),"",AVERAGE(observasi1!E39,observasi2!E39))</f>
        <v/>
      </c>
      <c r="F39" s="178" t="str">
        <f>IF(AND(observasi1!F39="",observasi2!F39=""),"",AVERAGE(observasi1!F39,observasi2!F39))</f>
        <v/>
      </c>
      <c r="G39" s="178" t="str">
        <f>IF(AND(observasi1!G39="",observasi2!G39=""),"",AVERAGE(observasi1!G39,observasi2!G39))</f>
        <v/>
      </c>
      <c r="H39" s="178" t="str">
        <f>IF(AND(observasi1!H39="",observasi2!H39=""),"",AVERAGE(observasi1!H39,observasi2!H39))</f>
        <v/>
      </c>
      <c r="I39" s="178" t="str">
        <f>IF(AND(observasi1!I39="",observasi2!I39=""),"",AVERAGE(observasi1!I39,observasi2!I39))</f>
        <v/>
      </c>
      <c r="J39" s="178" t="str">
        <f>IF(AND(observasi1!J39="",observasi2!J39=""),"",AVERAGE(observasi1!J39,observasi2!J39))</f>
        <v/>
      </c>
      <c r="K39" s="178" t="str">
        <f>IF(AND(observasi1!K39="",observasi2!K39=""),"",AVERAGE(observasi1!K39,observasi2!K39))</f>
        <v/>
      </c>
      <c r="L39" s="178" t="str">
        <f>IF(AND(observasi1!L39="",observasi2!L39=""),"",AVERAGE(observasi1!L39,observasi2!L39))</f>
        <v/>
      </c>
      <c r="M39" s="178" t="str">
        <f>IF(AND(observasi1!M39="",observasi2!M39=""),"",AVERAGE(observasi1!M39,observasi2!M39))</f>
        <v/>
      </c>
      <c r="N39" s="178" t="str">
        <f>IF(AND(observasi1!N39="",observasi2!N39=""),"",AVERAGE(observasi1!N39,observasi2!N39))</f>
        <v/>
      </c>
      <c r="O39" s="178" t="str">
        <f>IF(AND(observasi1!O39="",observasi2!O39=""),"",AVERAGE(observasi1!O39,observasi2!O39))</f>
        <v/>
      </c>
      <c r="P39" s="178" t="str">
        <f>IF(AND(observasi1!P39="",observasi2!P39=""),"",AVERAGE(observasi1!P39,observasi2!P39))</f>
        <v/>
      </c>
      <c r="Q39" s="178" t="str">
        <f>IF(AND(observasi1!Q39="",observasi2!Q39=""),"",AVERAGE(observasi1!Q39,observasi2!Q39))</f>
        <v/>
      </c>
      <c r="R39" s="178" t="str">
        <f>IF(AND(observasi1!R39="",observasi2!R39=""),"",AVERAGE(observasi1!R39,observasi2!R39))</f>
        <v/>
      </c>
      <c r="S39" s="178" t="str">
        <f>IF(AND(observasi1!S39="",observasi2!S39=""),"",AVERAGE(observasi1!S39,observasi2!S39))</f>
        <v/>
      </c>
      <c r="T39" s="178" t="str">
        <f>IF(AND(observasi1!T39="",observasi2!T39=""),"",AVERAGE(observasi1!T39,observasi2!T39))</f>
        <v/>
      </c>
      <c r="U39" s="178" t="str">
        <f>IF(AND(observasi1!U39="",observasi2!U39=""),"",AVERAGE(observasi1!U39,observasi2!U39))</f>
        <v/>
      </c>
      <c r="V39" s="178" t="str">
        <f>IF(AND(observasi1!V39="",observasi2!V39=""),"",AVERAGE(observasi1!V39,observasi2!V39))</f>
        <v/>
      </c>
      <c r="W39" s="178" t="str">
        <f>IF(AND(observasi1!W39="",observasi2!W39=""),"",AVERAGE(observasi1!W39,observasi2!W39))</f>
        <v/>
      </c>
      <c r="X39" s="178" t="str">
        <f>IF(AND(observasi1!X39="",observasi2!X39=""),"",AVERAGE(observasi1!X39,observasi2!X39))</f>
        <v/>
      </c>
      <c r="Y39" s="178" t="str">
        <f>IF(AND(observasi1!Y39="",observasi2!Y39=""),"",AVERAGE(observasi1!Y39,observasi2!Y39))</f>
        <v/>
      </c>
      <c r="Z39" s="178" t="str">
        <f>IF(AND(observasi1!Z39="",observasi2!Z39=""),"",AVERAGE(observasi1!Z39,observasi2!Z39))</f>
        <v/>
      </c>
      <c r="AA39" s="178" t="str">
        <f>IF(AND(observasi1!AA39="",observasi2!AA39=""),"",AVERAGE(observasi1!AA39,observasi2!AA39))</f>
        <v/>
      </c>
      <c r="AB39" s="178" t="str">
        <f>IF(AND(observasi1!AB39="",observasi2!AB39=""),"",AVERAGE(observasi1!AB39,observasi2!AB39))</f>
        <v/>
      </c>
      <c r="AC39" s="178" t="str">
        <f>IF(AND(observasi1!AC39="",observasi2!AC39=""),"",AVERAGE(observasi1!AC39,observasi2!AC39))</f>
        <v/>
      </c>
      <c r="AD39" s="178" t="str">
        <f>IF(AND(observasi1!AD39="",observasi2!AD39=""),"",AVERAGE(observasi1!AD39,observasi2!AD39))</f>
        <v/>
      </c>
      <c r="AE39" s="178" t="str">
        <f>IF(AND(observasi1!AE39="",observasi2!AE39=""),"",AVERAGE(observasi1!AE39,observasi2!AE39))</f>
        <v/>
      </c>
      <c r="AF39" s="178" t="str">
        <f>IF(AND(observasi1!AF39="",observasi2!AF39=""),"",AVERAGE(observasi1!AF39,observasi2!AF39))</f>
        <v/>
      </c>
      <c r="AG39" s="178" t="str">
        <f>IF(AND(observasi1!AG39="",observasi2!AG39=""),"",AVERAGE(observasi1!AG39,observasi2!AG39))</f>
        <v/>
      </c>
      <c r="AH39" s="178" t="str">
        <f>IF(AND(observasi1!AH39="",observasi2!AH39=""),"",AVERAGE(observasi1!AH39,observasi2!AH39))</f>
        <v/>
      </c>
      <c r="AI39" s="178" t="str">
        <f>IF(AND(observasi1!AI39="",observasi2!AI39=""),"",AVERAGE(observasi1!AI39,observasi2!AI39))</f>
        <v/>
      </c>
      <c r="AJ39" s="178" t="str">
        <f>IF(AND(observasi1!AJ39="",observasi2!AJ39=""),"",AVERAGE(observasi1!AJ39,observasi2!AJ39))</f>
        <v/>
      </c>
      <c r="AK39" s="178" t="str">
        <f>IF(AND(observasi1!AK39="",observasi2!AK39=""),"",AVERAGE(observasi1!AK39,observasi2!AK39))</f>
        <v/>
      </c>
      <c r="AL39" s="178" t="str">
        <f>IF(AND(observasi1!AL39="",observasi2!AL39=""),"",AVERAGE(observasi1!AL39,observasi2!AL39))</f>
        <v/>
      </c>
      <c r="AM39" s="178" t="str">
        <f>IF(AND(observasi1!AM39="",observasi2!AM39=""),"",AVERAGE(observasi1!AM39,observasi2!AM39))</f>
        <v/>
      </c>
      <c r="AN39" s="178" t="str">
        <f>IF(AND(observasi1!AN39="",observasi2!AN39=""),"",AVERAGE(observasi1!AN39,observasi2!AN39))</f>
        <v/>
      </c>
      <c r="AO39" s="178" t="str">
        <f>IF(AND(observasi1!AO39="",observasi2!AO39=""),"",AVERAGE(observasi1!AO39,observasi2!AO39))</f>
        <v/>
      </c>
      <c r="AP39" s="178" t="str">
        <f>IF(AND(observasi1!AP39="",observasi2!AP39=""),"",AVERAGE(observasi1!AP39,observasi2!AP39))</f>
        <v/>
      </c>
      <c r="AQ39" s="178" t="str">
        <f>IF(AND(observasi1!AQ39="",observasi2!AQ39=""),"",AVERAGE(observasi1!AQ39,observasi2!AQ39))</f>
        <v/>
      </c>
      <c r="AR39" s="178" t="str">
        <f>IF(AND(observasi1!AR39="",observasi2!AR39=""),"",AVERAGE(observasi1!AR39,observasi2!AR39))</f>
        <v/>
      </c>
      <c r="AS39" s="178" t="str">
        <f>IF(AND(observasi1!AS39="",observasi2!AS39=""),"",AVERAGE(observasi1!AS39,observasi2!AS39))</f>
        <v/>
      </c>
      <c r="AT39" s="178" t="str">
        <f>IF(AND(observasi1!AT39="",observasi2!AT39=""),"",AVERAGE(observasi1!AT39,observasi2!AT39))</f>
        <v/>
      </c>
      <c r="AU39" s="178" t="str">
        <f>IF(AND(observasi1!AU39="",observasi2!AU39=""),"",AVERAGE(observasi1!AU39,observasi2!AU39))</f>
        <v/>
      </c>
      <c r="AV39" s="178" t="str">
        <f>IF(AND(observasi1!AV39="",observasi2!AV39=""),"",AVERAGE(observasi1!AV39,observasi2!AV39))</f>
        <v/>
      </c>
      <c r="AW39" s="178" t="str">
        <f>IF(AND(observasi1!AW39="",observasi2!AW39=""),"",AVERAGE(observasi1!AW39,observasi2!AW39))</f>
        <v/>
      </c>
      <c r="AX39" s="178" t="str">
        <f>IF(AND(observasi1!AX39="",observasi2!AX39=""),"",AVERAGE(observasi1!AX39,observasi2!AX39))</f>
        <v/>
      </c>
      <c r="AY39" s="178" t="str">
        <f>IF(AND(observasi1!AY39="",observasi2!AY39=""),"",AVERAGE(observasi1!AY39,observasi2!AY39))</f>
        <v/>
      </c>
    </row>
    <row r="40" spans="1:51">
      <c r="A40" s="618"/>
      <c r="B40" s="166"/>
      <c r="C40" s="167"/>
      <c r="D40" s="171" t="str">
        <f>IF(AND(D36="",D37="",D38="",D39=""),"",AVERAGE(D36:D39))</f>
        <v/>
      </c>
      <c r="E40" s="171" t="str">
        <f t="shared" ref="E40:AY40" si="5">IF(AND(E36="",E37="",E38="",E39=""),"",AVERAGE(E36:E39))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row>
    <row r="41" spans="1:51" ht="15" customHeight="1">
      <c r="A41" s="617" t="s">
        <v>12</v>
      </c>
      <c r="B41" s="164" t="s">
        <v>191</v>
      </c>
      <c r="C41" s="165" t="s">
        <v>88</v>
      </c>
      <c r="D41" s="178" t="str">
        <f>IF(AND(observasi1!D41="",observasi2!D41=""),"",AVERAGE(observasi1!D41,observasi2!D41))</f>
        <v/>
      </c>
      <c r="E41" s="178" t="str">
        <f>IF(AND(observasi1!E41="",observasi2!E41=""),"",AVERAGE(observasi1!E41,observasi2!E41))</f>
        <v/>
      </c>
      <c r="F41" s="178" t="str">
        <f>IF(AND(observasi1!F41="",observasi2!F41=""),"",AVERAGE(observasi1!F41,observasi2!F41))</f>
        <v/>
      </c>
      <c r="G41" s="178" t="str">
        <f>IF(AND(observasi1!G41="",observasi2!G41=""),"",AVERAGE(observasi1!G41,observasi2!G41))</f>
        <v/>
      </c>
      <c r="H41" s="178" t="str">
        <f>IF(AND(observasi1!H41="",observasi2!H41=""),"",AVERAGE(observasi1!H41,observasi2!H41))</f>
        <v/>
      </c>
      <c r="I41" s="178" t="str">
        <f>IF(AND(observasi1!I41="",observasi2!I41=""),"",AVERAGE(observasi1!I41,observasi2!I41))</f>
        <v/>
      </c>
      <c r="J41" s="178" t="str">
        <f>IF(AND(observasi1!J41="",observasi2!J41=""),"",AVERAGE(observasi1!J41,observasi2!J41))</f>
        <v/>
      </c>
      <c r="K41" s="178" t="str">
        <f>IF(AND(observasi1!K41="",observasi2!K41=""),"",AVERAGE(observasi1!K41,observasi2!K41))</f>
        <v/>
      </c>
      <c r="L41" s="178" t="str">
        <f>IF(AND(observasi1!L41="",observasi2!L41=""),"",AVERAGE(observasi1!L41,observasi2!L41))</f>
        <v/>
      </c>
      <c r="M41" s="178" t="str">
        <f>IF(AND(observasi1!M41="",observasi2!M41=""),"",AVERAGE(observasi1!M41,observasi2!M41))</f>
        <v/>
      </c>
      <c r="N41" s="178" t="str">
        <f>IF(AND(observasi1!N41="",observasi2!N41=""),"",AVERAGE(observasi1!N41,observasi2!N41))</f>
        <v/>
      </c>
      <c r="O41" s="178" t="str">
        <f>IF(AND(observasi1!O41="",observasi2!O41=""),"",AVERAGE(observasi1!O41,observasi2!O41))</f>
        <v/>
      </c>
      <c r="P41" s="178" t="str">
        <f>IF(AND(observasi1!P41="",observasi2!P41=""),"",AVERAGE(observasi1!P41,observasi2!P41))</f>
        <v/>
      </c>
      <c r="Q41" s="178" t="str">
        <f>IF(AND(observasi1!Q41="",observasi2!Q41=""),"",AVERAGE(observasi1!Q41,observasi2!Q41))</f>
        <v/>
      </c>
      <c r="R41" s="178" t="str">
        <f>IF(AND(observasi1!R41="",observasi2!R41=""),"",AVERAGE(observasi1!R41,observasi2!R41))</f>
        <v/>
      </c>
      <c r="S41" s="178" t="str">
        <f>IF(AND(observasi1!S41="",observasi2!S41=""),"",AVERAGE(observasi1!S41,observasi2!S41))</f>
        <v/>
      </c>
      <c r="T41" s="178" t="str">
        <f>IF(AND(observasi1!T41="",observasi2!T41=""),"",AVERAGE(observasi1!T41,observasi2!T41))</f>
        <v/>
      </c>
      <c r="U41" s="178" t="str">
        <f>IF(AND(observasi1!U41="",observasi2!U41=""),"",AVERAGE(observasi1!U41,observasi2!U41))</f>
        <v/>
      </c>
      <c r="V41" s="178" t="str">
        <f>IF(AND(observasi1!V41="",observasi2!V41=""),"",AVERAGE(observasi1!V41,observasi2!V41))</f>
        <v/>
      </c>
      <c r="W41" s="178" t="str">
        <f>IF(AND(observasi1!W41="",observasi2!W41=""),"",AVERAGE(observasi1!W41,observasi2!W41))</f>
        <v/>
      </c>
      <c r="X41" s="178" t="str">
        <f>IF(AND(observasi1!X41="",observasi2!X41=""),"",AVERAGE(observasi1!X41,observasi2!X41))</f>
        <v/>
      </c>
      <c r="Y41" s="178" t="str">
        <f>IF(AND(observasi1!Y41="",observasi2!Y41=""),"",AVERAGE(observasi1!Y41,observasi2!Y41))</f>
        <v/>
      </c>
      <c r="Z41" s="178" t="str">
        <f>IF(AND(observasi1!Z41="",observasi2!Z41=""),"",AVERAGE(observasi1!Z41,observasi2!Z41))</f>
        <v/>
      </c>
      <c r="AA41" s="178" t="str">
        <f>IF(AND(observasi1!AA41="",observasi2!AA41=""),"",AVERAGE(observasi1!AA41,observasi2!AA41))</f>
        <v/>
      </c>
      <c r="AB41" s="178" t="str">
        <f>IF(AND(observasi1!AB41="",observasi2!AB41=""),"",AVERAGE(observasi1!AB41,observasi2!AB41))</f>
        <v/>
      </c>
      <c r="AC41" s="178" t="str">
        <f>IF(AND(observasi1!AC41="",observasi2!AC41=""),"",AVERAGE(observasi1!AC41,observasi2!AC41))</f>
        <v/>
      </c>
      <c r="AD41" s="178" t="str">
        <f>IF(AND(observasi1!AD41="",observasi2!AD41=""),"",AVERAGE(observasi1!AD41,observasi2!AD41))</f>
        <v/>
      </c>
      <c r="AE41" s="178" t="str">
        <f>IF(AND(observasi1!AE41="",observasi2!AE41=""),"",AVERAGE(observasi1!AE41,observasi2!AE41))</f>
        <v/>
      </c>
      <c r="AF41" s="178" t="str">
        <f>IF(AND(observasi1!AF41="",observasi2!AF41=""),"",AVERAGE(observasi1!AF41,observasi2!AF41))</f>
        <v/>
      </c>
      <c r="AG41" s="178" t="str">
        <f>IF(AND(observasi1!AG41="",observasi2!AG41=""),"",AVERAGE(observasi1!AG41,observasi2!AG41))</f>
        <v/>
      </c>
      <c r="AH41" s="178" t="str">
        <f>IF(AND(observasi1!AH41="",observasi2!AH41=""),"",AVERAGE(observasi1!AH41,observasi2!AH41))</f>
        <v/>
      </c>
      <c r="AI41" s="178" t="str">
        <f>IF(AND(observasi1!AI41="",observasi2!AI41=""),"",AVERAGE(observasi1!AI41,observasi2!AI41))</f>
        <v/>
      </c>
      <c r="AJ41" s="178" t="str">
        <f>IF(AND(observasi1!AJ41="",observasi2!AJ41=""),"",AVERAGE(observasi1!AJ41,observasi2!AJ41))</f>
        <v/>
      </c>
      <c r="AK41" s="178" t="str">
        <f>IF(AND(observasi1!AK41="",observasi2!AK41=""),"",AVERAGE(observasi1!AK41,observasi2!AK41))</f>
        <v/>
      </c>
      <c r="AL41" s="178" t="str">
        <f>IF(AND(observasi1!AL41="",observasi2!AL41=""),"",AVERAGE(observasi1!AL41,observasi2!AL41))</f>
        <v/>
      </c>
      <c r="AM41" s="178" t="str">
        <f>IF(AND(observasi1!AM41="",observasi2!AM41=""),"",AVERAGE(observasi1!AM41,observasi2!AM41))</f>
        <v/>
      </c>
      <c r="AN41" s="178" t="str">
        <f>IF(AND(observasi1!AN41="",observasi2!AN41=""),"",AVERAGE(observasi1!AN41,observasi2!AN41))</f>
        <v/>
      </c>
      <c r="AO41" s="178" t="str">
        <f>IF(AND(observasi1!AO41="",observasi2!AO41=""),"",AVERAGE(observasi1!AO41,observasi2!AO41))</f>
        <v/>
      </c>
      <c r="AP41" s="178" t="str">
        <f>IF(AND(observasi1!AP41="",observasi2!AP41=""),"",AVERAGE(observasi1!AP41,observasi2!AP41))</f>
        <v/>
      </c>
      <c r="AQ41" s="178" t="str">
        <f>IF(AND(observasi1!AQ41="",observasi2!AQ41=""),"",AVERAGE(observasi1!AQ41,observasi2!AQ41))</f>
        <v/>
      </c>
      <c r="AR41" s="178" t="str">
        <f>IF(AND(observasi1!AR41="",observasi2!AR41=""),"",AVERAGE(observasi1!AR41,observasi2!AR41))</f>
        <v/>
      </c>
      <c r="AS41" s="178" t="str">
        <f>IF(AND(observasi1!AS41="",observasi2!AS41=""),"",AVERAGE(observasi1!AS41,observasi2!AS41))</f>
        <v/>
      </c>
      <c r="AT41" s="178" t="str">
        <f>IF(AND(observasi1!AT41="",observasi2!AT41=""),"",AVERAGE(observasi1!AT41,observasi2!AT41))</f>
        <v/>
      </c>
      <c r="AU41" s="178" t="str">
        <f>IF(AND(observasi1!AU41="",observasi2!AU41=""),"",AVERAGE(observasi1!AU41,observasi2!AU41))</f>
        <v/>
      </c>
      <c r="AV41" s="178" t="str">
        <f>IF(AND(observasi1!AV41="",observasi2!AV41=""),"",AVERAGE(observasi1!AV41,observasi2!AV41))</f>
        <v/>
      </c>
      <c r="AW41" s="178" t="str">
        <f>IF(AND(observasi1!AW41="",observasi2!AW41=""),"",AVERAGE(observasi1!AW41,observasi2!AW41))</f>
        <v/>
      </c>
      <c r="AX41" s="178" t="str">
        <f>IF(AND(observasi1!AX41="",observasi2!AX41=""),"",AVERAGE(observasi1!AX41,observasi2!AX41))</f>
        <v/>
      </c>
      <c r="AY41" s="178" t="str">
        <f>IF(AND(observasi1!AY41="",observasi2!AY41=""),"",AVERAGE(observasi1!AY41,observasi2!AY41))</f>
        <v/>
      </c>
    </row>
    <row r="42" spans="1:51">
      <c r="A42" s="617"/>
      <c r="B42" s="164" t="s">
        <v>192</v>
      </c>
      <c r="C42" s="165" t="s">
        <v>89</v>
      </c>
      <c r="D42" s="178" t="str">
        <f>IF(AND(observasi1!D42="",observasi2!D42=""),"",AVERAGE(observasi1!D42,observasi2!D42))</f>
        <v/>
      </c>
      <c r="E42" s="178" t="str">
        <f>IF(AND(observasi1!E42="",observasi2!E42=""),"",AVERAGE(observasi1!E42,observasi2!E42))</f>
        <v/>
      </c>
      <c r="F42" s="178" t="str">
        <f>IF(AND(observasi1!F42="",observasi2!F42=""),"",AVERAGE(observasi1!F42,observasi2!F42))</f>
        <v/>
      </c>
      <c r="G42" s="178" t="str">
        <f>IF(AND(observasi1!G42="",observasi2!G42=""),"",AVERAGE(observasi1!G42,observasi2!G42))</f>
        <v/>
      </c>
      <c r="H42" s="178" t="str">
        <f>IF(AND(observasi1!H42="",observasi2!H42=""),"",AVERAGE(observasi1!H42,observasi2!H42))</f>
        <v/>
      </c>
      <c r="I42" s="178" t="str">
        <f>IF(AND(observasi1!I42="",observasi2!I42=""),"",AVERAGE(observasi1!I42,observasi2!I42))</f>
        <v/>
      </c>
      <c r="J42" s="178" t="str">
        <f>IF(AND(observasi1!J42="",observasi2!J42=""),"",AVERAGE(observasi1!J42,observasi2!J42))</f>
        <v/>
      </c>
      <c r="K42" s="178" t="str">
        <f>IF(AND(observasi1!K42="",observasi2!K42=""),"",AVERAGE(observasi1!K42,observasi2!K42))</f>
        <v/>
      </c>
      <c r="L42" s="178" t="str">
        <f>IF(AND(observasi1!L42="",observasi2!L42=""),"",AVERAGE(observasi1!L42,observasi2!L42))</f>
        <v/>
      </c>
      <c r="M42" s="178" t="str">
        <f>IF(AND(observasi1!M42="",observasi2!M42=""),"",AVERAGE(observasi1!M42,observasi2!M42))</f>
        <v/>
      </c>
      <c r="N42" s="178" t="str">
        <f>IF(AND(observasi1!N42="",observasi2!N42=""),"",AVERAGE(observasi1!N42,observasi2!N42))</f>
        <v/>
      </c>
      <c r="O42" s="178" t="str">
        <f>IF(AND(observasi1!O42="",observasi2!O42=""),"",AVERAGE(observasi1!O42,observasi2!O42))</f>
        <v/>
      </c>
      <c r="P42" s="178" t="str">
        <f>IF(AND(observasi1!P42="",observasi2!P42=""),"",AVERAGE(observasi1!P42,observasi2!P42))</f>
        <v/>
      </c>
      <c r="Q42" s="178" t="str">
        <f>IF(AND(observasi1!Q42="",observasi2!Q42=""),"",AVERAGE(observasi1!Q42,observasi2!Q42))</f>
        <v/>
      </c>
      <c r="R42" s="178" t="str">
        <f>IF(AND(observasi1!R42="",observasi2!R42=""),"",AVERAGE(observasi1!R42,observasi2!R42))</f>
        <v/>
      </c>
      <c r="S42" s="178" t="str">
        <f>IF(AND(observasi1!S42="",observasi2!S42=""),"",AVERAGE(observasi1!S42,observasi2!S42))</f>
        <v/>
      </c>
      <c r="T42" s="178" t="str">
        <f>IF(AND(observasi1!T42="",observasi2!T42=""),"",AVERAGE(observasi1!T42,observasi2!T42))</f>
        <v/>
      </c>
      <c r="U42" s="178" t="str">
        <f>IF(AND(observasi1!U42="",observasi2!U42=""),"",AVERAGE(observasi1!U42,observasi2!U42))</f>
        <v/>
      </c>
      <c r="V42" s="178" t="str">
        <f>IF(AND(observasi1!V42="",observasi2!V42=""),"",AVERAGE(observasi1!V42,observasi2!V42))</f>
        <v/>
      </c>
      <c r="W42" s="178" t="str">
        <f>IF(AND(observasi1!W42="",observasi2!W42=""),"",AVERAGE(observasi1!W42,observasi2!W42))</f>
        <v/>
      </c>
      <c r="X42" s="178" t="str">
        <f>IF(AND(observasi1!X42="",observasi2!X42=""),"",AVERAGE(observasi1!X42,observasi2!X42))</f>
        <v/>
      </c>
      <c r="Y42" s="178" t="str">
        <f>IF(AND(observasi1!Y42="",observasi2!Y42=""),"",AVERAGE(observasi1!Y42,observasi2!Y42))</f>
        <v/>
      </c>
      <c r="Z42" s="178" t="str">
        <f>IF(AND(observasi1!Z42="",observasi2!Z42=""),"",AVERAGE(observasi1!Z42,observasi2!Z42))</f>
        <v/>
      </c>
      <c r="AA42" s="178" t="str">
        <f>IF(AND(observasi1!AA42="",observasi2!AA42=""),"",AVERAGE(observasi1!AA42,observasi2!AA42))</f>
        <v/>
      </c>
      <c r="AB42" s="178" t="str">
        <f>IF(AND(observasi1!AB42="",observasi2!AB42=""),"",AVERAGE(observasi1!AB42,observasi2!AB42))</f>
        <v/>
      </c>
      <c r="AC42" s="178" t="str">
        <f>IF(AND(observasi1!AC42="",observasi2!AC42=""),"",AVERAGE(observasi1!AC42,observasi2!AC42))</f>
        <v/>
      </c>
      <c r="AD42" s="178" t="str">
        <f>IF(AND(observasi1!AD42="",observasi2!AD42=""),"",AVERAGE(observasi1!AD42,observasi2!AD42))</f>
        <v/>
      </c>
      <c r="AE42" s="178" t="str">
        <f>IF(AND(observasi1!AE42="",observasi2!AE42=""),"",AVERAGE(observasi1!AE42,observasi2!AE42))</f>
        <v/>
      </c>
      <c r="AF42" s="178" t="str">
        <f>IF(AND(observasi1!AF42="",observasi2!AF42=""),"",AVERAGE(observasi1!AF42,observasi2!AF42))</f>
        <v/>
      </c>
      <c r="AG42" s="178" t="str">
        <f>IF(AND(observasi1!AG42="",observasi2!AG42=""),"",AVERAGE(observasi1!AG42,observasi2!AG42))</f>
        <v/>
      </c>
      <c r="AH42" s="178" t="str">
        <f>IF(AND(observasi1!AH42="",observasi2!AH42=""),"",AVERAGE(observasi1!AH42,observasi2!AH42))</f>
        <v/>
      </c>
      <c r="AI42" s="178" t="str">
        <f>IF(AND(observasi1!AI42="",observasi2!AI42=""),"",AVERAGE(observasi1!AI42,observasi2!AI42))</f>
        <v/>
      </c>
      <c r="AJ42" s="178" t="str">
        <f>IF(AND(observasi1!AJ42="",observasi2!AJ42=""),"",AVERAGE(observasi1!AJ42,observasi2!AJ42))</f>
        <v/>
      </c>
      <c r="AK42" s="178" t="str">
        <f>IF(AND(observasi1!AK42="",observasi2!AK42=""),"",AVERAGE(observasi1!AK42,observasi2!AK42))</f>
        <v/>
      </c>
      <c r="AL42" s="178" t="str">
        <f>IF(AND(observasi1!AL42="",observasi2!AL42=""),"",AVERAGE(observasi1!AL42,observasi2!AL42))</f>
        <v/>
      </c>
      <c r="AM42" s="178" t="str">
        <f>IF(AND(observasi1!AM42="",observasi2!AM42=""),"",AVERAGE(observasi1!AM42,observasi2!AM42))</f>
        <v/>
      </c>
      <c r="AN42" s="178" t="str">
        <f>IF(AND(observasi1!AN42="",observasi2!AN42=""),"",AVERAGE(observasi1!AN42,observasi2!AN42))</f>
        <v/>
      </c>
      <c r="AO42" s="178" t="str">
        <f>IF(AND(observasi1!AO42="",observasi2!AO42=""),"",AVERAGE(observasi1!AO42,observasi2!AO42))</f>
        <v/>
      </c>
      <c r="AP42" s="178" t="str">
        <f>IF(AND(observasi1!AP42="",observasi2!AP42=""),"",AVERAGE(observasi1!AP42,observasi2!AP42))</f>
        <v/>
      </c>
      <c r="AQ42" s="178" t="str">
        <f>IF(AND(observasi1!AQ42="",observasi2!AQ42=""),"",AVERAGE(observasi1!AQ42,observasi2!AQ42))</f>
        <v/>
      </c>
      <c r="AR42" s="178" t="str">
        <f>IF(AND(observasi1!AR42="",observasi2!AR42=""),"",AVERAGE(observasi1!AR42,observasi2!AR42))</f>
        <v/>
      </c>
      <c r="AS42" s="178" t="str">
        <f>IF(AND(observasi1!AS42="",observasi2!AS42=""),"",AVERAGE(observasi1!AS42,observasi2!AS42))</f>
        <v/>
      </c>
      <c r="AT42" s="178" t="str">
        <f>IF(AND(observasi1!AT42="",observasi2!AT42=""),"",AVERAGE(observasi1!AT42,observasi2!AT42))</f>
        <v/>
      </c>
      <c r="AU42" s="178" t="str">
        <f>IF(AND(observasi1!AU42="",observasi2!AU42=""),"",AVERAGE(observasi1!AU42,observasi2!AU42))</f>
        <v/>
      </c>
      <c r="AV42" s="178" t="str">
        <f>IF(AND(observasi1!AV42="",observasi2!AV42=""),"",AVERAGE(observasi1!AV42,observasi2!AV42))</f>
        <v/>
      </c>
      <c r="AW42" s="178" t="str">
        <f>IF(AND(observasi1!AW42="",observasi2!AW42=""),"",AVERAGE(observasi1!AW42,observasi2!AW42))</f>
        <v/>
      </c>
      <c r="AX42" s="178" t="str">
        <f>IF(AND(observasi1!AX42="",observasi2!AX42=""),"",AVERAGE(observasi1!AX42,observasi2!AX42))</f>
        <v/>
      </c>
      <c r="AY42" s="178" t="str">
        <f>IF(AND(observasi1!AY42="",observasi2!AY42=""),"",AVERAGE(observasi1!AY42,observasi2!AY42))</f>
        <v/>
      </c>
    </row>
    <row r="43" spans="1:51">
      <c r="A43" s="617"/>
      <c r="B43" s="164" t="s">
        <v>193</v>
      </c>
      <c r="C43" s="165" t="s">
        <v>90</v>
      </c>
      <c r="D43" s="178" t="str">
        <f>IF(AND(observasi1!D43="",observasi2!D43=""),"",AVERAGE(observasi1!D43,observasi2!D43))</f>
        <v/>
      </c>
      <c r="E43" s="178" t="str">
        <f>IF(AND(observasi1!E43="",observasi2!E43=""),"",AVERAGE(observasi1!E43,observasi2!E43))</f>
        <v/>
      </c>
      <c r="F43" s="178" t="str">
        <f>IF(AND(observasi1!F43="",observasi2!F43=""),"",AVERAGE(observasi1!F43,observasi2!F43))</f>
        <v/>
      </c>
      <c r="G43" s="178" t="str">
        <f>IF(AND(observasi1!G43="",observasi2!G43=""),"",AVERAGE(observasi1!G43,observasi2!G43))</f>
        <v/>
      </c>
      <c r="H43" s="178" t="str">
        <f>IF(AND(observasi1!H43="",observasi2!H43=""),"",AVERAGE(observasi1!H43,observasi2!H43))</f>
        <v/>
      </c>
      <c r="I43" s="178" t="str">
        <f>IF(AND(observasi1!I43="",observasi2!I43=""),"",AVERAGE(observasi1!I43,observasi2!I43))</f>
        <v/>
      </c>
      <c r="J43" s="178" t="str">
        <f>IF(AND(observasi1!J43="",observasi2!J43=""),"",AVERAGE(observasi1!J43,observasi2!J43))</f>
        <v/>
      </c>
      <c r="K43" s="178" t="str">
        <f>IF(AND(observasi1!K43="",observasi2!K43=""),"",AVERAGE(observasi1!K43,observasi2!K43))</f>
        <v/>
      </c>
      <c r="L43" s="178" t="str">
        <f>IF(AND(observasi1!L43="",observasi2!L43=""),"",AVERAGE(observasi1!L43,observasi2!L43))</f>
        <v/>
      </c>
      <c r="M43" s="178" t="str">
        <f>IF(AND(observasi1!M43="",observasi2!M43=""),"",AVERAGE(observasi1!M43,observasi2!M43))</f>
        <v/>
      </c>
      <c r="N43" s="178" t="str">
        <f>IF(AND(observasi1!N43="",observasi2!N43=""),"",AVERAGE(observasi1!N43,observasi2!N43))</f>
        <v/>
      </c>
      <c r="O43" s="178" t="str">
        <f>IF(AND(observasi1!O43="",observasi2!O43=""),"",AVERAGE(observasi1!O43,observasi2!O43))</f>
        <v/>
      </c>
      <c r="P43" s="178" t="str">
        <f>IF(AND(observasi1!P43="",observasi2!P43=""),"",AVERAGE(observasi1!P43,observasi2!P43))</f>
        <v/>
      </c>
      <c r="Q43" s="178" t="str">
        <f>IF(AND(observasi1!Q43="",observasi2!Q43=""),"",AVERAGE(observasi1!Q43,observasi2!Q43))</f>
        <v/>
      </c>
      <c r="R43" s="178" t="str">
        <f>IF(AND(observasi1!R43="",observasi2!R43=""),"",AVERAGE(observasi1!R43,observasi2!R43))</f>
        <v/>
      </c>
      <c r="S43" s="178" t="str">
        <f>IF(AND(observasi1!S43="",observasi2!S43=""),"",AVERAGE(observasi1!S43,observasi2!S43))</f>
        <v/>
      </c>
      <c r="T43" s="178" t="str">
        <f>IF(AND(observasi1!T43="",observasi2!T43=""),"",AVERAGE(observasi1!T43,observasi2!T43))</f>
        <v/>
      </c>
      <c r="U43" s="178" t="str">
        <f>IF(AND(observasi1!U43="",observasi2!U43=""),"",AVERAGE(observasi1!U43,observasi2!U43))</f>
        <v/>
      </c>
      <c r="V43" s="178" t="str">
        <f>IF(AND(observasi1!V43="",observasi2!V43=""),"",AVERAGE(observasi1!V43,observasi2!V43))</f>
        <v/>
      </c>
      <c r="W43" s="178" t="str">
        <f>IF(AND(observasi1!W43="",observasi2!W43=""),"",AVERAGE(observasi1!W43,observasi2!W43))</f>
        <v/>
      </c>
      <c r="X43" s="178" t="str">
        <f>IF(AND(observasi1!X43="",observasi2!X43=""),"",AVERAGE(observasi1!X43,observasi2!X43))</f>
        <v/>
      </c>
      <c r="Y43" s="178" t="str">
        <f>IF(AND(observasi1!Y43="",observasi2!Y43=""),"",AVERAGE(observasi1!Y43,observasi2!Y43))</f>
        <v/>
      </c>
      <c r="Z43" s="178" t="str">
        <f>IF(AND(observasi1!Z43="",observasi2!Z43=""),"",AVERAGE(observasi1!Z43,observasi2!Z43))</f>
        <v/>
      </c>
      <c r="AA43" s="178" t="str">
        <f>IF(AND(observasi1!AA43="",observasi2!AA43=""),"",AVERAGE(observasi1!AA43,observasi2!AA43))</f>
        <v/>
      </c>
      <c r="AB43" s="178" t="str">
        <f>IF(AND(observasi1!AB43="",observasi2!AB43=""),"",AVERAGE(observasi1!AB43,observasi2!AB43))</f>
        <v/>
      </c>
      <c r="AC43" s="178" t="str">
        <f>IF(AND(observasi1!AC43="",observasi2!AC43=""),"",AVERAGE(observasi1!AC43,observasi2!AC43))</f>
        <v/>
      </c>
      <c r="AD43" s="178" t="str">
        <f>IF(AND(observasi1!AD43="",observasi2!AD43=""),"",AVERAGE(observasi1!AD43,observasi2!AD43))</f>
        <v/>
      </c>
      <c r="AE43" s="178" t="str">
        <f>IF(AND(observasi1!AE43="",observasi2!AE43=""),"",AVERAGE(observasi1!AE43,observasi2!AE43))</f>
        <v/>
      </c>
      <c r="AF43" s="178" t="str">
        <f>IF(AND(observasi1!AF43="",observasi2!AF43=""),"",AVERAGE(observasi1!AF43,observasi2!AF43))</f>
        <v/>
      </c>
      <c r="AG43" s="178" t="str">
        <f>IF(AND(observasi1!AG43="",observasi2!AG43=""),"",AVERAGE(observasi1!AG43,observasi2!AG43))</f>
        <v/>
      </c>
      <c r="AH43" s="178" t="str">
        <f>IF(AND(observasi1!AH43="",observasi2!AH43=""),"",AVERAGE(observasi1!AH43,observasi2!AH43))</f>
        <v/>
      </c>
      <c r="AI43" s="178" t="str">
        <f>IF(AND(observasi1!AI43="",observasi2!AI43=""),"",AVERAGE(observasi1!AI43,observasi2!AI43))</f>
        <v/>
      </c>
      <c r="AJ43" s="178" t="str">
        <f>IF(AND(observasi1!AJ43="",observasi2!AJ43=""),"",AVERAGE(observasi1!AJ43,observasi2!AJ43))</f>
        <v/>
      </c>
      <c r="AK43" s="178" t="str">
        <f>IF(AND(observasi1!AK43="",observasi2!AK43=""),"",AVERAGE(observasi1!AK43,observasi2!AK43))</f>
        <v/>
      </c>
      <c r="AL43" s="178" t="str">
        <f>IF(AND(observasi1!AL43="",observasi2!AL43=""),"",AVERAGE(observasi1!AL43,observasi2!AL43))</f>
        <v/>
      </c>
      <c r="AM43" s="178" t="str">
        <f>IF(AND(observasi1!AM43="",observasi2!AM43=""),"",AVERAGE(observasi1!AM43,observasi2!AM43))</f>
        <v/>
      </c>
      <c r="AN43" s="178" t="str">
        <f>IF(AND(observasi1!AN43="",observasi2!AN43=""),"",AVERAGE(observasi1!AN43,observasi2!AN43))</f>
        <v/>
      </c>
      <c r="AO43" s="178" t="str">
        <f>IF(AND(observasi1!AO43="",observasi2!AO43=""),"",AVERAGE(observasi1!AO43,observasi2!AO43))</f>
        <v/>
      </c>
      <c r="AP43" s="178" t="str">
        <f>IF(AND(observasi1!AP43="",observasi2!AP43=""),"",AVERAGE(observasi1!AP43,observasi2!AP43))</f>
        <v/>
      </c>
      <c r="AQ43" s="178" t="str">
        <f>IF(AND(observasi1!AQ43="",observasi2!AQ43=""),"",AVERAGE(observasi1!AQ43,observasi2!AQ43))</f>
        <v/>
      </c>
      <c r="AR43" s="178" t="str">
        <f>IF(AND(observasi1!AR43="",observasi2!AR43=""),"",AVERAGE(observasi1!AR43,observasi2!AR43))</f>
        <v/>
      </c>
      <c r="AS43" s="178" t="str">
        <f>IF(AND(observasi1!AS43="",observasi2!AS43=""),"",AVERAGE(observasi1!AS43,observasi2!AS43))</f>
        <v/>
      </c>
      <c r="AT43" s="178" t="str">
        <f>IF(AND(observasi1!AT43="",observasi2!AT43=""),"",AVERAGE(observasi1!AT43,observasi2!AT43))</f>
        <v/>
      </c>
      <c r="AU43" s="178" t="str">
        <f>IF(AND(observasi1!AU43="",observasi2!AU43=""),"",AVERAGE(observasi1!AU43,observasi2!AU43))</f>
        <v/>
      </c>
      <c r="AV43" s="178" t="str">
        <f>IF(AND(observasi1!AV43="",observasi2!AV43=""),"",AVERAGE(observasi1!AV43,observasi2!AV43))</f>
        <v/>
      </c>
      <c r="AW43" s="178" t="str">
        <f>IF(AND(observasi1!AW43="",observasi2!AW43=""),"",AVERAGE(observasi1!AW43,observasi2!AW43))</f>
        <v/>
      </c>
      <c r="AX43" s="178" t="str">
        <f>IF(AND(observasi1!AX43="",observasi2!AX43=""),"",AVERAGE(observasi1!AX43,observasi2!AX43))</f>
        <v/>
      </c>
      <c r="AY43" s="178" t="str">
        <f>IF(AND(observasi1!AY43="",observasi2!AY43=""),"",AVERAGE(observasi1!AY43,observasi2!AY43))</f>
        <v/>
      </c>
    </row>
    <row r="44" spans="1:51">
      <c r="A44" s="617"/>
      <c r="B44" s="164" t="s">
        <v>194</v>
      </c>
      <c r="C44" s="165" t="s">
        <v>195</v>
      </c>
      <c r="D44" s="178" t="str">
        <f>IF(AND(observasi1!D44="",observasi2!D44=""),"",AVERAGE(observasi1!D44,observasi2!D44))</f>
        <v/>
      </c>
      <c r="E44" s="178" t="str">
        <f>IF(AND(observasi1!E44="",observasi2!E44=""),"",AVERAGE(observasi1!E44,observasi2!E44))</f>
        <v/>
      </c>
      <c r="F44" s="178" t="str">
        <f>IF(AND(observasi1!F44="",observasi2!F44=""),"",AVERAGE(observasi1!F44,observasi2!F44))</f>
        <v/>
      </c>
      <c r="G44" s="178" t="str">
        <f>IF(AND(observasi1!G44="",observasi2!G44=""),"",AVERAGE(observasi1!G44,observasi2!G44))</f>
        <v/>
      </c>
      <c r="H44" s="178" t="str">
        <f>IF(AND(observasi1!H44="",observasi2!H44=""),"",AVERAGE(observasi1!H44,observasi2!H44))</f>
        <v/>
      </c>
      <c r="I44" s="178" t="str">
        <f>IF(AND(observasi1!I44="",observasi2!I44=""),"",AVERAGE(observasi1!I44,observasi2!I44))</f>
        <v/>
      </c>
      <c r="J44" s="178" t="str">
        <f>IF(AND(observasi1!J44="",observasi2!J44=""),"",AVERAGE(observasi1!J44,observasi2!J44))</f>
        <v/>
      </c>
      <c r="K44" s="178" t="str">
        <f>IF(AND(observasi1!K44="",observasi2!K44=""),"",AVERAGE(observasi1!K44,observasi2!K44))</f>
        <v/>
      </c>
      <c r="L44" s="178" t="str">
        <f>IF(AND(observasi1!L44="",observasi2!L44=""),"",AVERAGE(observasi1!L44,observasi2!L44))</f>
        <v/>
      </c>
      <c r="M44" s="178" t="str">
        <f>IF(AND(observasi1!M44="",observasi2!M44=""),"",AVERAGE(observasi1!M44,observasi2!M44))</f>
        <v/>
      </c>
      <c r="N44" s="178" t="str">
        <f>IF(AND(observasi1!N44="",observasi2!N44=""),"",AVERAGE(observasi1!N44,observasi2!N44))</f>
        <v/>
      </c>
      <c r="O44" s="178" t="str">
        <f>IF(AND(observasi1!O44="",observasi2!O44=""),"",AVERAGE(observasi1!O44,observasi2!O44))</f>
        <v/>
      </c>
      <c r="P44" s="178" t="str">
        <f>IF(AND(observasi1!P44="",observasi2!P44=""),"",AVERAGE(observasi1!P44,observasi2!P44))</f>
        <v/>
      </c>
      <c r="Q44" s="178" t="str">
        <f>IF(AND(observasi1!Q44="",observasi2!Q44=""),"",AVERAGE(observasi1!Q44,observasi2!Q44))</f>
        <v/>
      </c>
      <c r="R44" s="178" t="str">
        <f>IF(AND(observasi1!R44="",observasi2!R44=""),"",AVERAGE(observasi1!R44,observasi2!R44))</f>
        <v/>
      </c>
      <c r="S44" s="178" t="str">
        <f>IF(AND(observasi1!S44="",observasi2!S44=""),"",AVERAGE(observasi1!S44,observasi2!S44))</f>
        <v/>
      </c>
      <c r="T44" s="178" t="str">
        <f>IF(AND(observasi1!T44="",observasi2!T44=""),"",AVERAGE(observasi1!T44,observasi2!T44))</f>
        <v/>
      </c>
      <c r="U44" s="178" t="str">
        <f>IF(AND(observasi1!U44="",observasi2!U44=""),"",AVERAGE(observasi1!U44,observasi2!U44))</f>
        <v/>
      </c>
      <c r="V44" s="178" t="str">
        <f>IF(AND(observasi1!V44="",observasi2!V44=""),"",AVERAGE(observasi1!V44,observasi2!V44))</f>
        <v/>
      </c>
      <c r="W44" s="178" t="str">
        <f>IF(AND(observasi1!W44="",observasi2!W44=""),"",AVERAGE(observasi1!W44,observasi2!W44))</f>
        <v/>
      </c>
      <c r="X44" s="178" t="str">
        <f>IF(AND(observasi1!X44="",observasi2!X44=""),"",AVERAGE(observasi1!X44,observasi2!X44))</f>
        <v/>
      </c>
      <c r="Y44" s="178" t="str">
        <f>IF(AND(observasi1!Y44="",observasi2!Y44=""),"",AVERAGE(observasi1!Y44,observasi2!Y44))</f>
        <v/>
      </c>
      <c r="Z44" s="178" t="str">
        <f>IF(AND(observasi1!Z44="",observasi2!Z44=""),"",AVERAGE(observasi1!Z44,observasi2!Z44))</f>
        <v/>
      </c>
      <c r="AA44" s="178" t="str">
        <f>IF(AND(observasi1!AA44="",observasi2!AA44=""),"",AVERAGE(observasi1!AA44,observasi2!AA44))</f>
        <v/>
      </c>
      <c r="AB44" s="178" t="str">
        <f>IF(AND(observasi1!AB44="",observasi2!AB44=""),"",AVERAGE(observasi1!AB44,observasi2!AB44))</f>
        <v/>
      </c>
      <c r="AC44" s="178" t="str">
        <f>IF(AND(observasi1!AC44="",observasi2!AC44=""),"",AVERAGE(observasi1!AC44,observasi2!AC44))</f>
        <v/>
      </c>
      <c r="AD44" s="178" t="str">
        <f>IF(AND(observasi1!AD44="",observasi2!AD44=""),"",AVERAGE(observasi1!AD44,observasi2!AD44))</f>
        <v/>
      </c>
      <c r="AE44" s="178" t="str">
        <f>IF(AND(observasi1!AE44="",observasi2!AE44=""),"",AVERAGE(observasi1!AE44,observasi2!AE44))</f>
        <v/>
      </c>
      <c r="AF44" s="178" t="str">
        <f>IF(AND(observasi1!AF44="",observasi2!AF44=""),"",AVERAGE(observasi1!AF44,observasi2!AF44))</f>
        <v/>
      </c>
      <c r="AG44" s="178" t="str">
        <f>IF(AND(observasi1!AG44="",observasi2!AG44=""),"",AVERAGE(observasi1!AG44,observasi2!AG44))</f>
        <v/>
      </c>
      <c r="AH44" s="178" t="str">
        <f>IF(AND(observasi1!AH44="",observasi2!AH44=""),"",AVERAGE(observasi1!AH44,observasi2!AH44))</f>
        <v/>
      </c>
      <c r="AI44" s="178" t="str">
        <f>IF(AND(observasi1!AI44="",observasi2!AI44=""),"",AVERAGE(observasi1!AI44,observasi2!AI44))</f>
        <v/>
      </c>
      <c r="AJ44" s="178" t="str">
        <f>IF(AND(observasi1!AJ44="",observasi2!AJ44=""),"",AVERAGE(observasi1!AJ44,observasi2!AJ44))</f>
        <v/>
      </c>
      <c r="AK44" s="178" t="str">
        <f>IF(AND(observasi1!AK44="",observasi2!AK44=""),"",AVERAGE(observasi1!AK44,observasi2!AK44))</f>
        <v/>
      </c>
      <c r="AL44" s="178" t="str">
        <f>IF(AND(observasi1!AL44="",observasi2!AL44=""),"",AVERAGE(observasi1!AL44,observasi2!AL44))</f>
        <v/>
      </c>
      <c r="AM44" s="178" t="str">
        <f>IF(AND(observasi1!AM44="",observasi2!AM44=""),"",AVERAGE(observasi1!AM44,observasi2!AM44))</f>
        <v/>
      </c>
      <c r="AN44" s="178" t="str">
        <f>IF(AND(observasi1!AN44="",observasi2!AN44=""),"",AVERAGE(observasi1!AN44,observasi2!AN44))</f>
        <v/>
      </c>
      <c r="AO44" s="178" t="str">
        <f>IF(AND(observasi1!AO44="",observasi2!AO44=""),"",AVERAGE(observasi1!AO44,observasi2!AO44))</f>
        <v/>
      </c>
      <c r="AP44" s="178" t="str">
        <f>IF(AND(observasi1!AP44="",observasi2!AP44=""),"",AVERAGE(observasi1!AP44,observasi2!AP44))</f>
        <v/>
      </c>
      <c r="AQ44" s="178" t="str">
        <f>IF(AND(observasi1!AQ44="",observasi2!AQ44=""),"",AVERAGE(observasi1!AQ44,observasi2!AQ44))</f>
        <v/>
      </c>
      <c r="AR44" s="178" t="str">
        <f>IF(AND(observasi1!AR44="",observasi2!AR44=""),"",AVERAGE(observasi1!AR44,observasi2!AR44))</f>
        <v/>
      </c>
      <c r="AS44" s="178" t="str">
        <f>IF(AND(observasi1!AS44="",observasi2!AS44=""),"",AVERAGE(observasi1!AS44,observasi2!AS44))</f>
        <v/>
      </c>
      <c r="AT44" s="178" t="str">
        <f>IF(AND(observasi1!AT44="",observasi2!AT44=""),"",AVERAGE(observasi1!AT44,observasi2!AT44))</f>
        <v/>
      </c>
      <c r="AU44" s="178" t="str">
        <f>IF(AND(observasi1!AU44="",observasi2!AU44=""),"",AVERAGE(observasi1!AU44,observasi2!AU44))</f>
        <v/>
      </c>
      <c r="AV44" s="178" t="str">
        <f>IF(AND(observasi1!AV44="",observasi2!AV44=""),"",AVERAGE(observasi1!AV44,observasi2!AV44))</f>
        <v/>
      </c>
      <c r="AW44" s="178" t="str">
        <f>IF(AND(observasi1!AW44="",observasi2!AW44=""),"",AVERAGE(observasi1!AW44,observasi2!AW44))</f>
        <v/>
      </c>
      <c r="AX44" s="178" t="str">
        <f>IF(AND(observasi1!AX44="",observasi2!AX44=""),"",AVERAGE(observasi1!AX44,observasi2!AX44))</f>
        <v/>
      </c>
      <c r="AY44" s="178" t="str">
        <f>IF(AND(observasi1!AY44="",observasi2!AY44=""),"",AVERAGE(observasi1!AY44,observasi2!AY44))</f>
        <v/>
      </c>
    </row>
    <row r="45" spans="1:51">
      <c r="A45" s="617"/>
      <c r="B45" s="164" t="s">
        <v>196</v>
      </c>
      <c r="C45" s="165" t="s">
        <v>197</v>
      </c>
      <c r="D45" s="178" t="str">
        <f>IF(AND(observasi1!D45="",observasi2!D45=""),"",AVERAGE(observasi1!D45,observasi2!D45))</f>
        <v/>
      </c>
      <c r="E45" s="178" t="str">
        <f>IF(AND(observasi1!E45="",observasi2!E45=""),"",AVERAGE(observasi1!E45,observasi2!E45))</f>
        <v/>
      </c>
      <c r="F45" s="178" t="str">
        <f>IF(AND(observasi1!F45="",observasi2!F45=""),"",AVERAGE(observasi1!F45,observasi2!F45))</f>
        <v/>
      </c>
      <c r="G45" s="178" t="str">
        <f>IF(AND(observasi1!G45="",observasi2!G45=""),"",AVERAGE(observasi1!G45,observasi2!G45))</f>
        <v/>
      </c>
      <c r="H45" s="178" t="str">
        <f>IF(AND(observasi1!H45="",observasi2!H45=""),"",AVERAGE(observasi1!H45,observasi2!H45))</f>
        <v/>
      </c>
      <c r="I45" s="178" t="str">
        <f>IF(AND(observasi1!I45="",observasi2!I45=""),"",AVERAGE(observasi1!I45,observasi2!I45))</f>
        <v/>
      </c>
      <c r="J45" s="178" t="str">
        <f>IF(AND(observasi1!J45="",observasi2!J45=""),"",AVERAGE(observasi1!J45,observasi2!J45))</f>
        <v/>
      </c>
      <c r="K45" s="178" t="str">
        <f>IF(AND(observasi1!K45="",observasi2!K45=""),"",AVERAGE(observasi1!K45,observasi2!K45))</f>
        <v/>
      </c>
      <c r="L45" s="178" t="str">
        <f>IF(AND(observasi1!L45="",observasi2!L45=""),"",AVERAGE(observasi1!L45,observasi2!L45))</f>
        <v/>
      </c>
      <c r="M45" s="178" t="str">
        <f>IF(AND(observasi1!M45="",observasi2!M45=""),"",AVERAGE(observasi1!M45,observasi2!M45))</f>
        <v/>
      </c>
      <c r="N45" s="178" t="str">
        <f>IF(AND(observasi1!N45="",observasi2!N45=""),"",AVERAGE(observasi1!N45,observasi2!N45))</f>
        <v/>
      </c>
      <c r="O45" s="178" t="str">
        <f>IF(AND(observasi1!O45="",observasi2!O45=""),"",AVERAGE(observasi1!O45,observasi2!O45))</f>
        <v/>
      </c>
      <c r="P45" s="178" t="str">
        <f>IF(AND(observasi1!P45="",observasi2!P45=""),"",AVERAGE(observasi1!P45,observasi2!P45))</f>
        <v/>
      </c>
      <c r="Q45" s="178" t="str">
        <f>IF(AND(observasi1!Q45="",observasi2!Q45=""),"",AVERAGE(observasi1!Q45,observasi2!Q45))</f>
        <v/>
      </c>
      <c r="R45" s="178" t="str">
        <f>IF(AND(observasi1!R45="",observasi2!R45=""),"",AVERAGE(observasi1!R45,observasi2!R45))</f>
        <v/>
      </c>
      <c r="S45" s="178" t="str">
        <f>IF(AND(observasi1!S45="",observasi2!S45=""),"",AVERAGE(observasi1!S45,observasi2!S45))</f>
        <v/>
      </c>
      <c r="T45" s="178" t="str">
        <f>IF(AND(observasi1!T45="",observasi2!T45=""),"",AVERAGE(observasi1!T45,observasi2!T45))</f>
        <v/>
      </c>
      <c r="U45" s="178" t="str">
        <f>IF(AND(observasi1!U45="",observasi2!U45=""),"",AVERAGE(observasi1!U45,observasi2!U45))</f>
        <v/>
      </c>
      <c r="V45" s="178" t="str">
        <f>IF(AND(observasi1!V45="",observasi2!V45=""),"",AVERAGE(observasi1!V45,observasi2!V45))</f>
        <v/>
      </c>
      <c r="W45" s="178" t="str">
        <f>IF(AND(observasi1!W45="",observasi2!W45=""),"",AVERAGE(observasi1!W45,observasi2!W45))</f>
        <v/>
      </c>
      <c r="X45" s="178" t="str">
        <f>IF(AND(observasi1!X45="",observasi2!X45=""),"",AVERAGE(observasi1!X45,observasi2!X45))</f>
        <v/>
      </c>
      <c r="Y45" s="178" t="str">
        <f>IF(AND(observasi1!Y45="",observasi2!Y45=""),"",AVERAGE(observasi1!Y45,observasi2!Y45))</f>
        <v/>
      </c>
      <c r="Z45" s="178" t="str">
        <f>IF(AND(observasi1!Z45="",observasi2!Z45=""),"",AVERAGE(observasi1!Z45,observasi2!Z45))</f>
        <v/>
      </c>
      <c r="AA45" s="178" t="str">
        <f>IF(AND(observasi1!AA45="",observasi2!AA45=""),"",AVERAGE(observasi1!AA45,observasi2!AA45))</f>
        <v/>
      </c>
      <c r="AB45" s="178" t="str">
        <f>IF(AND(observasi1!AB45="",observasi2!AB45=""),"",AVERAGE(observasi1!AB45,observasi2!AB45))</f>
        <v/>
      </c>
      <c r="AC45" s="178" t="str">
        <f>IF(AND(observasi1!AC45="",observasi2!AC45=""),"",AVERAGE(observasi1!AC45,observasi2!AC45))</f>
        <v/>
      </c>
      <c r="AD45" s="178" t="str">
        <f>IF(AND(observasi1!AD45="",observasi2!AD45=""),"",AVERAGE(observasi1!AD45,observasi2!AD45))</f>
        <v/>
      </c>
      <c r="AE45" s="178" t="str">
        <f>IF(AND(observasi1!AE45="",observasi2!AE45=""),"",AVERAGE(observasi1!AE45,observasi2!AE45))</f>
        <v/>
      </c>
      <c r="AF45" s="178" t="str">
        <f>IF(AND(observasi1!AF45="",observasi2!AF45=""),"",AVERAGE(observasi1!AF45,observasi2!AF45))</f>
        <v/>
      </c>
      <c r="AG45" s="178" t="str">
        <f>IF(AND(observasi1!AG45="",observasi2!AG45=""),"",AVERAGE(observasi1!AG45,observasi2!AG45))</f>
        <v/>
      </c>
      <c r="AH45" s="178" t="str">
        <f>IF(AND(observasi1!AH45="",observasi2!AH45=""),"",AVERAGE(observasi1!AH45,observasi2!AH45))</f>
        <v/>
      </c>
      <c r="AI45" s="178" t="str">
        <f>IF(AND(observasi1!AI45="",observasi2!AI45=""),"",AVERAGE(observasi1!AI45,observasi2!AI45))</f>
        <v/>
      </c>
      <c r="AJ45" s="178" t="str">
        <f>IF(AND(observasi1!AJ45="",observasi2!AJ45=""),"",AVERAGE(observasi1!AJ45,observasi2!AJ45))</f>
        <v/>
      </c>
      <c r="AK45" s="178" t="str">
        <f>IF(AND(observasi1!AK45="",observasi2!AK45=""),"",AVERAGE(observasi1!AK45,observasi2!AK45))</f>
        <v/>
      </c>
      <c r="AL45" s="178" t="str">
        <f>IF(AND(observasi1!AL45="",observasi2!AL45=""),"",AVERAGE(observasi1!AL45,observasi2!AL45))</f>
        <v/>
      </c>
      <c r="AM45" s="178" t="str">
        <f>IF(AND(observasi1!AM45="",observasi2!AM45=""),"",AVERAGE(observasi1!AM45,observasi2!AM45))</f>
        <v/>
      </c>
      <c r="AN45" s="178" t="str">
        <f>IF(AND(observasi1!AN45="",observasi2!AN45=""),"",AVERAGE(observasi1!AN45,observasi2!AN45))</f>
        <v/>
      </c>
      <c r="AO45" s="178" t="str">
        <f>IF(AND(observasi1!AO45="",observasi2!AO45=""),"",AVERAGE(observasi1!AO45,observasi2!AO45))</f>
        <v/>
      </c>
      <c r="AP45" s="178" t="str">
        <f>IF(AND(observasi1!AP45="",observasi2!AP45=""),"",AVERAGE(observasi1!AP45,observasi2!AP45))</f>
        <v/>
      </c>
      <c r="AQ45" s="178" t="str">
        <f>IF(AND(observasi1!AQ45="",observasi2!AQ45=""),"",AVERAGE(observasi1!AQ45,observasi2!AQ45))</f>
        <v/>
      </c>
      <c r="AR45" s="178" t="str">
        <f>IF(AND(observasi1!AR45="",observasi2!AR45=""),"",AVERAGE(observasi1!AR45,observasi2!AR45))</f>
        <v/>
      </c>
      <c r="AS45" s="178" t="str">
        <f>IF(AND(observasi1!AS45="",observasi2!AS45=""),"",AVERAGE(observasi1!AS45,observasi2!AS45))</f>
        <v/>
      </c>
      <c r="AT45" s="178" t="str">
        <f>IF(AND(observasi1!AT45="",observasi2!AT45=""),"",AVERAGE(observasi1!AT45,observasi2!AT45))</f>
        <v/>
      </c>
      <c r="AU45" s="178" t="str">
        <f>IF(AND(observasi1!AU45="",observasi2!AU45=""),"",AVERAGE(observasi1!AU45,observasi2!AU45))</f>
        <v/>
      </c>
      <c r="AV45" s="178" t="str">
        <f>IF(AND(observasi1!AV45="",observasi2!AV45=""),"",AVERAGE(observasi1!AV45,observasi2!AV45))</f>
        <v/>
      </c>
      <c r="AW45" s="178" t="str">
        <f>IF(AND(observasi1!AW45="",observasi2!AW45=""),"",AVERAGE(observasi1!AW45,observasi2!AW45))</f>
        <v/>
      </c>
      <c r="AX45" s="178" t="str">
        <f>IF(AND(observasi1!AX45="",observasi2!AX45=""),"",AVERAGE(observasi1!AX45,observasi2!AX45))</f>
        <v/>
      </c>
      <c r="AY45" s="178" t="str">
        <f>IF(AND(observasi1!AY45="",observasi2!AY45=""),"",AVERAGE(observasi1!AY45,observasi2!AY45))</f>
        <v/>
      </c>
    </row>
    <row r="46" spans="1:51">
      <c r="A46" s="617"/>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row>
    <row r="47" spans="1:51" ht="15" customHeight="1">
      <c r="A47" s="618" t="s">
        <v>13</v>
      </c>
      <c r="B47" s="164" t="s">
        <v>198</v>
      </c>
      <c r="C47" s="165" t="s">
        <v>93</v>
      </c>
      <c r="D47" s="178" t="str">
        <f>IF(AND(observasi1!D47="",observasi2!D47=""),"",AVERAGE(observasi1!D47,observasi2!D47))</f>
        <v/>
      </c>
      <c r="E47" s="178" t="str">
        <f>IF(AND(observasi1!E47="",observasi2!E47=""),"",AVERAGE(observasi1!E47,observasi2!E47))</f>
        <v/>
      </c>
      <c r="F47" s="178" t="str">
        <f>IF(AND(observasi1!F47="",observasi2!F47=""),"",AVERAGE(observasi1!F47,observasi2!F47))</f>
        <v/>
      </c>
      <c r="G47" s="178" t="str">
        <f>IF(AND(observasi1!G47="",observasi2!G47=""),"",AVERAGE(observasi1!G47,observasi2!G47))</f>
        <v/>
      </c>
      <c r="H47" s="178" t="str">
        <f>IF(AND(observasi1!H47="",observasi2!H47=""),"",AVERAGE(observasi1!H47,observasi2!H47))</f>
        <v/>
      </c>
      <c r="I47" s="178" t="str">
        <f>IF(AND(observasi1!I47="",observasi2!I47=""),"",AVERAGE(observasi1!I47,observasi2!I47))</f>
        <v/>
      </c>
      <c r="J47" s="178" t="str">
        <f>IF(AND(observasi1!J47="",observasi2!J47=""),"",AVERAGE(observasi1!J47,observasi2!J47))</f>
        <v/>
      </c>
      <c r="K47" s="178" t="str">
        <f>IF(AND(observasi1!K47="",observasi2!K47=""),"",AVERAGE(observasi1!K47,observasi2!K47))</f>
        <v/>
      </c>
      <c r="L47" s="178" t="str">
        <f>IF(AND(observasi1!L47="",observasi2!L47=""),"",AVERAGE(observasi1!L47,observasi2!L47))</f>
        <v/>
      </c>
      <c r="M47" s="178" t="str">
        <f>IF(AND(observasi1!M47="",observasi2!M47=""),"",AVERAGE(observasi1!M47,observasi2!M47))</f>
        <v/>
      </c>
      <c r="N47" s="178" t="str">
        <f>IF(AND(observasi1!N47="",observasi2!N47=""),"",AVERAGE(observasi1!N47,observasi2!N47))</f>
        <v/>
      </c>
      <c r="O47" s="178" t="str">
        <f>IF(AND(observasi1!O47="",observasi2!O47=""),"",AVERAGE(observasi1!O47,observasi2!O47))</f>
        <v/>
      </c>
      <c r="P47" s="178" t="str">
        <f>IF(AND(observasi1!P47="",observasi2!P47=""),"",AVERAGE(observasi1!P47,observasi2!P47))</f>
        <v/>
      </c>
      <c r="Q47" s="178" t="str">
        <f>IF(AND(observasi1!Q47="",observasi2!Q47=""),"",AVERAGE(observasi1!Q47,observasi2!Q47))</f>
        <v/>
      </c>
      <c r="R47" s="178" t="str">
        <f>IF(AND(observasi1!R47="",observasi2!R47=""),"",AVERAGE(observasi1!R47,observasi2!R47))</f>
        <v/>
      </c>
      <c r="S47" s="178" t="str">
        <f>IF(AND(observasi1!S47="",observasi2!S47=""),"",AVERAGE(observasi1!S47,observasi2!S47))</f>
        <v/>
      </c>
      <c r="T47" s="178" t="str">
        <f>IF(AND(observasi1!T47="",observasi2!T47=""),"",AVERAGE(observasi1!T47,observasi2!T47))</f>
        <v/>
      </c>
      <c r="U47" s="178" t="str">
        <f>IF(AND(observasi1!U47="",observasi2!U47=""),"",AVERAGE(observasi1!U47,observasi2!U47))</f>
        <v/>
      </c>
      <c r="V47" s="178" t="str">
        <f>IF(AND(observasi1!V47="",observasi2!V47=""),"",AVERAGE(observasi1!V47,observasi2!V47))</f>
        <v/>
      </c>
      <c r="W47" s="178" t="str">
        <f>IF(AND(observasi1!W47="",observasi2!W47=""),"",AVERAGE(observasi1!W47,observasi2!W47))</f>
        <v/>
      </c>
      <c r="X47" s="178" t="str">
        <f>IF(AND(observasi1!X47="",observasi2!X47=""),"",AVERAGE(observasi1!X47,observasi2!X47))</f>
        <v/>
      </c>
      <c r="Y47" s="178" t="str">
        <f>IF(AND(observasi1!Y47="",observasi2!Y47=""),"",AVERAGE(observasi1!Y47,observasi2!Y47))</f>
        <v/>
      </c>
      <c r="Z47" s="178" t="str">
        <f>IF(AND(observasi1!Z47="",observasi2!Z47=""),"",AVERAGE(observasi1!Z47,observasi2!Z47))</f>
        <v/>
      </c>
      <c r="AA47" s="178" t="str">
        <f>IF(AND(observasi1!AA47="",observasi2!AA47=""),"",AVERAGE(observasi1!AA47,observasi2!AA47))</f>
        <v/>
      </c>
      <c r="AB47" s="178" t="str">
        <f>IF(AND(observasi1!AB47="",observasi2!AB47=""),"",AVERAGE(observasi1!AB47,observasi2!AB47))</f>
        <v/>
      </c>
      <c r="AC47" s="178" t="str">
        <f>IF(AND(observasi1!AC47="",observasi2!AC47=""),"",AVERAGE(observasi1!AC47,observasi2!AC47))</f>
        <v/>
      </c>
      <c r="AD47" s="178" t="str">
        <f>IF(AND(observasi1!AD47="",observasi2!AD47=""),"",AVERAGE(observasi1!AD47,observasi2!AD47))</f>
        <v/>
      </c>
      <c r="AE47" s="178" t="str">
        <f>IF(AND(observasi1!AE47="",observasi2!AE47=""),"",AVERAGE(observasi1!AE47,observasi2!AE47))</f>
        <v/>
      </c>
      <c r="AF47" s="178" t="str">
        <f>IF(AND(observasi1!AF47="",observasi2!AF47=""),"",AVERAGE(observasi1!AF47,observasi2!AF47))</f>
        <v/>
      </c>
      <c r="AG47" s="178" t="str">
        <f>IF(AND(observasi1!AG47="",observasi2!AG47=""),"",AVERAGE(observasi1!AG47,observasi2!AG47))</f>
        <v/>
      </c>
      <c r="AH47" s="178" t="str">
        <f>IF(AND(observasi1!AH47="",observasi2!AH47=""),"",AVERAGE(observasi1!AH47,observasi2!AH47))</f>
        <v/>
      </c>
      <c r="AI47" s="178" t="str">
        <f>IF(AND(observasi1!AI47="",observasi2!AI47=""),"",AVERAGE(observasi1!AI47,observasi2!AI47))</f>
        <v/>
      </c>
      <c r="AJ47" s="178" t="str">
        <f>IF(AND(observasi1!AJ47="",observasi2!AJ47=""),"",AVERAGE(observasi1!AJ47,observasi2!AJ47))</f>
        <v/>
      </c>
      <c r="AK47" s="178" t="str">
        <f>IF(AND(observasi1!AK47="",observasi2!AK47=""),"",AVERAGE(observasi1!AK47,observasi2!AK47))</f>
        <v/>
      </c>
      <c r="AL47" s="178" t="str">
        <f>IF(AND(observasi1!AL47="",observasi2!AL47=""),"",AVERAGE(observasi1!AL47,observasi2!AL47))</f>
        <v/>
      </c>
      <c r="AM47" s="178" t="str">
        <f>IF(AND(observasi1!AM47="",observasi2!AM47=""),"",AVERAGE(observasi1!AM47,observasi2!AM47))</f>
        <v/>
      </c>
      <c r="AN47" s="178" t="str">
        <f>IF(AND(observasi1!AN47="",observasi2!AN47=""),"",AVERAGE(observasi1!AN47,observasi2!AN47))</f>
        <v/>
      </c>
      <c r="AO47" s="178" t="str">
        <f>IF(AND(observasi1!AO47="",observasi2!AO47=""),"",AVERAGE(observasi1!AO47,observasi2!AO47))</f>
        <v/>
      </c>
      <c r="AP47" s="178" t="str">
        <f>IF(AND(observasi1!AP47="",observasi2!AP47=""),"",AVERAGE(observasi1!AP47,observasi2!AP47))</f>
        <v/>
      </c>
      <c r="AQ47" s="178" t="str">
        <f>IF(AND(observasi1!AQ47="",observasi2!AQ47=""),"",AVERAGE(observasi1!AQ47,observasi2!AQ47))</f>
        <v/>
      </c>
      <c r="AR47" s="178" t="str">
        <f>IF(AND(observasi1!AR47="",observasi2!AR47=""),"",AVERAGE(observasi1!AR47,observasi2!AR47))</f>
        <v/>
      </c>
      <c r="AS47" s="178" t="str">
        <f>IF(AND(observasi1!AS47="",observasi2!AS47=""),"",AVERAGE(observasi1!AS47,observasi2!AS47))</f>
        <v/>
      </c>
      <c r="AT47" s="178" t="str">
        <f>IF(AND(observasi1!AT47="",observasi2!AT47=""),"",AVERAGE(observasi1!AT47,observasi2!AT47))</f>
        <v/>
      </c>
      <c r="AU47" s="178" t="str">
        <f>IF(AND(observasi1!AU47="",observasi2!AU47=""),"",AVERAGE(observasi1!AU47,observasi2!AU47))</f>
        <v/>
      </c>
      <c r="AV47" s="178" t="str">
        <f>IF(AND(observasi1!AV47="",observasi2!AV47=""),"",AVERAGE(observasi1!AV47,observasi2!AV47))</f>
        <v/>
      </c>
      <c r="AW47" s="178" t="str">
        <f>IF(AND(observasi1!AW47="",observasi2!AW47=""),"",AVERAGE(observasi1!AW47,observasi2!AW47))</f>
        <v/>
      </c>
      <c r="AX47" s="178" t="str">
        <f>IF(AND(observasi1!AX47="",observasi2!AX47=""),"",AVERAGE(observasi1!AX47,observasi2!AX47))</f>
        <v/>
      </c>
      <c r="AY47" s="178" t="str">
        <f>IF(AND(observasi1!AY47="",observasi2!AY47=""),"",AVERAGE(observasi1!AY47,observasi2!AY47))</f>
        <v/>
      </c>
    </row>
    <row r="48" spans="1:51">
      <c r="A48" s="618"/>
      <c r="B48" s="164" t="s">
        <v>199</v>
      </c>
      <c r="C48" s="165" t="s">
        <v>94</v>
      </c>
      <c r="D48" s="178" t="str">
        <f>IF(AND(observasi1!D48="",observasi2!D48=""),"",AVERAGE(observasi1!D48,observasi2!D48))</f>
        <v/>
      </c>
      <c r="E48" s="178" t="str">
        <f>IF(AND(observasi1!E48="",observasi2!E48=""),"",AVERAGE(observasi1!E48,observasi2!E48))</f>
        <v/>
      </c>
      <c r="F48" s="178" t="str">
        <f>IF(AND(observasi1!F48="",observasi2!F48=""),"",AVERAGE(observasi1!F48,observasi2!F48))</f>
        <v/>
      </c>
      <c r="G48" s="178" t="str">
        <f>IF(AND(observasi1!G48="",observasi2!G48=""),"",AVERAGE(observasi1!G48,observasi2!G48))</f>
        <v/>
      </c>
      <c r="H48" s="178" t="str">
        <f>IF(AND(observasi1!H48="",observasi2!H48=""),"",AVERAGE(observasi1!H48,observasi2!H48))</f>
        <v/>
      </c>
      <c r="I48" s="178" t="str">
        <f>IF(AND(observasi1!I48="",observasi2!I48=""),"",AVERAGE(observasi1!I48,observasi2!I48))</f>
        <v/>
      </c>
      <c r="J48" s="178" t="str">
        <f>IF(AND(observasi1!J48="",observasi2!J48=""),"",AVERAGE(observasi1!J48,observasi2!J48))</f>
        <v/>
      </c>
      <c r="K48" s="178" t="str">
        <f>IF(AND(observasi1!K48="",observasi2!K48=""),"",AVERAGE(observasi1!K48,observasi2!K48))</f>
        <v/>
      </c>
      <c r="L48" s="178" t="str">
        <f>IF(AND(observasi1!L48="",observasi2!L48=""),"",AVERAGE(observasi1!L48,observasi2!L48))</f>
        <v/>
      </c>
      <c r="M48" s="178" t="str">
        <f>IF(AND(observasi1!M48="",observasi2!M48=""),"",AVERAGE(observasi1!M48,observasi2!M48))</f>
        <v/>
      </c>
      <c r="N48" s="178" t="str">
        <f>IF(AND(observasi1!N48="",observasi2!N48=""),"",AVERAGE(observasi1!N48,observasi2!N48))</f>
        <v/>
      </c>
      <c r="O48" s="178" t="str">
        <f>IF(AND(observasi1!O48="",observasi2!O48=""),"",AVERAGE(observasi1!O48,observasi2!O48))</f>
        <v/>
      </c>
      <c r="P48" s="178" t="str">
        <f>IF(AND(observasi1!P48="",observasi2!P48=""),"",AVERAGE(observasi1!P48,observasi2!P48))</f>
        <v/>
      </c>
      <c r="Q48" s="178" t="str">
        <f>IF(AND(observasi1!Q48="",observasi2!Q48=""),"",AVERAGE(observasi1!Q48,observasi2!Q48))</f>
        <v/>
      </c>
      <c r="R48" s="178" t="str">
        <f>IF(AND(observasi1!R48="",observasi2!R48=""),"",AVERAGE(observasi1!R48,observasi2!R48))</f>
        <v/>
      </c>
      <c r="S48" s="178" t="str">
        <f>IF(AND(observasi1!S48="",observasi2!S48=""),"",AVERAGE(observasi1!S48,observasi2!S48))</f>
        <v/>
      </c>
      <c r="T48" s="178" t="str">
        <f>IF(AND(observasi1!T48="",observasi2!T48=""),"",AVERAGE(observasi1!T48,observasi2!T48))</f>
        <v/>
      </c>
      <c r="U48" s="178" t="str">
        <f>IF(AND(observasi1!U48="",observasi2!U48=""),"",AVERAGE(observasi1!U48,observasi2!U48))</f>
        <v/>
      </c>
      <c r="V48" s="178" t="str">
        <f>IF(AND(observasi1!V48="",observasi2!V48=""),"",AVERAGE(observasi1!V48,observasi2!V48))</f>
        <v/>
      </c>
      <c r="W48" s="178" t="str">
        <f>IF(AND(observasi1!W48="",observasi2!W48=""),"",AVERAGE(observasi1!W48,observasi2!W48))</f>
        <v/>
      </c>
      <c r="X48" s="178" t="str">
        <f>IF(AND(observasi1!X48="",observasi2!X48=""),"",AVERAGE(observasi1!X48,observasi2!X48))</f>
        <v/>
      </c>
      <c r="Y48" s="178" t="str">
        <f>IF(AND(observasi1!Y48="",observasi2!Y48=""),"",AVERAGE(observasi1!Y48,observasi2!Y48))</f>
        <v/>
      </c>
      <c r="Z48" s="178" t="str">
        <f>IF(AND(observasi1!Z48="",observasi2!Z48=""),"",AVERAGE(observasi1!Z48,observasi2!Z48))</f>
        <v/>
      </c>
      <c r="AA48" s="178" t="str">
        <f>IF(AND(observasi1!AA48="",observasi2!AA48=""),"",AVERAGE(observasi1!AA48,observasi2!AA48))</f>
        <v/>
      </c>
      <c r="AB48" s="178" t="str">
        <f>IF(AND(observasi1!AB48="",observasi2!AB48=""),"",AVERAGE(observasi1!AB48,observasi2!AB48))</f>
        <v/>
      </c>
      <c r="AC48" s="178" t="str">
        <f>IF(AND(observasi1!AC48="",observasi2!AC48=""),"",AVERAGE(observasi1!AC48,observasi2!AC48))</f>
        <v/>
      </c>
      <c r="AD48" s="178" t="str">
        <f>IF(AND(observasi1!AD48="",observasi2!AD48=""),"",AVERAGE(observasi1!AD48,observasi2!AD48))</f>
        <v/>
      </c>
      <c r="AE48" s="178" t="str">
        <f>IF(AND(observasi1!AE48="",observasi2!AE48=""),"",AVERAGE(observasi1!AE48,observasi2!AE48))</f>
        <v/>
      </c>
      <c r="AF48" s="178" t="str">
        <f>IF(AND(observasi1!AF48="",observasi2!AF48=""),"",AVERAGE(observasi1!AF48,observasi2!AF48))</f>
        <v/>
      </c>
      <c r="AG48" s="178" t="str">
        <f>IF(AND(observasi1!AG48="",observasi2!AG48=""),"",AVERAGE(observasi1!AG48,observasi2!AG48))</f>
        <v/>
      </c>
      <c r="AH48" s="178" t="str">
        <f>IF(AND(observasi1!AH48="",observasi2!AH48=""),"",AVERAGE(observasi1!AH48,observasi2!AH48))</f>
        <v/>
      </c>
      <c r="AI48" s="178" t="str">
        <f>IF(AND(observasi1!AI48="",observasi2!AI48=""),"",AVERAGE(observasi1!AI48,observasi2!AI48))</f>
        <v/>
      </c>
      <c r="AJ48" s="178" t="str">
        <f>IF(AND(observasi1!AJ48="",observasi2!AJ48=""),"",AVERAGE(observasi1!AJ48,observasi2!AJ48))</f>
        <v/>
      </c>
      <c r="AK48" s="178" t="str">
        <f>IF(AND(observasi1!AK48="",observasi2!AK48=""),"",AVERAGE(observasi1!AK48,observasi2!AK48))</f>
        <v/>
      </c>
      <c r="AL48" s="178" t="str">
        <f>IF(AND(observasi1!AL48="",observasi2!AL48=""),"",AVERAGE(observasi1!AL48,observasi2!AL48))</f>
        <v/>
      </c>
      <c r="AM48" s="178" t="str">
        <f>IF(AND(observasi1!AM48="",observasi2!AM48=""),"",AVERAGE(observasi1!AM48,observasi2!AM48))</f>
        <v/>
      </c>
      <c r="AN48" s="178" t="str">
        <f>IF(AND(observasi1!AN48="",observasi2!AN48=""),"",AVERAGE(observasi1!AN48,observasi2!AN48))</f>
        <v/>
      </c>
      <c r="AO48" s="178" t="str">
        <f>IF(AND(observasi1!AO48="",observasi2!AO48=""),"",AVERAGE(observasi1!AO48,observasi2!AO48))</f>
        <v/>
      </c>
      <c r="AP48" s="178" t="str">
        <f>IF(AND(observasi1!AP48="",observasi2!AP48=""),"",AVERAGE(observasi1!AP48,observasi2!AP48))</f>
        <v/>
      </c>
      <c r="AQ48" s="178" t="str">
        <f>IF(AND(observasi1!AQ48="",observasi2!AQ48=""),"",AVERAGE(observasi1!AQ48,observasi2!AQ48))</f>
        <v/>
      </c>
      <c r="AR48" s="178" t="str">
        <f>IF(AND(observasi1!AR48="",observasi2!AR48=""),"",AVERAGE(observasi1!AR48,observasi2!AR48))</f>
        <v/>
      </c>
      <c r="AS48" s="178" t="str">
        <f>IF(AND(observasi1!AS48="",observasi2!AS48=""),"",AVERAGE(observasi1!AS48,observasi2!AS48))</f>
        <v/>
      </c>
      <c r="AT48" s="178" t="str">
        <f>IF(AND(observasi1!AT48="",observasi2!AT48=""),"",AVERAGE(observasi1!AT48,observasi2!AT48))</f>
        <v/>
      </c>
      <c r="AU48" s="178" t="str">
        <f>IF(AND(observasi1!AU48="",observasi2!AU48=""),"",AVERAGE(observasi1!AU48,observasi2!AU48))</f>
        <v/>
      </c>
      <c r="AV48" s="178" t="str">
        <f>IF(AND(observasi1!AV48="",observasi2!AV48=""),"",AVERAGE(observasi1!AV48,observasi2!AV48))</f>
        <v/>
      </c>
      <c r="AW48" s="178" t="str">
        <f>IF(AND(observasi1!AW48="",observasi2!AW48=""),"",AVERAGE(observasi1!AW48,observasi2!AW48))</f>
        <v/>
      </c>
      <c r="AX48" s="178" t="str">
        <f>IF(AND(observasi1!AX48="",observasi2!AX48=""),"",AVERAGE(observasi1!AX48,observasi2!AX48))</f>
        <v/>
      </c>
      <c r="AY48" s="178" t="str">
        <f>IF(AND(observasi1!AY48="",observasi2!AY48=""),"",AVERAGE(observasi1!AY48,observasi2!AY48))</f>
        <v/>
      </c>
    </row>
    <row r="49" spans="1:51">
      <c r="A49" s="618"/>
      <c r="B49" s="164" t="s">
        <v>200</v>
      </c>
      <c r="C49" s="165" t="s">
        <v>201</v>
      </c>
      <c r="D49" s="178" t="str">
        <f>IF(AND(observasi1!D49="",observasi2!D49=""),"",AVERAGE(observasi1!D49,observasi2!D49))</f>
        <v/>
      </c>
      <c r="E49" s="178" t="str">
        <f>IF(AND(observasi1!E49="",observasi2!E49=""),"",AVERAGE(observasi1!E49,observasi2!E49))</f>
        <v/>
      </c>
      <c r="F49" s="178" t="str">
        <f>IF(AND(observasi1!F49="",observasi2!F49=""),"",AVERAGE(observasi1!F49,observasi2!F49))</f>
        <v/>
      </c>
      <c r="G49" s="178" t="str">
        <f>IF(AND(observasi1!G49="",observasi2!G49=""),"",AVERAGE(observasi1!G49,observasi2!G49))</f>
        <v/>
      </c>
      <c r="H49" s="178" t="str">
        <f>IF(AND(observasi1!H49="",observasi2!H49=""),"",AVERAGE(observasi1!H49,observasi2!H49))</f>
        <v/>
      </c>
      <c r="I49" s="178" t="str">
        <f>IF(AND(observasi1!I49="",observasi2!I49=""),"",AVERAGE(observasi1!I49,observasi2!I49))</f>
        <v/>
      </c>
      <c r="J49" s="178" t="str">
        <f>IF(AND(observasi1!J49="",observasi2!J49=""),"",AVERAGE(observasi1!J49,observasi2!J49))</f>
        <v/>
      </c>
      <c r="K49" s="178" t="str">
        <f>IF(AND(observasi1!K49="",observasi2!K49=""),"",AVERAGE(observasi1!K49,observasi2!K49))</f>
        <v/>
      </c>
      <c r="L49" s="178" t="str">
        <f>IF(AND(observasi1!L49="",observasi2!L49=""),"",AVERAGE(observasi1!L49,observasi2!L49))</f>
        <v/>
      </c>
      <c r="M49" s="178" t="str">
        <f>IF(AND(observasi1!M49="",observasi2!M49=""),"",AVERAGE(observasi1!M49,observasi2!M49))</f>
        <v/>
      </c>
      <c r="N49" s="178" t="str">
        <f>IF(AND(observasi1!N49="",observasi2!N49=""),"",AVERAGE(observasi1!N49,observasi2!N49))</f>
        <v/>
      </c>
      <c r="O49" s="178" t="str">
        <f>IF(AND(observasi1!O49="",observasi2!O49=""),"",AVERAGE(observasi1!O49,observasi2!O49))</f>
        <v/>
      </c>
      <c r="P49" s="178" t="str">
        <f>IF(AND(observasi1!P49="",observasi2!P49=""),"",AVERAGE(observasi1!P49,observasi2!P49))</f>
        <v/>
      </c>
      <c r="Q49" s="178" t="str">
        <f>IF(AND(observasi1!Q49="",observasi2!Q49=""),"",AVERAGE(observasi1!Q49,observasi2!Q49))</f>
        <v/>
      </c>
      <c r="R49" s="178" t="str">
        <f>IF(AND(observasi1!R49="",observasi2!R49=""),"",AVERAGE(observasi1!R49,observasi2!R49))</f>
        <v/>
      </c>
      <c r="S49" s="178" t="str">
        <f>IF(AND(observasi1!S49="",observasi2!S49=""),"",AVERAGE(observasi1!S49,observasi2!S49))</f>
        <v/>
      </c>
      <c r="T49" s="178" t="str">
        <f>IF(AND(observasi1!T49="",observasi2!T49=""),"",AVERAGE(observasi1!T49,observasi2!T49))</f>
        <v/>
      </c>
      <c r="U49" s="178" t="str">
        <f>IF(AND(observasi1!U49="",observasi2!U49=""),"",AVERAGE(observasi1!U49,observasi2!U49))</f>
        <v/>
      </c>
      <c r="V49" s="178" t="str">
        <f>IF(AND(observasi1!V49="",observasi2!V49=""),"",AVERAGE(observasi1!V49,observasi2!V49))</f>
        <v/>
      </c>
      <c r="W49" s="178" t="str">
        <f>IF(AND(observasi1!W49="",observasi2!W49=""),"",AVERAGE(observasi1!W49,observasi2!W49))</f>
        <v/>
      </c>
      <c r="X49" s="178" t="str">
        <f>IF(AND(observasi1!X49="",observasi2!X49=""),"",AVERAGE(observasi1!X49,observasi2!X49))</f>
        <v/>
      </c>
      <c r="Y49" s="178" t="str">
        <f>IF(AND(observasi1!Y49="",observasi2!Y49=""),"",AVERAGE(observasi1!Y49,observasi2!Y49))</f>
        <v/>
      </c>
      <c r="Z49" s="178" t="str">
        <f>IF(AND(observasi1!Z49="",observasi2!Z49=""),"",AVERAGE(observasi1!Z49,observasi2!Z49))</f>
        <v/>
      </c>
      <c r="AA49" s="178" t="str">
        <f>IF(AND(observasi1!AA49="",observasi2!AA49=""),"",AVERAGE(observasi1!AA49,observasi2!AA49))</f>
        <v/>
      </c>
      <c r="AB49" s="178" t="str">
        <f>IF(AND(observasi1!AB49="",observasi2!AB49=""),"",AVERAGE(observasi1!AB49,observasi2!AB49))</f>
        <v/>
      </c>
      <c r="AC49" s="178" t="str">
        <f>IF(AND(observasi1!AC49="",observasi2!AC49=""),"",AVERAGE(observasi1!AC49,observasi2!AC49))</f>
        <v/>
      </c>
      <c r="AD49" s="178" t="str">
        <f>IF(AND(observasi1!AD49="",observasi2!AD49=""),"",AVERAGE(observasi1!AD49,observasi2!AD49))</f>
        <v/>
      </c>
      <c r="AE49" s="178" t="str">
        <f>IF(AND(observasi1!AE49="",observasi2!AE49=""),"",AVERAGE(observasi1!AE49,observasi2!AE49))</f>
        <v/>
      </c>
      <c r="AF49" s="178" t="str">
        <f>IF(AND(observasi1!AF49="",observasi2!AF49=""),"",AVERAGE(observasi1!AF49,observasi2!AF49))</f>
        <v/>
      </c>
      <c r="AG49" s="178" t="str">
        <f>IF(AND(observasi1!AG49="",observasi2!AG49=""),"",AVERAGE(observasi1!AG49,observasi2!AG49))</f>
        <v/>
      </c>
      <c r="AH49" s="178" t="str">
        <f>IF(AND(observasi1!AH49="",observasi2!AH49=""),"",AVERAGE(observasi1!AH49,observasi2!AH49))</f>
        <v/>
      </c>
      <c r="AI49" s="178" t="str">
        <f>IF(AND(observasi1!AI49="",observasi2!AI49=""),"",AVERAGE(observasi1!AI49,observasi2!AI49))</f>
        <v/>
      </c>
      <c r="AJ49" s="178" t="str">
        <f>IF(AND(observasi1!AJ49="",observasi2!AJ49=""),"",AVERAGE(observasi1!AJ49,observasi2!AJ49))</f>
        <v/>
      </c>
      <c r="AK49" s="178" t="str">
        <f>IF(AND(observasi1!AK49="",observasi2!AK49=""),"",AVERAGE(observasi1!AK49,observasi2!AK49))</f>
        <v/>
      </c>
      <c r="AL49" s="178" t="str">
        <f>IF(AND(observasi1!AL49="",observasi2!AL49=""),"",AVERAGE(observasi1!AL49,observasi2!AL49))</f>
        <v/>
      </c>
      <c r="AM49" s="178" t="str">
        <f>IF(AND(observasi1!AM49="",observasi2!AM49=""),"",AVERAGE(observasi1!AM49,observasi2!AM49))</f>
        <v/>
      </c>
      <c r="AN49" s="178" t="str">
        <f>IF(AND(observasi1!AN49="",observasi2!AN49=""),"",AVERAGE(observasi1!AN49,observasi2!AN49))</f>
        <v/>
      </c>
      <c r="AO49" s="178" t="str">
        <f>IF(AND(observasi1!AO49="",observasi2!AO49=""),"",AVERAGE(observasi1!AO49,observasi2!AO49))</f>
        <v/>
      </c>
      <c r="AP49" s="178" t="str">
        <f>IF(AND(observasi1!AP49="",observasi2!AP49=""),"",AVERAGE(observasi1!AP49,observasi2!AP49))</f>
        <v/>
      </c>
      <c r="AQ49" s="178" t="str">
        <f>IF(AND(observasi1!AQ49="",observasi2!AQ49=""),"",AVERAGE(observasi1!AQ49,observasi2!AQ49))</f>
        <v/>
      </c>
      <c r="AR49" s="178" t="str">
        <f>IF(AND(observasi1!AR49="",observasi2!AR49=""),"",AVERAGE(observasi1!AR49,observasi2!AR49))</f>
        <v/>
      </c>
      <c r="AS49" s="178" t="str">
        <f>IF(AND(observasi1!AS49="",observasi2!AS49=""),"",AVERAGE(observasi1!AS49,observasi2!AS49))</f>
        <v/>
      </c>
      <c r="AT49" s="178" t="str">
        <f>IF(AND(observasi1!AT49="",observasi2!AT49=""),"",AVERAGE(observasi1!AT49,observasi2!AT49))</f>
        <v/>
      </c>
      <c r="AU49" s="178" t="str">
        <f>IF(AND(observasi1!AU49="",observasi2!AU49=""),"",AVERAGE(observasi1!AU49,observasi2!AU49))</f>
        <v/>
      </c>
      <c r="AV49" s="178" t="str">
        <f>IF(AND(observasi1!AV49="",observasi2!AV49=""),"",AVERAGE(observasi1!AV49,observasi2!AV49))</f>
        <v/>
      </c>
      <c r="AW49" s="178" t="str">
        <f>IF(AND(observasi1!AW49="",observasi2!AW49=""),"",AVERAGE(observasi1!AW49,observasi2!AW49))</f>
        <v/>
      </c>
      <c r="AX49" s="178" t="str">
        <f>IF(AND(observasi1!AX49="",observasi2!AX49=""),"",AVERAGE(observasi1!AX49,observasi2!AX49))</f>
        <v/>
      </c>
      <c r="AY49" s="178" t="str">
        <f>IF(AND(observasi1!AY49="",observasi2!AY49=""),"",AVERAGE(observasi1!AY49,observasi2!AY49))</f>
        <v/>
      </c>
    </row>
    <row r="50" spans="1:51">
      <c r="A50" s="618"/>
      <c r="B50" s="164" t="s">
        <v>202</v>
      </c>
      <c r="C50" s="165" t="s">
        <v>203</v>
      </c>
      <c r="D50" s="178" t="str">
        <f>IF(AND(observasi1!D50="",observasi2!D50=""),"",AVERAGE(observasi1!D50,observasi2!D50))</f>
        <v/>
      </c>
      <c r="E50" s="178" t="str">
        <f>IF(AND(observasi1!E50="",observasi2!E50=""),"",AVERAGE(observasi1!E50,observasi2!E50))</f>
        <v/>
      </c>
      <c r="F50" s="178" t="str">
        <f>IF(AND(observasi1!F50="",observasi2!F50=""),"",AVERAGE(observasi1!F50,observasi2!F50))</f>
        <v/>
      </c>
      <c r="G50" s="178" t="str">
        <f>IF(AND(observasi1!G50="",observasi2!G50=""),"",AVERAGE(observasi1!G50,observasi2!G50))</f>
        <v/>
      </c>
      <c r="H50" s="178" t="str">
        <f>IF(AND(observasi1!H50="",observasi2!H50=""),"",AVERAGE(observasi1!H50,observasi2!H50))</f>
        <v/>
      </c>
      <c r="I50" s="178" t="str">
        <f>IF(AND(observasi1!I50="",observasi2!I50=""),"",AVERAGE(observasi1!I50,observasi2!I50))</f>
        <v/>
      </c>
      <c r="J50" s="178" t="str">
        <f>IF(AND(observasi1!J50="",observasi2!J50=""),"",AVERAGE(observasi1!J50,observasi2!J50))</f>
        <v/>
      </c>
      <c r="K50" s="178" t="str">
        <f>IF(AND(observasi1!K50="",observasi2!K50=""),"",AVERAGE(observasi1!K50,observasi2!K50))</f>
        <v/>
      </c>
      <c r="L50" s="178" t="str">
        <f>IF(AND(observasi1!L50="",observasi2!L50=""),"",AVERAGE(observasi1!L50,observasi2!L50))</f>
        <v/>
      </c>
      <c r="M50" s="178" t="str">
        <f>IF(AND(observasi1!M50="",observasi2!M50=""),"",AVERAGE(observasi1!M50,observasi2!M50))</f>
        <v/>
      </c>
      <c r="N50" s="178" t="str">
        <f>IF(AND(observasi1!N50="",observasi2!N50=""),"",AVERAGE(observasi1!N50,observasi2!N50))</f>
        <v/>
      </c>
      <c r="O50" s="178" t="str">
        <f>IF(AND(observasi1!O50="",observasi2!O50=""),"",AVERAGE(observasi1!O50,observasi2!O50))</f>
        <v/>
      </c>
      <c r="P50" s="178" t="str">
        <f>IF(AND(observasi1!P50="",observasi2!P50=""),"",AVERAGE(observasi1!P50,observasi2!P50))</f>
        <v/>
      </c>
      <c r="Q50" s="178" t="str">
        <f>IF(AND(observasi1!Q50="",observasi2!Q50=""),"",AVERAGE(observasi1!Q50,observasi2!Q50))</f>
        <v/>
      </c>
      <c r="R50" s="178" t="str">
        <f>IF(AND(observasi1!R50="",observasi2!R50=""),"",AVERAGE(observasi1!R50,observasi2!R50))</f>
        <v/>
      </c>
      <c r="S50" s="178" t="str">
        <f>IF(AND(observasi1!S50="",observasi2!S50=""),"",AVERAGE(observasi1!S50,observasi2!S50))</f>
        <v/>
      </c>
      <c r="T50" s="178" t="str">
        <f>IF(AND(observasi1!T50="",observasi2!T50=""),"",AVERAGE(observasi1!T50,observasi2!T50))</f>
        <v/>
      </c>
      <c r="U50" s="178" t="str">
        <f>IF(AND(observasi1!U50="",observasi2!U50=""),"",AVERAGE(observasi1!U50,observasi2!U50))</f>
        <v/>
      </c>
      <c r="V50" s="178" t="str">
        <f>IF(AND(observasi1!V50="",observasi2!V50=""),"",AVERAGE(observasi1!V50,observasi2!V50))</f>
        <v/>
      </c>
      <c r="W50" s="178" t="str">
        <f>IF(AND(observasi1!W50="",observasi2!W50=""),"",AVERAGE(observasi1!W50,observasi2!W50))</f>
        <v/>
      </c>
      <c r="X50" s="178" t="str">
        <f>IF(AND(observasi1!X50="",observasi2!X50=""),"",AVERAGE(observasi1!X50,observasi2!X50))</f>
        <v/>
      </c>
      <c r="Y50" s="178" t="str">
        <f>IF(AND(observasi1!Y50="",observasi2!Y50=""),"",AVERAGE(observasi1!Y50,observasi2!Y50))</f>
        <v/>
      </c>
      <c r="Z50" s="178" t="str">
        <f>IF(AND(observasi1!Z50="",observasi2!Z50=""),"",AVERAGE(observasi1!Z50,observasi2!Z50))</f>
        <v/>
      </c>
      <c r="AA50" s="178" t="str">
        <f>IF(AND(observasi1!AA50="",observasi2!AA50=""),"",AVERAGE(observasi1!AA50,observasi2!AA50))</f>
        <v/>
      </c>
      <c r="AB50" s="178" t="str">
        <f>IF(AND(observasi1!AB50="",observasi2!AB50=""),"",AVERAGE(observasi1!AB50,observasi2!AB50))</f>
        <v/>
      </c>
      <c r="AC50" s="178" t="str">
        <f>IF(AND(observasi1!AC50="",observasi2!AC50=""),"",AVERAGE(observasi1!AC50,observasi2!AC50))</f>
        <v/>
      </c>
      <c r="AD50" s="178" t="str">
        <f>IF(AND(observasi1!AD50="",observasi2!AD50=""),"",AVERAGE(observasi1!AD50,observasi2!AD50))</f>
        <v/>
      </c>
      <c r="AE50" s="178" t="str">
        <f>IF(AND(observasi1!AE50="",observasi2!AE50=""),"",AVERAGE(observasi1!AE50,observasi2!AE50))</f>
        <v/>
      </c>
      <c r="AF50" s="178" t="str">
        <f>IF(AND(observasi1!AF50="",observasi2!AF50=""),"",AVERAGE(observasi1!AF50,observasi2!AF50))</f>
        <v/>
      </c>
      <c r="AG50" s="178" t="str">
        <f>IF(AND(observasi1!AG50="",observasi2!AG50=""),"",AVERAGE(observasi1!AG50,observasi2!AG50))</f>
        <v/>
      </c>
      <c r="AH50" s="178" t="str">
        <f>IF(AND(observasi1!AH50="",observasi2!AH50=""),"",AVERAGE(observasi1!AH50,observasi2!AH50))</f>
        <v/>
      </c>
      <c r="AI50" s="178" t="str">
        <f>IF(AND(observasi1!AI50="",observasi2!AI50=""),"",AVERAGE(observasi1!AI50,observasi2!AI50))</f>
        <v/>
      </c>
      <c r="AJ50" s="178" t="str">
        <f>IF(AND(observasi1!AJ50="",observasi2!AJ50=""),"",AVERAGE(observasi1!AJ50,observasi2!AJ50))</f>
        <v/>
      </c>
      <c r="AK50" s="178" t="str">
        <f>IF(AND(observasi1!AK50="",observasi2!AK50=""),"",AVERAGE(observasi1!AK50,observasi2!AK50))</f>
        <v/>
      </c>
      <c r="AL50" s="178" t="str">
        <f>IF(AND(observasi1!AL50="",observasi2!AL50=""),"",AVERAGE(observasi1!AL50,observasi2!AL50))</f>
        <v/>
      </c>
      <c r="AM50" s="178" t="str">
        <f>IF(AND(observasi1!AM50="",observasi2!AM50=""),"",AVERAGE(observasi1!AM50,observasi2!AM50))</f>
        <v/>
      </c>
      <c r="AN50" s="178" t="str">
        <f>IF(AND(observasi1!AN50="",observasi2!AN50=""),"",AVERAGE(observasi1!AN50,observasi2!AN50))</f>
        <v/>
      </c>
      <c r="AO50" s="178" t="str">
        <f>IF(AND(observasi1!AO50="",observasi2!AO50=""),"",AVERAGE(observasi1!AO50,observasi2!AO50))</f>
        <v/>
      </c>
      <c r="AP50" s="178" t="str">
        <f>IF(AND(observasi1!AP50="",observasi2!AP50=""),"",AVERAGE(observasi1!AP50,observasi2!AP50))</f>
        <v/>
      </c>
      <c r="AQ50" s="178" t="str">
        <f>IF(AND(observasi1!AQ50="",observasi2!AQ50=""),"",AVERAGE(observasi1!AQ50,observasi2!AQ50))</f>
        <v/>
      </c>
      <c r="AR50" s="178" t="str">
        <f>IF(AND(observasi1!AR50="",observasi2!AR50=""),"",AVERAGE(observasi1!AR50,observasi2!AR50))</f>
        <v/>
      </c>
      <c r="AS50" s="178" t="str">
        <f>IF(AND(observasi1!AS50="",observasi2!AS50=""),"",AVERAGE(observasi1!AS50,observasi2!AS50))</f>
        <v/>
      </c>
      <c r="AT50" s="178" t="str">
        <f>IF(AND(observasi1!AT50="",observasi2!AT50=""),"",AVERAGE(observasi1!AT50,observasi2!AT50))</f>
        <v/>
      </c>
      <c r="AU50" s="178" t="str">
        <f>IF(AND(observasi1!AU50="",observasi2!AU50=""),"",AVERAGE(observasi1!AU50,observasi2!AU50))</f>
        <v/>
      </c>
      <c r="AV50" s="178" t="str">
        <f>IF(AND(observasi1!AV50="",observasi2!AV50=""),"",AVERAGE(observasi1!AV50,observasi2!AV50))</f>
        <v/>
      </c>
      <c r="AW50" s="178" t="str">
        <f>IF(AND(observasi1!AW50="",observasi2!AW50=""),"",AVERAGE(observasi1!AW50,observasi2!AW50))</f>
        <v/>
      </c>
      <c r="AX50" s="178" t="str">
        <f>IF(AND(observasi1!AX50="",observasi2!AX50=""),"",AVERAGE(observasi1!AX50,observasi2!AX50))</f>
        <v/>
      </c>
      <c r="AY50" s="178" t="str">
        <f>IF(AND(observasi1!AY50="",observasi2!AY50=""),"",AVERAGE(observasi1!AY50,observasi2!AY50))</f>
        <v/>
      </c>
    </row>
    <row r="51" spans="1:51">
      <c r="A51" s="618"/>
      <c r="B51" s="164" t="s">
        <v>204</v>
      </c>
      <c r="C51" s="165" t="s">
        <v>205</v>
      </c>
      <c r="D51" s="178" t="str">
        <f>IF(AND(observasi1!D51="",observasi2!D51=""),"",AVERAGE(observasi1!D51,observasi2!D51))</f>
        <v/>
      </c>
      <c r="E51" s="178" t="str">
        <f>IF(AND(observasi1!E51="",observasi2!E51=""),"",AVERAGE(observasi1!E51,observasi2!E51))</f>
        <v/>
      </c>
      <c r="F51" s="178" t="str">
        <f>IF(AND(observasi1!F51="",observasi2!F51=""),"",AVERAGE(observasi1!F51,observasi2!F51))</f>
        <v/>
      </c>
      <c r="G51" s="178" t="str">
        <f>IF(AND(observasi1!G51="",observasi2!G51=""),"",AVERAGE(observasi1!G51,observasi2!G51))</f>
        <v/>
      </c>
      <c r="H51" s="178" t="str">
        <f>IF(AND(observasi1!H51="",observasi2!H51=""),"",AVERAGE(observasi1!H51,observasi2!H51))</f>
        <v/>
      </c>
      <c r="I51" s="178" t="str">
        <f>IF(AND(observasi1!I51="",observasi2!I51=""),"",AVERAGE(observasi1!I51,observasi2!I51))</f>
        <v/>
      </c>
      <c r="J51" s="178" t="str">
        <f>IF(AND(observasi1!J51="",observasi2!J51=""),"",AVERAGE(observasi1!J51,observasi2!J51))</f>
        <v/>
      </c>
      <c r="K51" s="178" t="str">
        <f>IF(AND(observasi1!K51="",observasi2!K51=""),"",AVERAGE(observasi1!K51,observasi2!K51))</f>
        <v/>
      </c>
      <c r="L51" s="178" t="str">
        <f>IF(AND(observasi1!L51="",observasi2!L51=""),"",AVERAGE(observasi1!L51,observasi2!L51))</f>
        <v/>
      </c>
      <c r="M51" s="178" t="str">
        <f>IF(AND(observasi1!M51="",observasi2!M51=""),"",AVERAGE(observasi1!M51,observasi2!M51))</f>
        <v/>
      </c>
      <c r="N51" s="178" t="str">
        <f>IF(AND(observasi1!N51="",observasi2!N51=""),"",AVERAGE(observasi1!N51,observasi2!N51))</f>
        <v/>
      </c>
      <c r="O51" s="178" t="str">
        <f>IF(AND(observasi1!O51="",observasi2!O51=""),"",AVERAGE(observasi1!O51,observasi2!O51))</f>
        <v/>
      </c>
      <c r="P51" s="178" t="str">
        <f>IF(AND(observasi1!P51="",observasi2!P51=""),"",AVERAGE(observasi1!P51,observasi2!P51))</f>
        <v/>
      </c>
      <c r="Q51" s="178" t="str">
        <f>IF(AND(observasi1!Q51="",observasi2!Q51=""),"",AVERAGE(observasi1!Q51,observasi2!Q51))</f>
        <v/>
      </c>
      <c r="R51" s="178" t="str">
        <f>IF(AND(observasi1!R51="",observasi2!R51=""),"",AVERAGE(observasi1!R51,observasi2!R51))</f>
        <v/>
      </c>
      <c r="S51" s="178" t="str">
        <f>IF(AND(observasi1!S51="",observasi2!S51=""),"",AVERAGE(observasi1!S51,observasi2!S51))</f>
        <v/>
      </c>
      <c r="T51" s="178" t="str">
        <f>IF(AND(observasi1!T51="",observasi2!T51=""),"",AVERAGE(observasi1!T51,observasi2!T51))</f>
        <v/>
      </c>
      <c r="U51" s="178" t="str">
        <f>IF(AND(observasi1!U51="",observasi2!U51=""),"",AVERAGE(observasi1!U51,observasi2!U51))</f>
        <v/>
      </c>
      <c r="V51" s="178" t="str">
        <f>IF(AND(observasi1!V51="",observasi2!V51=""),"",AVERAGE(observasi1!V51,observasi2!V51))</f>
        <v/>
      </c>
      <c r="W51" s="178" t="str">
        <f>IF(AND(observasi1!W51="",observasi2!W51=""),"",AVERAGE(observasi1!W51,observasi2!W51))</f>
        <v/>
      </c>
      <c r="X51" s="178" t="str">
        <f>IF(AND(observasi1!X51="",observasi2!X51=""),"",AVERAGE(observasi1!X51,observasi2!X51))</f>
        <v/>
      </c>
      <c r="Y51" s="178" t="str">
        <f>IF(AND(observasi1!Y51="",observasi2!Y51=""),"",AVERAGE(observasi1!Y51,observasi2!Y51))</f>
        <v/>
      </c>
      <c r="Z51" s="178" t="str">
        <f>IF(AND(observasi1!Z51="",observasi2!Z51=""),"",AVERAGE(observasi1!Z51,observasi2!Z51))</f>
        <v/>
      </c>
      <c r="AA51" s="178" t="str">
        <f>IF(AND(observasi1!AA51="",observasi2!AA51=""),"",AVERAGE(observasi1!AA51,observasi2!AA51))</f>
        <v/>
      </c>
      <c r="AB51" s="178" t="str">
        <f>IF(AND(observasi1!AB51="",observasi2!AB51=""),"",AVERAGE(observasi1!AB51,observasi2!AB51))</f>
        <v/>
      </c>
      <c r="AC51" s="178" t="str">
        <f>IF(AND(observasi1!AC51="",observasi2!AC51=""),"",AVERAGE(observasi1!AC51,observasi2!AC51))</f>
        <v/>
      </c>
      <c r="AD51" s="178" t="str">
        <f>IF(AND(observasi1!AD51="",observasi2!AD51=""),"",AVERAGE(observasi1!AD51,observasi2!AD51))</f>
        <v/>
      </c>
      <c r="AE51" s="178" t="str">
        <f>IF(AND(observasi1!AE51="",observasi2!AE51=""),"",AVERAGE(observasi1!AE51,observasi2!AE51))</f>
        <v/>
      </c>
      <c r="AF51" s="178" t="str">
        <f>IF(AND(observasi1!AF51="",observasi2!AF51=""),"",AVERAGE(observasi1!AF51,observasi2!AF51))</f>
        <v/>
      </c>
      <c r="AG51" s="178" t="str">
        <f>IF(AND(observasi1!AG51="",observasi2!AG51=""),"",AVERAGE(observasi1!AG51,observasi2!AG51))</f>
        <v/>
      </c>
      <c r="AH51" s="178" t="str">
        <f>IF(AND(observasi1!AH51="",observasi2!AH51=""),"",AVERAGE(observasi1!AH51,observasi2!AH51))</f>
        <v/>
      </c>
      <c r="AI51" s="178" t="str">
        <f>IF(AND(observasi1!AI51="",observasi2!AI51=""),"",AVERAGE(observasi1!AI51,observasi2!AI51))</f>
        <v/>
      </c>
      <c r="AJ51" s="178" t="str">
        <f>IF(AND(observasi1!AJ51="",observasi2!AJ51=""),"",AVERAGE(observasi1!AJ51,observasi2!AJ51))</f>
        <v/>
      </c>
      <c r="AK51" s="178" t="str">
        <f>IF(AND(observasi1!AK51="",observasi2!AK51=""),"",AVERAGE(observasi1!AK51,observasi2!AK51))</f>
        <v/>
      </c>
      <c r="AL51" s="178" t="str">
        <f>IF(AND(observasi1!AL51="",observasi2!AL51=""),"",AVERAGE(observasi1!AL51,observasi2!AL51))</f>
        <v/>
      </c>
      <c r="AM51" s="178" t="str">
        <f>IF(AND(observasi1!AM51="",observasi2!AM51=""),"",AVERAGE(observasi1!AM51,observasi2!AM51))</f>
        <v/>
      </c>
      <c r="AN51" s="178" t="str">
        <f>IF(AND(observasi1!AN51="",observasi2!AN51=""),"",AVERAGE(observasi1!AN51,observasi2!AN51))</f>
        <v/>
      </c>
      <c r="AO51" s="178" t="str">
        <f>IF(AND(observasi1!AO51="",observasi2!AO51=""),"",AVERAGE(observasi1!AO51,observasi2!AO51))</f>
        <v/>
      </c>
      <c r="AP51" s="178" t="str">
        <f>IF(AND(observasi1!AP51="",observasi2!AP51=""),"",AVERAGE(observasi1!AP51,observasi2!AP51))</f>
        <v/>
      </c>
      <c r="AQ51" s="178" t="str">
        <f>IF(AND(observasi1!AQ51="",observasi2!AQ51=""),"",AVERAGE(observasi1!AQ51,observasi2!AQ51))</f>
        <v/>
      </c>
      <c r="AR51" s="178" t="str">
        <f>IF(AND(observasi1!AR51="",observasi2!AR51=""),"",AVERAGE(observasi1!AR51,observasi2!AR51))</f>
        <v/>
      </c>
      <c r="AS51" s="178" t="str">
        <f>IF(AND(observasi1!AS51="",observasi2!AS51=""),"",AVERAGE(observasi1!AS51,observasi2!AS51))</f>
        <v/>
      </c>
      <c r="AT51" s="178" t="str">
        <f>IF(AND(observasi1!AT51="",observasi2!AT51=""),"",AVERAGE(observasi1!AT51,observasi2!AT51))</f>
        <v/>
      </c>
      <c r="AU51" s="178" t="str">
        <f>IF(AND(observasi1!AU51="",observasi2!AU51=""),"",AVERAGE(observasi1!AU51,observasi2!AU51))</f>
        <v/>
      </c>
      <c r="AV51" s="178" t="str">
        <f>IF(AND(observasi1!AV51="",observasi2!AV51=""),"",AVERAGE(observasi1!AV51,observasi2!AV51))</f>
        <v/>
      </c>
      <c r="AW51" s="178" t="str">
        <f>IF(AND(observasi1!AW51="",observasi2!AW51=""),"",AVERAGE(observasi1!AW51,observasi2!AW51))</f>
        <v/>
      </c>
      <c r="AX51" s="178" t="str">
        <f>IF(AND(observasi1!AX51="",observasi2!AX51=""),"",AVERAGE(observasi1!AX51,observasi2!AX51))</f>
        <v/>
      </c>
      <c r="AY51" s="178" t="str">
        <f>IF(AND(observasi1!AY51="",observasi2!AY51=""),"",AVERAGE(observasi1!AY51,observasi2!AY51))</f>
        <v/>
      </c>
    </row>
    <row r="52" spans="1:51">
      <c r="A52" s="618"/>
      <c r="B52" s="166"/>
      <c r="C52" s="167"/>
      <c r="D52" s="171" t="str">
        <f>IF(AND(D47="",D48="",D49="",D50="",D51=""),"",AVERAGE(D47:D51))</f>
        <v/>
      </c>
      <c r="E52" s="171" t="str">
        <f t="shared" ref="E52:AY52" si="7">IF(AND(E47="",E48="",E49="",E50="",E51=""),"",AVERAGE(E47:E51))</f>
        <v/>
      </c>
      <c r="F52" s="171" t="str">
        <f t="shared" si="7"/>
        <v/>
      </c>
      <c r="G52" s="171" t="str">
        <f t="shared" si="7"/>
        <v/>
      </c>
      <c r="H52" s="171" t="str">
        <f t="shared" si="7"/>
        <v/>
      </c>
      <c r="I52" s="171" t="str">
        <f t="shared" si="7"/>
        <v/>
      </c>
      <c r="J52" s="171" t="str">
        <f t="shared" si="7"/>
        <v/>
      </c>
      <c r="K52" s="171" t="str">
        <f t="shared" si="7"/>
        <v/>
      </c>
      <c r="L52" s="171" t="str">
        <f t="shared" si="7"/>
        <v/>
      </c>
      <c r="M52" s="171" t="str">
        <f t="shared" si="7"/>
        <v/>
      </c>
      <c r="N52" s="171" t="str">
        <f t="shared" si="7"/>
        <v/>
      </c>
      <c r="O52" s="171" t="str">
        <f t="shared" si="7"/>
        <v/>
      </c>
      <c r="P52" s="171" t="str">
        <f t="shared" si="7"/>
        <v/>
      </c>
      <c r="Q52" s="171" t="str">
        <f t="shared" si="7"/>
        <v/>
      </c>
      <c r="R52" s="171" t="str">
        <f t="shared" si="7"/>
        <v/>
      </c>
      <c r="S52" s="171" t="str">
        <f t="shared" si="7"/>
        <v/>
      </c>
      <c r="T52" s="171" t="str">
        <f t="shared" si="7"/>
        <v/>
      </c>
      <c r="U52" s="171" t="str">
        <f t="shared" si="7"/>
        <v/>
      </c>
      <c r="V52" s="171" t="str">
        <f t="shared" si="7"/>
        <v/>
      </c>
      <c r="W52" s="171" t="str">
        <f t="shared" si="7"/>
        <v/>
      </c>
      <c r="X52" s="171" t="str">
        <f t="shared" si="7"/>
        <v/>
      </c>
      <c r="Y52" s="171" t="str">
        <f t="shared" si="7"/>
        <v/>
      </c>
      <c r="Z52" s="171" t="str">
        <f t="shared" si="7"/>
        <v/>
      </c>
      <c r="AA52" s="171" t="str">
        <f t="shared" si="7"/>
        <v/>
      </c>
      <c r="AB52" s="171" t="str">
        <f t="shared" si="7"/>
        <v/>
      </c>
      <c r="AC52" s="171" t="str">
        <f t="shared" si="7"/>
        <v/>
      </c>
      <c r="AD52" s="171" t="str">
        <f t="shared" si="7"/>
        <v/>
      </c>
      <c r="AE52" s="171" t="str">
        <f t="shared" si="7"/>
        <v/>
      </c>
      <c r="AF52" s="171" t="str">
        <f t="shared" si="7"/>
        <v/>
      </c>
      <c r="AG52" s="171" t="str">
        <f t="shared" si="7"/>
        <v/>
      </c>
      <c r="AH52" s="171" t="str">
        <f t="shared" si="7"/>
        <v/>
      </c>
      <c r="AI52" s="171" t="str">
        <f t="shared" si="7"/>
        <v/>
      </c>
      <c r="AJ52" s="171" t="str">
        <f t="shared" si="7"/>
        <v/>
      </c>
      <c r="AK52" s="171" t="str">
        <f t="shared" si="7"/>
        <v/>
      </c>
      <c r="AL52" s="171" t="str">
        <f t="shared" si="7"/>
        <v/>
      </c>
      <c r="AM52" s="171" t="str">
        <f t="shared" si="7"/>
        <v/>
      </c>
      <c r="AN52" s="171" t="str">
        <f t="shared" si="7"/>
        <v/>
      </c>
      <c r="AO52" s="171" t="str">
        <f t="shared" si="7"/>
        <v/>
      </c>
      <c r="AP52" s="171" t="str">
        <f t="shared" si="7"/>
        <v/>
      </c>
      <c r="AQ52" s="171" t="str">
        <f t="shared" si="7"/>
        <v/>
      </c>
      <c r="AR52" s="171" t="str">
        <f t="shared" si="7"/>
        <v/>
      </c>
      <c r="AS52" s="171" t="str">
        <f t="shared" si="7"/>
        <v/>
      </c>
      <c r="AT52" s="171" t="str">
        <f t="shared" si="7"/>
        <v/>
      </c>
      <c r="AU52" s="171" t="str">
        <f t="shared" si="7"/>
        <v/>
      </c>
      <c r="AV52" s="171" t="str">
        <f t="shared" si="7"/>
        <v/>
      </c>
      <c r="AW52" s="171" t="str">
        <f t="shared" si="7"/>
        <v/>
      </c>
      <c r="AX52" s="171" t="str">
        <f t="shared" si="7"/>
        <v/>
      </c>
      <c r="AY52" s="171" t="str">
        <f t="shared" si="7"/>
        <v/>
      </c>
    </row>
    <row r="53" spans="1:51">
      <c r="A53" s="175"/>
      <c r="B53" s="175"/>
      <c r="C53" s="175"/>
      <c r="D53" s="34"/>
      <c r="E53" s="34"/>
      <c r="F53" s="91"/>
      <c r="G53" s="91"/>
      <c r="H53" s="91"/>
      <c r="I53" s="91"/>
      <c r="J53" s="91"/>
      <c r="K53" s="91"/>
      <c r="L53" s="91"/>
      <c r="M53" s="91"/>
      <c r="N53" s="91"/>
      <c r="O53" s="91"/>
      <c r="P53" s="91"/>
      <c r="Q53" s="91"/>
      <c r="R53" s="91"/>
      <c r="S53" s="91"/>
      <c r="T53" s="91"/>
      <c r="U53" s="91"/>
      <c r="V53" s="91"/>
      <c r="W53" s="91"/>
      <c r="X53" s="91"/>
      <c r="Y53" s="91"/>
      <c r="Z53" s="91"/>
      <c r="AA53" s="91"/>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91"/>
    </row>
    <row r="54" spans="1:51">
      <c r="A54" s="91"/>
      <c r="B54" s="91"/>
      <c r="C54" s="91"/>
      <c r="D54" s="177" t="e">
        <f>AVERAGE(D52,D46,D40,D35,D29,D23,D14,D8)</f>
        <v>#DIV/0!</v>
      </c>
      <c r="E54" s="177" t="e">
        <f t="shared" ref="E54:AY54" si="8">AVERAGE(E52,E46,E40,E35,E29,E23,E14,E8)</f>
        <v>#DIV/0!</v>
      </c>
      <c r="F54" s="177" t="e">
        <f t="shared" si="8"/>
        <v>#DIV/0!</v>
      </c>
      <c r="G54" s="177" t="e">
        <f t="shared" si="8"/>
        <v>#DIV/0!</v>
      </c>
      <c r="H54" s="177" t="e">
        <f t="shared" si="8"/>
        <v>#DIV/0!</v>
      </c>
      <c r="I54" s="177" t="e">
        <f t="shared" si="8"/>
        <v>#DIV/0!</v>
      </c>
      <c r="J54" s="177" t="e">
        <f t="shared" si="8"/>
        <v>#DIV/0!</v>
      </c>
      <c r="K54" s="177" t="e">
        <f t="shared" si="8"/>
        <v>#DIV/0!</v>
      </c>
      <c r="L54" s="177" t="e">
        <f t="shared" si="8"/>
        <v>#DIV/0!</v>
      </c>
      <c r="M54" s="177" t="e">
        <f t="shared" si="8"/>
        <v>#DIV/0!</v>
      </c>
      <c r="N54" s="177" t="e">
        <f t="shared" si="8"/>
        <v>#DIV/0!</v>
      </c>
      <c r="O54" s="177" t="e">
        <f t="shared" si="8"/>
        <v>#DIV/0!</v>
      </c>
      <c r="P54" s="177" t="e">
        <f t="shared" si="8"/>
        <v>#DIV/0!</v>
      </c>
      <c r="Q54" s="177" t="e">
        <f t="shared" si="8"/>
        <v>#DIV/0!</v>
      </c>
      <c r="R54" s="177" t="e">
        <f t="shared" si="8"/>
        <v>#DIV/0!</v>
      </c>
      <c r="S54" s="177" t="e">
        <f t="shared" si="8"/>
        <v>#DIV/0!</v>
      </c>
      <c r="T54" s="177" t="e">
        <f t="shared" si="8"/>
        <v>#DIV/0!</v>
      </c>
      <c r="U54" s="177" t="e">
        <f t="shared" si="8"/>
        <v>#DIV/0!</v>
      </c>
      <c r="V54" s="177" t="e">
        <f t="shared" si="8"/>
        <v>#DIV/0!</v>
      </c>
      <c r="W54" s="177" t="e">
        <f t="shared" si="8"/>
        <v>#DIV/0!</v>
      </c>
      <c r="X54" s="177" t="e">
        <f t="shared" si="8"/>
        <v>#DIV/0!</v>
      </c>
      <c r="Y54" s="177" t="e">
        <f t="shared" si="8"/>
        <v>#DIV/0!</v>
      </c>
      <c r="Z54" s="177" t="e">
        <f t="shared" si="8"/>
        <v>#DIV/0!</v>
      </c>
      <c r="AA54" s="177" t="e">
        <f t="shared" si="8"/>
        <v>#DIV/0!</v>
      </c>
      <c r="AB54" s="177" t="e">
        <f t="shared" si="8"/>
        <v>#DIV/0!</v>
      </c>
      <c r="AC54" s="177" t="e">
        <f t="shared" si="8"/>
        <v>#DIV/0!</v>
      </c>
      <c r="AD54" s="177" t="e">
        <f t="shared" si="8"/>
        <v>#DIV/0!</v>
      </c>
      <c r="AE54" s="177" t="e">
        <f t="shared" si="8"/>
        <v>#DIV/0!</v>
      </c>
      <c r="AF54" s="177" t="e">
        <f t="shared" si="8"/>
        <v>#DIV/0!</v>
      </c>
      <c r="AG54" s="177" t="e">
        <f t="shared" si="8"/>
        <v>#DIV/0!</v>
      </c>
      <c r="AH54" s="177" t="e">
        <f t="shared" si="8"/>
        <v>#DIV/0!</v>
      </c>
      <c r="AI54" s="177" t="e">
        <f t="shared" si="8"/>
        <v>#DIV/0!</v>
      </c>
      <c r="AJ54" s="177" t="e">
        <f t="shared" si="8"/>
        <v>#DIV/0!</v>
      </c>
      <c r="AK54" s="177" t="e">
        <f t="shared" si="8"/>
        <v>#DIV/0!</v>
      </c>
      <c r="AL54" s="177" t="e">
        <f t="shared" si="8"/>
        <v>#DIV/0!</v>
      </c>
      <c r="AM54" s="177" t="e">
        <f t="shared" si="8"/>
        <v>#DIV/0!</v>
      </c>
      <c r="AN54" s="177" t="e">
        <f t="shared" si="8"/>
        <v>#DIV/0!</v>
      </c>
      <c r="AO54" s="177" t="e">
        <f t="shared" si="8"/>
        <v>#DIV/0!</v>
      </c>
      <c r="AP54" s="177" t="e">
        <f t="shared" si="8"/>
        <v>#DIV/0!</v>
      </c>
      <c r="AQ54" s="177" t="e">
        <f t="shared" si="8"/>
        <v>#DIV/0!</v>
      </c>
      <c r="AR54" s="177" t="e">
        <f t="shared" si="8"/>
        <v>#DIV/0!</v>
      </c>
      <c r="AS54" s="177" t="e">
        <f t="shared" si="8"/>
        <v>#DIV/0!</v>
      </c>
      <c r="AT54" s="177" t="e">
        <f t="shared" si="8"/>
        <v>#DIV/0!</v>
      </c>
      <c r="AU54" s="177" t="e">
        <f t="shared" si="8"/>
        <v>#DIV/0!</v>
      </c>
      <c r="AV54" s="177" t="e">
        <f t="shared" si="8"/>
        <v>#DIV/0!</v>
      </c>
      <c r="AW54" s="177" t="e">
        <f t="shared" si="8"/>
        <v>#DIV/0!</v>
      </c>
      <c r="AX54" s="177" t="e">
        <f t="shared" si="8"/>
        <v>#DIV/0!</v>
      </c>
      <c r="AY54" s="177" t="e">
        <f t="shared" si="8"/>
        <v>#DIV/0!</v>
      </c>
    </row>
  </sheetData>
  <sheetProtection password="C522" sheet="1" objects="1" scenarios="1" formatCells="0" formatColumns="0" formatRows="0" insertColumns="0" insertRows="0" insertHyperlinks="0" deleteColumns="0" deleteRows="0" sort="0"/>
  <mergeCells count="8">
    <mergeCell ref="A41:A46"/>
    <mergeCell ref="A47:A52"/>
    <mergeCell ref="A3:A8"/>
    <mergeCell ref="A9:A14"/>
    <mergeCell ref="A15:A23"/>
    <mergeCell ref="A24:A29"/>
    <mergeCell ref="A30:A35"/>
    <mergeCell ref="A36:A40"/>
  </mergeCells>
  <conditionalFormatting sqref="AP2:XFD2 D1:AO2 D8">
    <cfRule type="expression" dxfId="378" priority="271">
      <formula>MOD(COLUMN(),2)=1</formula>
    </cfRule>
  </conditionalFormatting>
  <conditionalFormatting sqref="B14:C14 B29:C29 B35:C35 B46:C46 B52:C52 B8:D8">
    <cfRule type="cellIs" dxfId="377" priority="270" operator="notEqual">
      <formula>$B$2</formula>
    </cfRule>
  </conditionalFormatting>
  <conditionalFormatting sqref="B23:C23">
    <cfRule type="cellIs" dxfId="376" priority="269" operator="notEqual">
      <formula>$B$2</formula>
    </cfRule>
  </conditionalFormatting>
  <conditionalFormatting sqref="B40:C40">
    <cfRule type="cellIs" dxfId="375" priority="268" operator="notEqual">
      <formula>$B$2</formula>
    </cfRule>
  </conditionalFormatting>
  <conditionalFormatting sqref="AP2:XFD2 D1:AO2 D8">
    <cfRule type="expression" dxfId="374" priority="267">
      <formula>MOD(COLUMN(),2)=1</formula>
    </cfRule>
  </conditionalFormatting>
  <conditionalFormatting sqref="D8">
    <cfRule type="cellIs" dxfId="373" priority="266" operator="notEqual">
      <formula>$B$2</formula>
    </cfRule>
  </conditionalFormatting>
  <conditionalFormatting sqref="F1:AY1">
    <cfRule type="expression" dxfId="372" priority="263">
      <formula>MOD(COLUMN(),2)=1</formula>
    </cfRule>
  </conditionalFormatting>
  <conditionalFormatting sqref="F2:AY2 D1:E2 D8">
    <cfRule type="expression" dxfId="371" priority="261">
      <formula>MOD(COLUMN(),2)=1</formula>
    </cfRule>
  </conditionalFormatting>
  <conditionalFormatting sqref="B14:C14 B29:C29 B35:C35 B46:C46 B52:C52 B8:D8">
    <cfRule type="cellIs" dxfId="370" priority="260" operator="notEqual">
      <formula>$B$2</formula>
    </cfRule>
  </conditionalFormatting>
  <conditionalFormatting sqref="B23:C23">
    <cfRule type="cellIs" dxfId="369" priority="259" operator="notEqual">
      <formula>$B$2</formula>
    </cfRule>
  </conditionalFormatting>
  <conditionalFormatting sqref="B40:C40">
    <cfRule type="cellIs" dxfId="368" priority="258" operator="notEqual">
      <formula>$B$2</formula>
    </cfRule>
  </conditionalFormatting>
  <conditionalFormatting sqref="F2:AY2 D1:E2 D8">
    <cfRule type="expression" dxfId="367" priority="257">
      <formula>MOD(COLUMN(),2)=1</formula>
    </cfRule>
  </conditionalFormatting>
  <conditionalFormatting sqref="D8">
    <cfRule type="cellIs" dxfId="366" priority="256" operator="notEqual">
      <formula>$B$2</formula>
    </cfRule>
  </conditionalFormatting>
  <conditionalFormatting sqref="D3">
    <cfRule type="expression" dxfId="365" priority="208">
      <formula>MOD(COLUMN(),2)=1</formula>
    </cfRule>
  </conditionalFormatting>
  <conditionalFormatting sqref="D3">
    <cfRule type="expression" dxfId="364" priority="207">
      <formula>MOD(COLUMN(),2)=1</formula>
    </cfRule>
  </conditionalFormatting>
  <conditionalFormatting sqref="D3">
    <cfRule type="expression" dxfId="363" priority="206">
      <formula>MOD(COLUMN(),2)=1</formula>
    </cfRule>
  </conditionalFormatting>
  <conditionalFormatting sqref="D3">
    <cfRule type="expression" dxfId="362" priority="205">
      <formula>MOD(COLUMN(),2)=1</formula>
    </cfRule>
  </conditionalFormatting>
  <conditionalFormatting sqref="D4:D7">
    <cfRule type="expression" dxfId="361" priority="204">
      <formula>MOD(COLUMN(),2)=1</formula>
    </cfRule>
  </conditionalFormatting>
  <conditionalFormatting sqref="D4:D7">
    <cfRule type="expression" dxfId="360" priority="203">
      <formula>MOD(COLUMN(),2)=1</formula>
    </cfRule>
  </conditionalFormatting>
  <conditionalFormatting sqref="D4:D7">
    <cfRule type="expression" dxfId="359" priority="202">
      <formula>MOD(COLUMN(),2)=1</formula>
    </cfRule>
  </conditionalFormatting>
  <conditionalFormatting sqref="D4:D7">
    <cfRule type="expression" dxfId="358" priority="201">
      <formula>MOD(COLUMN(),2)=1</formula>
    </cfRule>
  </conditionalFormatting>
  <conditionalFormatting sqref="D9:D13">
    <cfRule type="expression" dxfId="357" priority="184">
      <formula>MOD(COLUMN(),2)=1</formula>
    </cfRule>
  </conditionalFormatting>
  <conditionalFormatting sqref="D9:D13">
    <cfRule type="expression" dxfId="356" priority="183">
      <formula>MOD(COLUMN(),2)=1</formula>
    </cfRule>
  </conditionalFormatting>
  <conditionalFormatting sqref="D9:D13">
    <cfRule type="expression" dxfId="355" priority="182">
      <formula>MOD(COLUMN(),2)=1</formula>
    </cfRule>
  </conditionalFormatting>
  <conditionalFormatting sqref="D9:D13">
    <cfRule type="expression" dxfId="354" priority="181">
      <formula>MOD(COLUMN(),2)=1</formula>
    </cfRule>
  </conditionalFormatting>
  <conditionalFormatting sqref="D14">
    <cfRule type="expression" dxfId="353" priority="180">
      <formula>MOD(COLUMN(),2)=1</formula>
    </cfRule>
  </conditionalFormatting>
  <conditionalFormatting sqref="D14">
    <cfRule type="cellIs" dxfId="352" priority="179" operator="notEqual">
      <formula>$B$2</formula>
    </cfRule>
  </conditionalFormatting>
  <conditionalFormatting sqref="D14">
    <cfRule type="expression" dxfId="351" priority="178">
      <formula>MOD(COLUMN(),2)=1</formula>
    </cfRule>
  </conditionalFormatting>
  <conditionalFormatting sqref="D14">
    <cfRule type="cellIs" dxfId="350" priority="177" operator="notEqual">
      <formula>$B$2</formula>
    </cfRule>
  </conditionalFormatting>
  <conditionalFormatting sqref="D14">
    <cfRule type="expression" dxfId="349" priority="176">
      <formula>MOD(COLUMN(),2)=1</formula>
    </cfRule>
  </conditionalFormatting>
  <conditionalFormatting sqref="D14">
    <cfRule type="cellIs" dxfId="348" priority="175" operator="notEqual">
      <formula>$B$2</formula>
    </cfRule>
  </conditionalFormatting>
  <conditionalFormatting sqref="D14">
    <cfRule type="expression" dxfId="347" priority="174">
      <formula>MOD(COLUMN(),2)=1</formula>
    </cfRule>
  </conditionalFormatting>
  <conditionalFormatting sqref="D14">
    <cfRule type="cellIs" dxfId="346" priority="173" operator="notEqual">
      <formula>$B$2</formula>
    </cfRule>
  </conditionalFormatting>
  <conditionalFormatting sqref="D23">
    <cfRule type="expression" dxfId="345" priority="172">
      <formula>MOD(COLUMN(),2)=1</formula>
    </cfRule>
  </conditionalFormatting>
  <conditionalFormatting sqref="D23">
    <cfRule type="cellIs" dxfId="344" priority="171" operator="notEqual">
      <formula>$B$2</formula>
    </cfRule>
  </conditionalFormatting>
  <conditionalFormatting sqref="D23">
    <cfRule type="expression" dxfId="343" priority="170">
      <formula>MOD(COLUMN(),2)=1</formula>
    </cfRule>
  </conditionalFormatting>
  <conditionalFormatting sqref="D23">
    <cfRule type="cellIs" dxfId="342" priority="169" operator="notEqual">
      <formula>$B$2</formula>
    </cfRule>
  </conditionalFormatting>
  <conditionalFormatting sqref="D23">
    <cfRule type="expression" dxfId="341" priority="168">
      <formula>MOD(COLUMN(),2)=1</formula>
    </cfRule>
  </conditionalFormatting>
  <conditionalFormatting sqref="D23">
    <cfRule type="cellIs" dxfId="340" priority="167" operator="notEqual">
      <formula>$B$2</formula>
    </cfRule>
  </conditionalFormatting>
  <conditionalFormatting sqref="D23">
    <cfRule type="expression" dxfId="339" priority="166">
      <formula>MOD(COLUMN(),2)=1</formula>
    </cfRule>
  </conditionalFormatting>
  <conditionalFormatting sqref="D23">
    <cfRule type="cellIs" dxfId="338" priority="165" operator="notEqual">
      <formula>$B$2</formula>
    </cfRule>
  </conditionalFormatting>
  <conditionalFormatting sqref="D29">
    <cfRule type="expression" dxfId="337" priority="164">
      <formula>MOD(COLUMN(),2)=1</formula>
    </cfRule>
  </conditionalFormatting>
  <conditionalFormatting sqref="D29">
    <cfRule type="cellIs" dxfId="336" priority="163" operator="notEqual">
      <formula>$B$2</formula>
    </cfRule>
  </conditionalFormatting>
  <conditionalFormatting sqref="D29">
    <cfRule type="expression" dxfId="335" priority="162">
      <formula>MOD(COLUMN(),2)=1</formula>
    </cfRule>
  </conditionalFormatting>
  <conditionalFormatting sqref="D29">
    <cfRule type="cellIs" dxfId="334" priority="161" operator="notEqual">
      <formula>$B$2</formula>
    </cfRule>
  </conditionalFormatting>
  <conditionalFormatting sqref="D29">
    <cfRule type="expression" dxfId="333" priority="160">
      <formula>MOD(COLUMN(),2)=1</formula>
    </cfRule>
  </conditionalFormatting>
  <conditionalFormatting sqref="D29">
    <cfRule type="cellIs" dxfId="332" priority="159" operator="notEqual">
      <formula>$B$2</formula>
    </cfRule>
  </conditionalFormatting>
  <conditionalFormatting sqref="D29">
    <cfRule type="expression" dxfId="331" priority="158">
      <formula>MOD(COLUMN(),2)=1</formula>
    </cfRule>
  </conditionalFormatting>
  <conditionalFormatting sqref="D29">
    <cfRule type="cellIs" dxfId="330" priority="157" operator="notEqual">
      <formula>$B$2</formula>
    </cfRule>
  </conditionalFormatting>
  <conditionalFormatting sqref="D35">
    <cfRule type="expression" dxfId="329" priority="156">
      <formula>MOD(COLUMN(),2)=1</formula>
    </cfRule>
  </conditionalFormatting>
  <conditionalFormatting sqref="D35">
    <cfRule type="cellIs" dxfId="328" priority="155" operator="notEqual">
      <formula>$B$2</formula>
    </cfRule>
  </conditionalFormatting>
  <conditionalFormatting sqref="D35">
    <cfRule type="expression" dxfId="327" priority="154">
      <formula>MOD(COLUMN(),2)=1</formula>
    </cfRule>
  </conditionalFormatting>
  <conditionalFormatting sqref="D35">
    <cfRule type="cellIs" dxfId="326" priority="153" operator="notEqual">
      <formula>$B$2</formula>
    </cfRule>
  </conditionalFormatting>
  <conditionalFormatting sqref="D35">
    <cfRule type="expression" dxfId="325" priority="152">
      <formula>MOD(COLUMN(),2)=1</formula>
    </cfRule>
  </conditionalFormatting>
  <conditionalFormatting sqref="D35">
    <cfRule type="cellIs" dxfId="324" priority="151" operator="notEqual">
      <formula>$B$2</formula>
    </cfRule>
  </conditionalFormatting>
  <conditionalFormatting sqref="D35">
    <cfRule type="expression" dxfId="323" priority="150">
      <formula>MOD(COLUMN(),2)=1</formula>
    </cfRule>
  </conditionalFormatting>
  <conditionalFormatting sqref="D35">
    <cfRule type="cellIs" dxfId="322" priority="149" operator="notEqual">
      <formula>$B$2</formula>
    </cfRule>
  </conditionalFormatting>
  <conditionalFormatting sqref="D40">
    <cfRule type="expression" dxfId="321" priority="148">
      <formula>MOD(COLUMN(),2)=1</formula>
    </cfRule>
  </conditionalFormatting>
  <conditionalFormatting sqref="D40">
    <cfRule type="cellIs" dxfId="320" priority="147" operator="notEqual">
      <formula>$B$2</formula>
    </cfRule>
  </conditionalFormatting>
  <conditionalFormatting sqref="D40">
    <cfRule type="expression" dxfId="319" priority="146">
      <formula>MOD(COLUMN(),2)=1</formula>
    </cfRule>
  </conditionalFormatting>
  <conditionalFormatting sqref="D40">
    <cfRule type="cellIs" dxfId="318" priority="145" operator="notEqual">
      <formula>$B$2</formula>
    </cfRule>
  </conditionalFormatting>
  <conditionalFormatting sqref="D40">
    <cfRule type="cellIs" dxfId="317" priority="144" operator="notEqual">
      <formula>$B$2</formula>
    </cfRule>
  </conditionalFormatting>
  <conditionalFormatting sqref="D40">
    <cfRule type="expression" dxfId="316" priority="143">
      <formula>MOD(COLUMN(),2)=1</formula>
    </cfRule>
  </conditionalFormatting>
  <conditionalFormatting sqref="D40">
    <cfRule type="cellIs" dxfId="315" priority="142" operator="notEqual">
      <formula>$B$2</formula>
    </cfRule>
  </conditionalFormatting>
  <conditionalFormatting sqref="D40">
    <cfRule type="expression" dxfId="314" priority="141">
      <formula>MOD(COLUMN(),2)=1</formula>
    </cfRule>
  </conditionalFormatting>
  <conditionalFormatting sqref="D46">
    <cfRule type="expression" dxfId="313" priority="140">
      <formula>MOD(COLUMN(),2)=1</formula>
    </cfRule>
  </conditionalFormatting>
  <conditionalFormatting sqref="D46">
    <cfRule type="cellIs" dxfId="312" priority="139" operator="notEqual">
      <formula>$B$2</formula>
    </cfRule>
  </conditionalFormatting>
  <conditionalFormatting sqref="D46">
    <cfRule type="expression" dxfId="311" priority="138">
      <formula>MOD(COLUMN(),2)=1</formula>
    </cfRule>
  </conditionalFormatting>
  <conditionalFormatting sqref="D46">
    <cfRule type="cellIs" dxfId="310" priority="137" operator="notEqual">
      <formula>$B$2</formula>
    </cfRule>
  </conditionalFormatting>
  <conditionalFormatting sqref="D46">
    <cfRule type="expression" dxfId="309" priority="136">
      <formula>MOD(COLUMN(),2)=1</formula>
    </cfRule>
  </conditionalFormatting>
  <conditionalFormatting sqref="D46">
    <cfRule type="cellIs" dxfId="308" priority="135" operator="notEqual">
      <formula>$B$2</formula>
    </cfRule>
  </conditionalFormatting>
  <conditionalFormatting sqref="D46">
    <cfRule type="expression" dxfId="307" priority="134">
      <formula>MOD(COLUMN(),2)=1</formula>
    </cfRule>
  </conditionalFormatting>
  <conditionalFormatting sqref="D46">
    <cfRule type="cellIs" dxfId="306" priority="133" operator="notEqual">
      <formula>$B$2</formula>
    </cfRule>
  </conditionalFormatting>
  <conditionalFormatting sqref="D52">
    <cfRule type="expression" dxfId="305" priority="132">
      <formula>MOD(COLUMN(),2)=1</formula>
    </cfRule>
  </conditionalFormatting>
  <conditionalFormatting sqref="D52">
    <cfRule type="cellIs" dxfId="304" priority="131" operator="notEqual">
      <formula>$B$2</formula>
    </cfRule>
  </conditionalFormatting>
  <conditionalFormatting sqref="D52">
    <cfRule type="expression" dxfId="303" priority="130">
      <formula>MOD(COLUMN(),2)=1</formula>
    </cfRule>
  </conditionalFormatting>
  <conditionalFormatting sqref="D52">
    <cfRule type="cellIs" dxfId="302" priority="129" operator="notEqual">
      <formula>$B$2</formula>
    </cfRule>
  </conditionalFormatting>
  <conditionalFormatting sqref="D52">
    <cfRule type="expression" dxfId="301" priority="128">
      <formula>MOD(COLUMN(),2)=1</formula>
    </cfRule>
  </conditionalFormatting>
  <conditionalFormatting sqref="D52">
    <cfRule type="cellIs" dxfId="300" priority="127" operator="notEqual">
      <formula>$B$2</formula>
    </cfRule>
  </conditionalFormatting>
  <conditionalFormatting sqref="D52">
    <cfRule type="expression" dxfId="299" priority="126">
      <formula>MOD(COLUMN(),2)=1</formula>
    </cfRule>
  </conditionalFormatting>
  <conditionalFormatting sqref="D52">
    <cfRule type="cellIs" dxfId="298" priority="125" operator="notEqual">
      <formula>$B$2</formula>
    </cfRule>
  </conditionalFormatting>
  <conditionalFormatting sqref="D15:D22">
    <cfRule type="expression" dxfId="297" priority="124">
      <formula>MOD(COLUMN(),2)=1</formula>
    </cfRule>
  </conditionalFormatting>
  <conditionalFormatting sqref="D15:D22">
    <cfRule type="expression" dxfId="296" priority="123">
      <formula>MOD(COLUMN(),2)=1</formula>
    </cfRule>
  </conditionalFormatting>
  <conditionalFormatting sqref="D15:D22">
    <cfRule type="expression" dxfId="295" priority="122">
      <formula>MOD(COLUMN(),2)=1</formula>
    </cfRule>
  </conditionalFormatting>
  <conditionalFormatting sqref="D15:D22">
    <cfRule type="expression" dxfId="294" priority="121">
      <formula>MOD(COLUMN(),2)=1</formula>
    </cfRule>
  </conditionalFormatting>
  <conditionalFormatting sqref="D24:D28">
    <cfRule type="expression" dxfId="293" priority="120">
      <formula>MOD(COLUMN(),2)=1</formula>
    </cfRule>
  </conditionalFormatting>
  <conditionalFormatting sqref="D24:D28">
    <cfRule type="expression" dxfId="292" priority="119">
      <formula>MOD(COLUMN(),2)=1</formula>
    </cfRule>
  </conditionalFormatting>
  <conditionalFormatting sqref="D24:D28">
    <cfRule type="expression" dxfId="291" priority="118">
      <formula>MOD(COLUMN(),2)=1</formula>
    </cfRule>
  </conditionalFormatting>
  <conditionalFormatting sqref="D24:D28">
    <cfRule type="expression" dxfId="290" priority="117">
      <formula>MOD(COLUMN(),2)=1</formula>
    </cfRule>
  </conditionalFormatting>
  <conditionalFormatting sqref="D30:D34">
    <cfRule type="expression" dxfId="289" priority="116">
      <formula>MOD(COLUMN(),2)=1</formula>
    </cfRule>
  </conditionalFormatting>
  <conditionalFormatting sqref="D30:D34">
    <cfRule type="expression" dxfId="288" priority="115">
      <formula>MOD(COLUMN(),2)=1</formula>
    </cfRule>
  </conditionalFormatting>
  <conditionalFormatting sqref="D30:D34">
    <cfRule type="expression" dxfId="287" priority="114">
      <formula>MOD(COLUMN(),2)=1</formula>
    </cfRule>
  </conditionalFormatting>
  <conditionalFormatting sqref="D30:D34">
    <cfRule type="expression" dxfId="286" priority="113">
      <formula>MOD(COLUMN(),2)=1</formula>
    </cfRule>
  </conditionalFormatting>
  <conditionalFormatting sqref="D36:D39">
    <cfRule type="expression" dxfId="285" priority="112">
      <formula>MOD(COLUMN(),2)=1</formula>
    </cfRule>
  </conditionalFormatting>
  <conditionalFormatting sqref="D36:D39">
    <cfRule type="expression" dxfId="284" priority="111">
      <formula>MOD(COLUMN(),2)=1</formula>
    </cfRule>
  </conditionalFormatting>
  <conditionalFormatting sqref="D36:D39">
    <cfRule type="expression" dxfId="283" priority="110">
      <formula>MOD(COLUMN(),2)=1</formula>
    </cfRule>
  </conditionalFormatting>
  <conditionalFormatting sqref="D36:D39">
    <cfRule type="expression" dxfId="282" priority="109">
      <formula>MOD(COLUMN(),2)=1</formula>
    </cfRule>
  </conditionalFormatting>
  <conditionalFormatting sqref="D41:D45">
    <cfRule type="expression" dxfId="281" priority="108">
      <formula>MOD(COLUMN(),2)=1</formula>
    </cfRule>
  </conditionalFormatting>
  <conditionalFormatting sqref="D41:D45">
    <cfRule type="expression" dxfId="280" priority="107">
      <formula>MOD(COLUMN(),2)=1</formula>
    </cfRule>
  </conditionalFormatting>
  <conditionalFormatting sqref="D41:D45">
    <cfRule type="expression" dxfId="279" priority="106">
      <formula>MOD(COLUMN(),2)=1</formula>
    </cfRule>
  </conditionalFormatting>
  <conditionalFormatting sqref="D41:D45">
    <cfRule type="expression" dxfId="278" priority="105">
      <formula>MOD(COLUMN(),2)=1</formula>
    </cfRule>
  </conditionalFormatting>
  <conditionalFormatting sqref="D47:D51">
    <cfRule type="expression" dxfId="277" priority="104">
      <formula>MOD(COLUMN(),2)=1</formula>
    </cfRule>
  </conditionalFormatting>
  <conditionalFormatting sqref="D47:D51">
    <cfRule type="expression" dxfId="276" priority="103">
      <formula>MOD(COLUMN(),2)=1</formula>
    </cfRule>
  </conditionalFormatting>
  <conditionalFormatting sqref="D47:D51">
    <cfRule type="expression" dxfId="275" priority="102">
      <formula>MOD(COLUMN(),2)=1</formula>
    </cfRule>
  </conditionalFormatting>
  <conditionalFormatting sqref="D47:D51">
    <cfRule type="expression" dxfId="274" priority="101">
      <formula>MOD(COLUMN(),2)=1</formula>
    </cfRule>
  </conditionalFormatting>
  <conditionalFormatting sqref="E9:AY13">
    <cfRule type="expression" dxfId="273" priority="100">
      <formula>MOD(COLUMN(),2)=1</formula>
    </cfRule>
  </conditionalFormatting>
  <conditionalFormatting sqref="E9:AY13">
    <cfRule type="expression" dxfId="272" priority="99">
      <formula>MOD(COLUMN(),2)=1</formula>
    </cfRule>
  </conditionalFormatting>
  <conditionalFormatting sqref="E9:AY13">
    <cfRule type="expression" dxfId="271" priority="98">
      <formula>MOD(COLUMN(),2)=1</formula>
    </cfRule>
  </conditionalFormatting>
  <conditionalFormatting sqref="E9:AY13">
    <cfRule type="expression" dxfId="270" priority="97">
      <formula>MOD(COLUMN(),2)=1</formula>
    </cfRule>
  </conditionalFormatting>
  <conditionalFormatting sqref="E14:AY14">
    <cfRule type="expression" dxfId="269" priority="96">
      <formula>MOD(COLUMN(),2)=1</formula>
    </cfRule>
  </conditionalFormatting>
  <conditionalFormatting sqref="E14:AY14">
    <cfRule type="cellIs" dxfId="268" priority="95" operator="notEqual">
      <formula>$B$2</formula>
    </cfRule>
  </conditionalFormatting>
  <conditionalFormatting sqref="E14:AY14">
    <cfRule type="expression" dxfId="267" priority="94">
      <formula>MOD(COLUMN(),2)=1</formula>
    </cfRule>
  </conditionalFormatting>
  <conditionalFormatting sqref="E14:AY14">
    <cfRule type="cellIs" dxfId="266" priority="93" operator="notEqual">
      <formula>$B$2</formula>
    </cfRule>
  </conditionalFormatting>
  <conditionalFormatting sqref="E14:AY14">
    <cfRule type="expression" dxfId="265" priority="92">
      <formula>MOD(COLUMN(),2)=1</formula>
    </cfRule>
  </conditionalFormatting>
  <conditionalFormatting sqref="E14:AY14">
    <cfRule type="cellIs" dxfId="264" priority="91" operator="notEqual">
      <formula>$B$2</formula>
    </cfRule>
  </conditionalFormatting>
  <conditionalFormatting sqref="E14:AY14">
    <cfRule type="expression" dxfId="263" priority="90">
      <formula>MOD(COLUMN(),2)=1</formula>
    </cfRule>
  </conditionalFormatting>
  <conditionalFormatting sqref="E14:AY14">
    <cfRule type="cellIs" dxfId="262" priority="89" operator="notEqual">
      <formula>$B$2</formula>
    </cfRule>
  </conditionalFormatting>
  <conditionalFormatting sqref="E23:AY23">
    <cfRule type="expression" dxfId="261" priority="88">
      <formula>MOD(COLUMN(),2)=1</formula>
    </cfRule>
  </conditionalFormatting>
  <conditionalFormatting sqref="E23:AY23">
    <cfRule type="cellIs" dxfId="260" priority="87" operator="notEqual">
      <formula>$B$2</formula>
    </cfRule>
  </conditionalFormatting>
  <conditionalFormatting sqref="E23:AY23">
    <cfRule type="expression" dxfId="259" priority="86">
      <formula>MOD(COLUMN(),2)=1</formula>
    </cfRule>
  </conditionalFormatting>
  <conditionalFormatting sqref="E23:AY23">
    <cfRule type="cellIs" dxfId="258" priority="85" operator="notEqual">
      <formula>$B$2</formula>
    </cfRule>
  </conditionalFormatting>
  <conditionalFormatting sqref="E23:AY23">
    <cfRule type="expression" dxfId="257" priority="84">
      <formula>MOD(COLUMN(),2)=1</formula>
    </cfRule>
  </conditionalFormatting>
  <conditionalFormatting sqref="E23:AY23">
    <cfRule type="cellIs" dxfId="256" priority="83" operator="notEqual">
      <formula>$B$2</formula>
    </cfRule>
  </conditionalFormatting>
  <conditionalFormatting sqref="E23:AY23">
    <cfRule type="expression" dxfId="255" priority="82">
      <formula>MOD(COLUMN(),2)=1</formula>
    </cfRule>
  </conditionalFormatting>
  <conditionalFormatting sqref="E23:AY23">
    <cfRule type="cellIs" dxfId="254" priority="81" operator="notEqual">
      <formula>$B$2</formula>
    </cfRule>
  </conditionalFormatting>
  <conditionalFormatting sqref="E29:AY29">
    <cfRule type="expression" dxfId="253" priority="80">
      <formula>MOD(COLUMN(),2)=1</formula>
    </cfRule>
  </conditionalFormatting>
  <conditionalFormatting sqref="E29:AY29">
    <cfRule type="cellIs" dxfId="252" priority="79" operator="notEqual">
      <formula>$B$2</formula>
    </cfRule>
  </conditionalFormatting>
  <conditionalFormatting sqref="E29:AY29">
    <cfRule type="expression" dxfId="251" priority="78">
      <formula>MOD(COLUMN(),2)=1</formula>
    </cfRule>
  </conditionalFormatting>
  <conditionalFormatting sqref="E29:AY29">
    <cfRule type="cellIs" dxfId="250" priority="77" operator="notEqual">
      <formula>$B$2</formula>
    </cfRule>
  </conditionalFormatting>
  <conditionalFormatting sqref="E29:AY29">
    <cfRule type="expression" dxfId="249" priority="76">
      <formula>MOD(COLUMN(),2)=1</formula>
    </cfRule>
  </conditionalFormatting>
  <conditionalFormatting sqref="E29:AY29">
    <cfRule type="cellIs" dxfId="248" priority="75" operator="notEqual">
      <formula>$B$2</formula>
    </cfRule>
  </conditionalFormatting>
  <conditionalFormatting sqref="E29:AY29">
    <cfRule type="expression" dxfId="247" priority="74">
      <formula>MOD(COLUMN(),2)=1</formula>
    </cfRule>
  </conditionalFormatting>
  <conditionalFormatting sqref="E29:AY29">
    <cfRule type="cellIs" dxfId="246" priority="73" operator="notEqual">
      <formula>$B$2</formula>
    </cfRule>
  </conditionalFormatting>
  <conditionalFormatting sqref="E35:AY35">
    <cfRule type="expression" dxfId="245" priority="72">
      <formula>MOD(COLUMN(),2)=1</formula>
    </cfRule>
  </conditionalFormatting>
  <conditionalFormatting sqref="E35:AY35">
    <cfRule type="cellIs" dxfId="244" priority="71" operator="notEqual">
      <formula>$B$2</formula>
    </cfRule>
  </conditionalFormatting>
  <conditionalFormatting sqref="E35:AY35">
    <cfRule type="expression" dxfId="243" priority="70">
      <formula>MOD(COLUMN(),2)=1</formula>
    </cfRule>
  </conditionalFormatting>
  <conditionalFormatting sqref="E35:AY35">
    <cfRule type="cellIs" dxfId="242" priority="69" operator="notEqual">
      <formula>$B$2</formula>
    </cfRule>
  </conditionalFormatting>
  <conditionalFormatting sqref="E35:AY35">
    <cfRule type="expression" dxfId="241" priority="68">
      <formula>MOD(COLUMN(),2)=1</formula>
    </cfRule>
  </conditionalFormatting>
  <conditionalFormatting sqref="E35:AY35">
    <cfRule type="cellIs" dxfId="240" priority="67" operator="notEqual">
      <formula>$B$2</formula>
    </cfRule>
  </conditionalFormatting>
  <conditionalFormatting sqref="E35:AY35">
    <cfRule type="expression" dxfId="239" priority="66">
      <formula>MOD(COLUMN(),2)=1</formula>
    </cfRule>
  </conditionalFormatting>
  <conditionalFormatting sqref="E35:AY35">
    <cfRule type="cellIs" dxfId="238" priority="65" operator="notEqual">
      <formula>$B$2</formula>
    </cfRule>
  </conditionalFormatting>
  <conditionalFormatting sqref="E40:AY40">
    <cfRule type="expression" dxfId="237" priority="64">
      <formula>MOD(COLUMN(),2)=1</formula>
    </cfRule>
  </conditionalFormatting>
  <conditionalFormatting sqref="E40:AY40">
    <cfRule type="cellIs" dxfId="236" priority="63" operator="notEqual">
      <formula>$B$2</formula>
    </cfRule>
  </conditionalFormatting>
  <conditionalFormatting sqref="E40:AY40">
    <cfRule type="expression" dxfId="235" priority="62">
      <formula>MOD(COLUMN(),2)=1</formula>
    </cfRule>
  </conditionalFormatting>
  <conditionalFormatting sqref="E40:AY40">
    <cfRule type="cellIs" dxfId="234" priority="61" operator="notEqual">
      <formula>$B$2</formula>
    </cfRule>
  </conditionalFormatting>
  <conditionalFormatting sqref="E40:AY40">
    <cfRule type="cellIs" dxfId="233" priority="60" operator="notEqual">
      <formula>$B$2</formula>
    </cfRule>
  </conditionalFormatting>
  <conditionalFormatting sqref="E40:AY40">
    <cfRule type="expression" dxfId="232" priority="59">
      <formula>MOD(COLUMN(),2)=1</formula>
    </cfRule>
  </conditionalFormatting>
  <conditionalFormatting sqref="E40:AY40">
    <cfRule type="cellIs" dxfId="231" priority="58" operator="notEqual">
      <formula>$B$2</formula>
    </cfRule>
  </conditionalFormatting>
  <conditionalFormatting sqref="E40:AY40">
    <cfRule type="expression" dxfId="230" priority="57">
      <formula>MOD(COLUMN(),2)=1</formula>
    </cfRule>
  </conditionalFormatting>
  <conditionalFormatting sqref="E46:AY46">
    <cfRule type="expression" dxfId="229" priority="56">
      <formula>MOD(COLUMN(),2)=1</formula>
    </cfRule>
  </conditionalFormatting>
  <conditionalFormatting sqref="E46:AY46">
    <cfRule type="cellIs" dxfId="228" priority="55" operator="notEqual">
      <formula>$B$2</formula>
    </cfRule>
  </conditionalFormatting>
  <conditionalFormatting sqref="E46:AY46">
    <cfRule type="expression" dxfId="227" priority="54">
      <formula>MOD(COLUMN(),2)=1</formula>
    </cfRule>
  </conditionalFormatting>
  <conditionalFormatting sqref="E46:AY46">
    <cfRule type="cellIs" dxfId="226" priority="53" operator="notEqual">
      <formula>$B$2</formula>
    </cfRule>
  </conditionalFormatting>
  <conditionalFormatting sqref="E46:AY46">
    <cfRule type="expression" dxfId="225" priority="52">
      <formula>MOD(COLUMN(),2)=1</formula>
    </cfRule>
  </conditionalFormatting>
  <conditionalFormatting sqref="E46:AY46">
    <cfRule type="cellIs" dxfId="224" priority="51" operator="notEqual">
      <formula>$B$2</formula>
    </cfRule>
  </conditionalFormatting>
  <conditionalFormatting sqref="E46:AY46">
    <cfRule type="expression" dxfId="223" priority="50">
      <formula>MOD(COLUMN(),2)=1</formula>
    </cfRule>
  </conditionalFormatting>
  <conditionalFormatting sqref="E46:AY46">
    <cfRule type="cellIs" dxfId="222" priority="49" operator="notEqual">
      <formula>$B$2</formula>
    </cfRule>
  </conditionalFormatting>
  <conditionalFormatting sqref="E52:AY52">
    <cfRule type="expression" dxfId="221" priority="48">
      <formula>MOD(COLUMN(),2)=1</formula>
    </cfRule>
  </conditionalFormatting>
  <conditionalFormatting sqref="E52:AY52">
    <cfRule type="cellIs" dxfId="220" priority="47" operator="notEqual">
      <formula>$B$2</formula>
    </cfRule>
  </conditionalFormatting>
  <conditionalFormatting sqref="E52:AY52">
    <cfRule type="expression" dxfId="219" priority="46">
      <formula>MOD(COLUMN(),2)=1</formula>
    </cfRule>
  </conditionalFormatting>
  <conditionalFormatting sqref="E52:AY52">
    <cfRule type="cellIs" dxfId="218" priority="45" operator="notEqual">
      <formula>$B$2</formula>
    </cfRule>
  </conditionalFormatting>
  <conditionalFormatting sqref="E52:AY52">
    <cfRule type="expression" dxfId="217" priority="44">
      <formula>MOD(COLUMN(),2)=1</formula>
    </cfRule>
  </conditionalFormatting>
  <conditionalFormatting sqref="E52:AY52">
    <cfRule type="cellIs" dxfId="216" priority="43" operator="notEqual">
      <formula>$B$2</formula>
    </cfRule>
  </conditionalFormatting>
  <conditionalFormatting sqref="E52:AY52">
    <cfRule type="expression" dxfId="215" priority="42">
      <formula>MOD(COLUMN(),2)=1</formula>
    </cfRule>
  </conditionalFormatting>
  <conditionalFormatting sqref="E52:AY52">
    <cfRule type="cellIs" dxfId="214" priority="41" operator="notEqual">
      <formula>$B$2</formula>
    </cfRule>
  </conditionalFormatting>
  <conditionalFormatting sqref="E15:AY22">
    <cfRule type="expression" dxfId="213" priority="40">
      <formula>MOD(COLUMN(),2)=1</formula>
    </cfRule>
  </conditionalFormatting>
  <conditionalFormatting sqref="E15:AY22">
    <cfRule type="expression" dxfId="212" priority="39">
      <formula>MOD(COLUMN(),2)=1</formula>
    </cfRule>
  </conditionalFormatting>
  <conditionalFormatting sqref="E15:AY22">
    <cfRule type="expression" dxfId="211" priority="38">
      <formula>MOD(COLUMN(),2)=1</formula>
    </cfRule>
  </conditionalFormatting>
  <conditionalFormatting sqref="E15:AY22">
    <cfRule type="expression" dxfId="210" priority="37">
      <formula>MOD(COLUMN(),2)=1</formula>
    </cfRule>
  </conditionalFormatting>
  <conditionalFormatting sqref="E24:AY28">
    <cfRule type="expression" dxfId="209" priority="36">
      <formula>MOD(COLUMN(),2)=1</formula>
    </cfRule>
  </conditionalFormatting>
  <conditionalFormatting sqref="E24:AY28">
    <cfRule type="expression" dxfId="208" priority="35">
      <formula>MOD(COLUMN(),2)=1</formula>
    </cfRule>
  </conditionalFormatting>
  <conditionalFormatting sqref="E24:AY28">
    <cfRule type="expression" dxfId="207" priority="34">
      <formula>MOD(COLUMN(),2)=1</formula>
    </cfRule>
  </conditionalFormatting>
  <conditionalFormatting sqref="E24:AY28">
    <cfRule type="expression" dxfId="206" priority="33">
      <formula>MOD(COLUMN(),2)=1</formula>
    </cfRule>
  </conditionalFormatting>
  <conditionalFormatting sqref="E30:AY34">
    <cfRule type="expression" dxfId="205" priority="32">
      <formula>MOD(COLUMN(),2)=1</formula>
    </cfRule>
  </conditionalFormatting>
  <conditionalFormatting sqref="E30:AY34">
    <cfRule type="expression" dxfId="204" priority="31">
      <formula>MOD(COLUMN(),2)=1</formula>
    </cfRule>
  </conditionalFormatting>
  <conditionalFormatting sqref="E30:AY34">
    <cfRule type="expression" dxfId="203" priority="30">
      <formula>MOD(COLUMN(),2)=1</formula>
    </cfRule>
  </conditionalFormatting>
  <conditionalFormatting sqref="E30:AY34">
    <cfRule type="expression" dxfId="202" priority="29">
      <formula>MOD(COLUMN(),2)=1</formula>
    </cfRule>
  </conditionalFormatting>
  <conditionalFormatting sqref="E36:AY39">
    <cfRule type="expression" dxfId="201" priority="28">
      <formula>MOD(COLUMN(),2)=1</formula>
    </cfRule>
  </conditionalFormatting>
  <conditionalFormatting sqref="E36:AY39">
    <cfRule type="expression" dxfId="200" priority="27">
      <formula>MOD(COLUMN(),2)=1</formula>
    </cfRule>
  </conditionalFormatting>
  <conditionalFormatting sqref="E36:AY39">
    <cfRule type="expression" dxfId="199" priority="26">
      <formula>MOD(COLUMN(),2)=1</formula>
    </cfRule>
  </conditionalFormatting>
  <conditionalFormatting sqref="E36:AY39">
    <cfRule type="expression" dxfId="198" priority="25">
      <formula>MOD(COLUMN(),2)=1</formula>
    </cfRule>
  </conditionalFormatting>
  <conditionalFormatting sqref="E41:AY45">
    <cfRule type="expression" dxfId="197" priority="24">
      <formula>MOD(COLUMN(),2)=1</formula>
    </cfRule>
  </conditionalFormatting>
  <conditionalFormatting sqref="E41:AY45">
    <cfRule type="expression" dxfId="196" priority="23">
      <formula>MOD(COLUMN(),2)=1</formula>
    </cfRule>
  </conditionalFormatting>
  <conditionalFormatting sqref="E41:AY45">
    <cfRule type="expression" dxfId="195" priority="22">
      <formula>MOD(COLUMN(),2)=1</formula>
    </cfRule>
  </conditionalFormatting>
  <conditionalFormatting sqref="E41:AY45">
    <cfRule type="expression" dxfId="194" priority="21">
      <formula>MOD(COLUMN(),2)=1</formula>
    </cfRule>
  </conditionalFormatting>
  <conditionalFormatting sqref="E47:AY51">
    <cfRule type="expression" dxfId="193" priority="20">
      <formula>MOD(COLUMN(),2)=1</formula>
    </cfRule>
  </conditionalFormatting>
  <conditionalFormatting sqref="E47:AY51">
    <cfRule type="expression" dxfId="192" priority="19">
      <formula>MOD(COLUMN(),2)=1</formula>
    </cfRule>
  </conditionalFormatting>
  <conditionalFormatting sqref="E47:AY51">
    <cfRule type="expression" dxfId="191" priority="18">
      <formula>MOD(COLUMN(),2)=1</formula>
    </cfRule>
  </conditionalFormatting>
  <conditionalFormatting sqref="E47:AY51">
    <cfRule type="expression" dxfId="190" priority="17">
      <formula>MOD(COLUMN(),2)=1</formula>
    </cfRule>
  </conditionalFormatting>
  <conditionalFormatting sqref="E8:AY8">
    <cfRule type="expression" dxfId="189" priority="16">
      <formula>MOD(COLUMN(),2)=1</formula>
    </cfRule>
  </conditionalFormatting>
  <conditionalFormatting sqref="E8:AY8">
    <cfRule type="cellIs" dxfId="188" priority="15" operator="notEqual">
      <formula>$B$2</formula>
    </cfRule>
  </conditionalFormatting>
  <conditionalFormatting sqref="E8:AY8">
    <cfRule type="expression" dxfId="187" priority="14">
      <formula>MOD(COLUMN(),2)=1</formula>
    </cfRule>
  </conditionalFormatting>
  <conditionalFormatting sqref="E8:AY8">
    <cfRule type="cellIs" dxfId="186" priority="13" operator="notEqual">
      <formula>$B$2</formula>
    </cfRule>
  </conditionalFormatting>
  <conditionalFormatting sqref="E8:AY8">
    <cfRule type="expression" dxfId="185" priority="12">
      <formula>MOD(COLUMN(),2)=1</formula>
    </cfRule>
  </conditionalFormatting>
  <conditionalFormatting sqref="E8:AY8">
    <cfRule type="cellIs" dxfId="184" priority="11" operator="notEqual">
      <formula>$B$2</formula>
    </cfRule>
  </conditionalFormatting>
  <conditionalFormatting sqref="E8:AY8">
    <cfRule type="expression" dxfId="183" priority="10">
      <formula>MOD(COLUMN(),2)=1</formula>
    </cfRule>
  </conditionalFormatting>
  <conditionalFormatting sqref="E8:AY8">
    <cfRule type="cellIs" dxfId="182" priority="9" operator="notEqual">
      <formula>$B$2</formula>
    </cfRule>
  </conditionalFormatting>
  <conditionalFormatting sqref="E3:AY3">
    <cfRule type="expression" dxfId="181" priority="8">
      <formula>MOD(COLUMN(),2)=1</formula>
    </cfRule>
  </conditionalFormatting>
  <conditionalFormatting sqref="E3:AY3">
    <cfRule type="expression" dxfId="180" priority="7">
      <formula>MOD(COLUMN(),2)=1</formula>
    </cfRule>
  </conditionalFormatting>
  <conditionalFormatting sqref="E3:AY3">
    <cfRule type="expression" dxfId="179" priority="6">
      <formula>MOD(COLUMN(),2)=1</formula>
    </cfRule>
  </conditionalFormatting>
  <conditionalFormatting sqref="E3:AY3">
    <cfRule type="expression" dxfId="178" priority="5">
      <formula>MOD(COLUMN(),2)=1</formula>
    </cfRule>
  </conditionalFormatting>
  <conditionalFormatting sqref="E4:AY7">
    <cfRule type="expression" dxfId="177" priority="4">
      <formula>MOD(COLUMN(),2)=1</formula>
    </cfRule>
  </conditionalFormatting>
  <conditionalFormatting sqref="E4:AY7">
    <cfRule type="expression" dxfId="176" priority="3">
      <formula>MOD(COLUMN(),2)=1</formula>
    </cfRule>
  </conditionalFormatting>
  <conditionalFormatting sqref="E4:AY7">
    <cfRule type="expression" dxfId="175" priority="2">
      <formula>MOD(COLUMN(),2)=1</formula>
    </cfRule>
  </conditionalFormatting>
  <conditionalFormatting sqref="E4:AY7">
    <cfRule type="expression" dxfId="174" priority="1">
      <formula>MOD(COLUMN(),2)=1</formula>
    </cfRule>
  </conditionalFormatting>
  <dataValidations count="1">
    <dataValidation type="whole" allowBlank="1" showInputMessage="1" showErrorMessage="1" errorTitle="STOP" error="ANGKA YANG DIMASUKAN MELEBIHI 4" prompt="4 =  Selalu&#10;3 = Sering&#10;2 = Kadang2&#10;1 = Tidak Pernah" sqref="D9:AY13 D41:AY45 D15:AY22 D24:AY28 D30:AY34 D36:AY39 D47:AY51 D3:AY7">
      <formula1>1</formula1>
      <formula2>4</formula2>
    </dataValidation>
  </dataValidation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sheetPr codeName="Sheet24"/>
  <dimension ref="A1:AY54"/>
  <sheetViews>
    <sheetView topLeftCell="H11" workbookViewId="0">
      <selection activeCell="AZ62" sqref="AZ62"/>
    </sheetView>
  </sheetViews>
  <sheetFormatPr defaultRowHeight="15"/>
  <cols>
    <col min="1" max="1" width="5.85546875" customWidth="1"/>
    <col min="2" max="2" width="6.140625" customWidth="1"/>
    <col min="3" max="3" width="54.85546875" customWidth="1"/>
    <col min="4" max="5" width="6.42578125" customWidth="1"/>
    <col min="6" max="6" width="6.5703125" customWidth="1"/>
    <col min="7" max="51" width="6.7109375" customWidth="1"/>
  </cols>
  <sheetData>
    <row r="1" spans="1:51" ht="25.5">
      <c r="A1" s="28" t="s">
        <v>206</v>
      </c>
      <c r="B1" s="29"/>
      <c r="C1" s="29"/>
      <c r="D1" s="126" t="e">
        <f>#REF!</f>
        <v>#REF!</v>
      </c>
      <c r="E1" s="126" t="e">
        <f>#REF!</f>
        <v>#REF!</v>
      </c>
      <c r="F1" s="126" t="e">
        <f>#REF!</f>
        <v>#REF!</v>
      </c>
      <c r="G1" s="126" t="e">
        <f>#REF!</f>
        <v>#REF!</v>
      </c>
      <c r="H1" s="126" t="e">
        <f>#REF!</f>
        <v>#REF!</v>
      </c>
      <c r="I1" s="126" t="e">
        <f>#REF!</f>
        <v>#REF!</v>
      </c>
      <c r="J1" s="126" t="e">
        <f>#REF!</f>
        <v>#REF!</v>
      </c>
      <c r="K1" s="126" t="e">
        <f>#REF!</f>
        <v>#REF!</v>
      </c>
      <c r="L1" s="126" t="e">
        <f>#REF!</f>
        <v>#REF!</v>
      </c>
      <c r="M1" s="126" t="e">
        <f>#REF!</f>
        <v>#REF!</v>
      </c>
      <c r="N1" s="126" t="e">
        <f>#REF!</f>
        <v>#REF!</v>
      </c>
      <c r="O1" s="126" t="e">
        <f>#REF!</f>
        <v>#REF!</v>
      </c>
      <c r="P1" s="126" t="e">
        <f>#REF!</f>
        <v>#REF!</v>
      </c>
      <c r="Q1" s="126" t="e">
        <f>#REF!</f>
        <v>#REF!</v>
      </c>
      <c r="R1" s="126" t="e">
        <f>#REF!</f>
        <v>#REF!</v>
      </c>
      <c r="S1" s="126" t="e">
        <f>#REF!</f>
        <v>#REF!</v>
      </c>
      <c r="T1" s="126" t="e">
        <f>#REF!</f>
        <v>#REF!</v>
      </c>
      <c r="U1" s="126" t="e">
        <f>#REF!</f>
        <v>#REF!</v>
      </c>
      <c r="V1" s="126" t="e">
        <f>#REF!</f>
        <v>#REF!</v>
      </c>
      <c r="W1" s="126" t="e">
        <f>#REF!</f>
        <v>#REF!</v>
      </c>
      <c r="X1" s="126" t="e">
        <f>#REF!</f>
        <v>#REF!</v>
      </c>
      <c r="Y1" s="126" t="e">
        <f>#REF!</f>
        <v>#REF!</v>
      </c>
      <c r="Z1" s="126" t="e">
        <f>#REF!</f>
        <v>#REF!</v>
      </c>
      <c r="AA1" s="126" t="e">
        <f>#REF!</f>
        <v>#REF!</v>
      </c>
      <c r="AB1" s="126" t="e">
        <f>#REF!</f>
        <v>#REF!</v>
      </c>
      <c r="AC1" s="126" t="e">
        <f>#REF!</f>
        <v>#REF!</v>
      </c>
      <c r="AD1" s="126" t="e">
        <f>#REF!</f>
        <v>#REF!</v>
      </c>
      <c r="AE1" s="126" t="e">
        <f>#REF!</f>
        <v>#REF!</v>
      </c>
      <c r="AF1" s="126" t="e">
        <f>#REF!</f>
        <v>#REF!</v>
      </c>
      <c r="AG1" s="126" t="e">
        <f>#REF!</f>
        <v>#REF!</v>
      </c>
      <c r="AH1" s="126" t="e">
        <f>#REF!</f>
        <v>#REF!</v>
      </c>
      <c r="AI1" s="126" t="e">
        <f>#REF!</f>
        <v>#REF!</v>
      </c>
      <c r="AJ1" s="126" t="e">
        <f>#REF!</f>
        <v>#REF!</v>
      </c>
      <c r="AK1" s="126" t="e">
        <f>#REF!</f>
        <v>#REF!</v>
      </c>
      <c r="AL1" s="126" t="e">
        <f>#REF!</f>
        <v>#REF!</v>
      </c>
      <c r="AM1" s="126" t="e">
        <f>#REF!</f>
        <v>#REF!</v>
      </c>
      <c r="AN1" s="126" t="e">
        <f>#REF!</f>
        <v>#REF!</v>
      </c>
      <c r="AO1" s="126" t="e">
        <f>#REF!</f>
        <v>#REF!</v>
      </c>
      <c r="AP1" s="126" t="e">
        <f>#REF!</f>
        <v>#REF!</v>
      </c>
      <c r="AQ1" s="126" t="e">
        <f>#REF!</f>
        <v>#REF!</v>
      </c>
      <c r="AR1" s="126" t="e">
        <f>#REF!</f>
        <v>#REF!</v>
      </c>
      <c r="AS1" s="126" t="e">
        <f>#REF!</f>
        <v>#REF!</v>
      </c>
      <c r="AT1" s="126" t="e">
        <f>#REF!</f>
        <v>#REF!</v>
      </c>
      <c r="AU1" s="126" t="e">
        <f>#REF!</f>
        <v>#REF!</v>
      </c>
      <c r="AV1" s="126" t="e">
        <f>#REF!</f>
        <v>#REF!</v>
      </c>
      <c r="AW1" s="126" t="e">
        <f>#REF!</f>
        <v>#REF!</v>
      </c>
      <c r="AX1" s="126" t="e">
        <f>#REF!</f>
        <v>#REF!</v>
      </c>
      <c r="AY1" s="126" t="e">
        <f>#REF!</f>
        <v>#REF!</v>
      </c>
    </row>
    <row r="2" spans="1:51" ht="15.75" thickBot="1">
      <c r="A2" s="30" t="s">
        <v>14</v>
      </c>
      <c r="B2" s="30" t="s">
        <v>34</v>
      </c>
      <c r="C2" s="30" t="s">
        <v>114</v>
      </c>
      <c r="D2" s="31" t="s">
        <v>115</v>
      </c>
      <c r="E2" s="31" t="s">
        <v>116</v>
      </c>
      <c r="F2" s="31" t="s">
        <v>117</v>
      </c>
      <c r="G2" s="31" t="s">
        <v>118</v>
      </c>
      <c r="H2" s="31" t="s">
        <v>119</v>
      </c>
      <c r="I2" s="31" t="s">
        <v>120</v>
      </c>
      <c r="J2" s="31" t="s">
        <v>121</v>
      </c>
      <c r="K2" s="31" t="s">
        <v>122</v>
      </c>
      <c r="L2" s="31" t="s">
        <v>123</v>
      </c>
      <c r="M2" s="31" t="s">
        <v>124</v>
      </c>
      <c r="N2" s="31" t="s">
        <v>125</v>
      </c>
      <c r="O2" s="31" t="s">
        <v>126</v>
      </c>
      <c r="P2" s="31" t="s">
        <v>127</v>
      </c>
      <c r="Q2" s="31" t="s">
        <v>128</v>
      </c>
      <c r="R2" s="31" t="s">
        <v>129</v>
      </c>
      <c r="S2" s="31" t="s">
        <v>130</v>
      </c>
      <c r="T2" s="31" t="s">
        <v>131</v>
      </c>
      <c r="U2" s="31" t="s">
        <v>132</v>
      </c>
      <c r="V2" s="31" t="s">
        <v>133</v>
      </c>
      <c r="W2" s="31" t="s">
        <v>134</v>
      </c>
      <c r="X2" s="31" t="s">
        <v>135</v>
      </c>
      <c r="Y2" s="31" t="s">
        <v>136</v>
      </c>
      <c r="Z2" s="31" t="s">
        <v>137</v>
      </c>
      <c r="AA2" s="31" t="s">
        <v>138</v>
      </c>
      <c r="AB2" s="31" t="s">
        <v>139</v>
      </c>
      <c r="AC2" s="31" t="s">
        <v>140</v>
      </c>
      <c r="AD2" s="31" t="s">
        <v>141</v>
      </c>
      <c r="AE2" s="31" t="s">
        <v>142</v>
      </c>
      <c r="AF2" s="31" t="s">
        <v>143</v>
      </c>
      <c r="AG2" s="31" t="s">
        <v>144</v>
      </c>
      <c r="AH2" s="31" t="s">
        <v>145</v>
      </c>
      <c r="AI2" s="31" t="s">
        <v>146</v>
      </c>
      <c r="AJ2" s="31" t="s">
        <v>147</v>
      </c>
      <c r="AK2" s="31" t="s">
        <v>148</v>
      </c>
      <c r="AL2" s="31" t="s">
        <v>222</v>
      </c>
      <c r="AM2" s="31" t="s">
        <v>223</v>
      </c>
      <c r="AN2" s="31" t="s">
        <v>224</v>
      </c>
      <c r="AO2" s="31" t="s">
        <v>225</v>
      </c>
      <c r="AP2" s="31" t="s">
        <v>226</v>
      </c>
      <c r="AQ2" s="31" t="s">
        <v>227</v>
      </c>
      <c r="AR2" s="31" t="s">
        <v>228</v>
      </c>
      <c r="AS2" s="31" t="s">
        <v>229</v>
      </c>
      <c r="AT2" s="31" t="s">
        <v>230</v>
      </c>
      <c r="AU2" s="31" t="s">
        <v>231</v>
      </c>
      <c r="AV2" s="31" t="s">
        <v>232</v>
      </c>
      <c r="AW2" s="31" t="s">
        <v>233</v>
      </c>
      <c r="AX2" s="31" t="s">
        <v>234</v>
      </c>
      <c r="AY2" s="31" t="s">
        <v>235</v>
      </c>
    </row>
    <row r="3" spans="1:51" ht="15.75" thickTop="1">
      <c r="A3" s="642" t="s">
        <v>207</v>
      </c>
      <c r="B3" s="38" t="s">
        <v>208</v>
      </c>
      <c r="C3" s="39" t="s">
        <v>209</v>
      </c>
      <c r="D3" s="40">
        <v>4</v>
      </c>
      <c r="E3" s="40"/>
      <c r="F3" s="40">
        <v>4</v>
      </c>
      <c r="G3" s="40"/>
      <c r="H3" s="40">
        <v>4</v>
      </c>
      <c r="I3" s="40"/>
      <c r="J3" s="40">
        <v>4</v>
      </c>
      <c r="K3" s="40"/>
      <c r="L3" s="40">
        <v>4</v>
      </c>
      <c r="M3" s="40"/>
      <c r="N3" s="40">
        <v>4</v>
      </c>
      <c r="O3" s="40"/>
      <c r="P3" s="40">
        <v>4</v>
      </c>
      <c r="Q3" s="40"/>
      <c r="R3" s="40">
        <v>4</v>
      </c>
      <c r="S3" s="40"/>
      <c r="T3" s="40">
        <v>4</v>
      </c>
      <c r="U3" s="40"/>
      <c r="V3" s="40">
        <v>4</v>
      </c>
      <c r="W3" s="40"/>
      <c r="X3" s="40">
        <v>4</v>
      </c>
      <c r="Y3" s="40"/>
      <c r="Z3" s="40">
        <v>4</v>
      </c>
      <c r="AA3" s="40"/>
      <c r="AB3" s="40">
        <v>4</v>
      </c>
      <c r="AC3" s="40"/>
      <c r="AD3" s="40">
        <v>4</v>
      </c>
      <c r="AE3" s="40"/>
      <c r="AF3" s="40">
        <v>4</v>
      </c>
      <c r="AG3" s="40"/>
      <c r="AH3" s="40">
        <v>4</v>
      </c>
      <c r="AI3" s="40"/>
      <c r="AJ3" s="40">
        <v>4</v>
      </c>
      <c r="AK3" s="40"/>
      <c r="AL3" s="40">
        <v>4</v>
      </c>
      <c r="AM3" s="40"/>
      <c r="AN3" s="40">
        <v>4</v>
      </c>
      <c r="AO3" s="40"/>
      <c r="AP3" s="40">
        <v>4</v>
      </c>
      <c r="AQ3" s="40"/>
      <c r="AR3" s="40">
        <v>4</v>
      </c>
      <c r="AS3" s="40"/>
      <c r="AT3" s="40">
        <v>4</v>
      </c>
      <c r="AU3" s="40"/>
      <c r="AV3" s="40">
        <v>4</v>
      </c>
      <c r="AW3" s="40"/>
      <c r="AX3" s="40">
        <v>4</v>
      </c>
      <c r="AY3" s="40"/>
    </row>
    <row r="4" spans="1:51">
      <c r="A4" s="640"/>
      <c r="B4" s="32" t="s">
        <v>210</v>
      </c>
      <c r="C4" s="33" t="s">
        <v>211</v>
      </c>
      <c r="D4" s="40">
        <v>4</v>
      </c>
      <c r="E4" s="34"/>
      <c r="F4" s="40">
        <v>4</v>
      </c>
      <c r="G4" s="34"/>
      <c r="H4" s="40">
        <v>4</v>
      </c>
      <c r="I4" s="34"/>
      <c r="J4" s="40">
        <v>4</v>
      </c>
      <c r="K4" s="34"/>
      <c r="L4" s="40">
        <v>4</v>
      </c>
      <c r="M4" s="34"/>
      <c r="N4" s="40">
        <v>4</v>
      </c>
      <c r="O4" s="34"/>
      <c r="P4" s="40">
        <v>4</v>
      </c>
      <c r="Q4" s="34"/>
      <c r="R4" s="40">
        <v>4</v>
      </c>
      <c r="S4" s="34"/>
      <c r="T4" s="40">
        <v>4</v>
      </c>
      <c r="U4" s="34"/>
      <c r="V4" s="40">
        <v>4</v>
      </c>
      <c r="W4" s="34"/>
      <c r="X4" s="40">
        <v>4</v>
      </c>
      <c r="Y4" s="34"/>
      <c r="Z4" s="40">
        <v>4</v>
      </c>
      <c r="AA4" s="34"/>
      <c r="AB4" s="40">
        <v>4</v>
      </c>
      <c r="AC4" s="34"/>
      <c r="AD4" s="40">
        <v>4</v>
      </c>
      <c r="AE4" s="34"/>
      <c r="AF4" s="40">
        <v>4</v>
      </c>
      <c r="AG4" s="34"/>
      <c r="AH4" s="40">
        <v>4</v>
      </c>
      <c r="AI4" s="34"/>
      <c r="AJ4" s="40">
        <v>4</v>
      </c>
      <c r="AK4" s="34"/>
      <c r="AL4" s="40">
        <v>4</v>
      </c>
      <c r="AM4" s="34"/>
      <c r="AN4" s="40">
        <v>4</v>
      </c>
      <c r="AO4" s="34"/>
      <c r="AP4" s="40">
        <v>4</v>
      </c>
      <c r="AQ4" s="34"/>
      <c r="AR4" s="40">
        <v>4</v>
      </c>
      <c r="AS4" s="34"/>
      <c r="AT4" s="40">
        <v>4</v>
      </c>
      <c r="AU4" s="34"/>
      <c r="AV4" s="40">
        <v>4</v>
      </c>
      <c r="AW4" s="34"/>
      <c r="AX4" s="40">
        <v>4</v>
      </c>
      <c r="AY4" s="34"/>
    </row>
    <row r="5" spans="1:51">
      <c r="A5" s="640"/>
      <c r="B5" s="32" t="s">
        <v>212</v>
      </c>
      <c r="C5" s="33" t="s">
        <v>213</v>
      </c>
      <c r="D5" s="40">
        <v>4</v>
      </c>
      <c r="E5" s="34"/>
      <c r="F5" s="40">
        <v>4</v>
      </c>
      <c r="G5" s="34"/>
      <c r="H5" s="40">
        <v>4</v>
      </c>
      <c r="I5" s="34"/>
      <c r="J5" s="40">
        <v>4</v>
      </c>
      <c r="K5" s="34"/>
      <c r="L5" s="40">
        <v>4</v>
      </c>
      <c r="M5" s="34"/>
      <c r="N5" s="40">
        <v>4</v>
      </c>
      <c r="O5" s="34"/>
      <c r="P5" s="40">
        <v>4</v>
      </c>
      <c r="Q5" s="34"/>
      <c r="R5" s="40">
        <v>4</v>
      </c>
      <c r="S5" s="34"/>
      <c r="T5" s="40">
        <v>4</v>
      </c>
      <c r="U5" s="34"/>
      <c r="V5" s="40">
        <v>4</v>
      </c>
      <c r="W5" s="34"/>
      <c r="X5" s="40">
        <v>4</v>
      </c>
      <c r="Y5" s="34"/>
      <c r="Z5" s="40">
        <v>4</v>
      </c>
      <c r="AA5" s="34"/>
      <c r="AB5" s="40">
        <v>4</v>
      </c>
      <c r="AC5" s="34"/>
      <c r="AD5" s="40">
        <v>4</v>
      </c>
      <c r="AE5" s="34"/>
      <c r="AF5" s="40">
        <v>4</v>
      </c>
      <c r="AG5" s="34"/>
      <c r="AH5" s="40">
        <v>4</v>
      </c>
      <c r="AI5" s="34"/>
      <c r="AJ5" s="40">
        <v>4</v>
      </c>
      <c r="AK5" s="34"/>
      <c r="AL5" s="40">
        <v>4</v>
      </c>
      <c r="AM5" s="34"/>
      <c r="AN5" s="40">
        <v>4</v>
      </c>
      <c r="AO5" s="34"/>
      <c r="AP5" s="40">
        <v>4</v>
      </c>
      <c r="AQ5" s="34"/>
      <c r="AR5" s="40">
        <v>4</v>
      </c>
      <c r="AS5" s="34"/>
      <c r="AT5" s="40">
        <v>4</v>
      </c>
      <c r="AU5" s="34"/>
      <c r="AV5" s="40">
        <v>4</v>
      </c>
      <c r="AW5" s="34"/>
      <c r="AX5" s="40">
        <v>4</v>
      </c>
      <c r="AY5" s="34"/>
    </row>
    <row r="6" spans="1:51">
      <c r="A6" s="640"/>
      <c r="B6" s="32" t="s">
        <v>214</v>
      </c>
      <c r="C6" s="33" t="s">
        <v>215</v>
      </c>
      <c r="D6" s="40">
        <v>4</v>
      </c>
      <c r="E6" s="34"/>
      <c r="F6" s="40">
        <v>4</v>
      </c>
      <c r="G6" s="34"/>
      <c r="H6" s="40">
        <v>4</v>
      </c>
      <c r="I6" s="34"/>
      <c r="J6" s="40">
        <v>4</v>
      </c>
      <c r="K6" s="34"/>
      <c r="L6" s="40">
        <v>4</v>
      </c>
      <c r="M6" s="34"/>
      <c r="N6" s="40">
        <v>4</v>
      </c>
      <c r="O6" s="34"/>
      <c r="P6" s="40">
        <v>4</v>
      </c>
      <c r="Q6" s="34"/>
      <c r="R6" s="40">
        <v>4</v>
      </c>
      <c r="S6" s="34"/>
      <c r="T6" s="40">
        <v>4</v>
      </c>
      <c r="U6" s="34"/>
      <c r="V6" s="40">
        <v>4</v>
      </c>
      <c r="W6" s="34"/>
      <c r="X6" s="40">
        <v>4</v>
      </c>
      <c r="Y6" s="34"/>
      <c r="Z6" s="40">
        <v>4</v>
      </c>
      <c r="AA6" s="34"/>
      <c r="AB6" s="40">
        <v>4</v>
      </c>
      <c r="AC6" s="34"/>
      <c r="AD6" s="40">
        <v>4</v>
      </c>
      <c r="AE6" s="34"/>
      <c r="AF6" s="40">
        <v>4</v>
      </c>
      <c r="AG6" s="34"/>
      <c r="AH6" s="40">
        <v>4</v>
      </c>
      <c r="AI6" s="34"/>
      <c r="AJ6" s="40">
        <v>4</v>
      </c>
      <c r="AK6" s="34"/>
      <c r="AL6" s="40">
        <v>4</v>
      </c>
      <c r="AM6" s="34"/>
      <c r="AN6" s="40">
        <v>4</v>
      </c>
      <c r="AO6" s="34"/>
      <c r="AP6" s="40">
        <v>4</v>
      </c>
      <c r="AQ6" s="34"/>
      <c r="AR6" s="40">
        <v>4</v>
      </c>
      <c r="AS6" s="34"/>
      <c r="AT6" s="40">
        <v>4</v>
      </c>
      <c r="AU6" s="34"/>
      <c r="AV6" s="40">
        <v>4</v>
      </c>
      <c r="AW6" s="34"/>
      <c r="AX6" s="40">
        <v>4</v>
      </c>
      <c r="AY6" s="34"/>
    </row>
    <row r="7" spans="1:51">
      <c r="A7" s="640"/>
      <c r="B7" s="32" t="s">
        <v>216</v>
      </c>
      <c r="C7" s="33" t="s">
        <v>217</v>
      </c>
      <c r="D7" s="40">
        <v>4</v>
      </c>
      <c r="E7" s="34"/>
      <c r="F7" s="40">
        <v>4</v>
      </c>
      <c r="G7" s="34"/>
      <c r="H7" s="40">
        <v>4</v>
      </c>
      <c r="I7" s="34"/>
      <c r="J7" s="40">
        <v>4</v>
      </c>
      <c r="K7" s="34"/>
      <c r="L7" s="40">
        <v>4</v>
      </c>
      <c r="M7" s="34"/>
      <c r="N7" s="40">
        <v>4</v>
      </c>
      <c r="O7" s="34"/>
      <c r="P7" s="40">
        <v>4</v>
      </c>
      <c r="Q7" s="34"/>
      <c r="R7" s="40">
        <v>4</v>
      </c>
      <c r="S7" s="34"/>
      <c r="T7" s="40">
        <v>4</v>
      </c>
      <c r="U7" s="34"/>
      <c r="V7" s="40">
        <v>4</v>
      </c>
      <c r="W7" s="34"/>
      <c r="X7" s="40">
        <v>4</v>
      </c>
      <c r="Y7" s="34"/>
      <c r="Z7" s="40">
        <v>4</v>
      </c>
      <c r="AA7" s="34"/>
      <c r="AB7" s="40">
        <v>4</v>
      </c>
      <c r="AC7" s="34"/>
      <c r="AD7" s="40">
        <v>4</v>
      </c>
      <c r="AE7" s="34"/>
      <c r="AF7" s="40">
        <v>4</v>
      </c>
      <c r="AG7" s="34"/>
      <c r="AH7" s="40">
        <v>4</v>
      </c>
      <c r="AI7" s="34"/>
      <c r="AJ7" s="40">
        <v>4</v>
      </c>
      <c r="AK7" s="34"/>
      <c r="AL7" s="40">
        <v>4</v>
      </c>
      <c r="AM7" s="34"/>
      <c r="AN7" s="40">
        <v>4</v>
      </c>
      <c r="AO7" s="34"/>
      <c r="AP7" s="40">
        <v>4</v>
      </c>
      <c r="AQ7" s="34"/>
      <c r="AR7" s="40">
        <v>4</v>
      </c>
      <c r="AS7" s="34"/>
      <c r="AT7" s="40">
        <v>4</v>
      </c>
      <c r="AU7" s="34"/>
      <c r="AV7" s="40">
        <v>4</v>
      </c>
      <c r="AW7" s="34"/>
      <c r="AX7" s="40">
        <v>4</v>
      </c>
      <c r="AY7" s="34"/>
    </row>
    <row r="8" spans="1:51">
      <c r="A8" s="640"/>
      <c r="B8" s="35"/>
      <c r="C8" s="36"/>
      <c r="D8" s="37">
        <f>SUM(D3:D7)</f>
        <v>20</v>
      </c>
      <c r="E8" s="37">
        <f>SUM(E3:E7)</f>
        <v>0</v>
      </c>
      <c r="F8" s="37">
        <f>SUM(F3:F7)</f>
        <v>20</v>
      </c>
      <c r="G8" s="37">
        <f>SUM(G3:G7)</f>
        <v>0</v>
      </c>
      <c r="H8" s="37">
        <f>SUM(H3:H7)</f>
        <v>20</v>
      </c>
      <c r="I8" s="37">
        <f t="shared" ref="I8:AY8" si="0">SUM(I3:I7)</f>
        <v>0</v>
      </c>
      <c r="J8" s="37">
        <f t="shared" si="0"/>
        <v>20</v>
      </c>
      <c r="K8" s="37">
        <f t="shared" si="0"/>
        <v>0</v>
      </c>
      <c r="L8" s="37">
        <f t="shared" si="0"/>
        <v>20</v>
      </c>
      <c r="M8" s="37">
        <f t="shared" si="0"/>
        <v>0</v>
      </c>
      <c r="N8" s="37">
        <f t="shared" si="0"/>
        <v>20</v>
      </c>
      <c r="O8" s="37">
        <f t="shared" si="0"/>
        <v>0</v>
      </c>
      <c r="P8" s="37">
        <f t="shared" si="0"/>
        <v>20</v>
      </c>
      <c r="Q8" s="37">
        <f t="shared" si="0"/>
        <v>0</v>
      </c>
      <c r="R8" s="37">
        <f t="shared" si="0"/>
        <v>20</v>
      </c>
      <c r="S8" s="37">
        <f t="shared" si="0"/>
        <v>0</v>
      </c>
      <c r="T8" s="37">
        <f t="shared" si="0"/>
        <v>20</v>
      </c>
      <c r="U8" s="37">
        <f t="shared" si="0"/>
        <v>0</v>
      </c>
      <c r="V8" s="37">
        <f t="shared" si="0"/>
        <v>20</v>
      </c>
      <c r="W8" s="37">
        <f t="shared" si="0"/>
        <v>0</v>
      </c>
      <c r="X8" s="37">
        <f t="shared" si="0"/>
        <v>20</v>
      </c>
      <c r="Y8" s="37">
        <f t="shared" si="0"/>
        <v>0</v>
      </c>
      <c r="Z8" s="37">
        <f t="shared" si="0"/>
        <v>20</v>
      </c>
      <c r="AA8" s="37">
        <f t="shared" si="0"/>
        <v>0</v>
      </c>
      <c r="AB8" s="37">
        <f t="shared" si="0"/>
        <v>20</v>
      </c>
      <c r="AC8" s="37">
        <f t="shared" si="0"/>
        <v>0</v>
      </c>
      <c r="AD8" s="37">
        <f t="shared" si="0"/>
        <v>20</v>
      </c>
      <c r="AE8" s="37">
        <f t="shared" si="0"/>
        <v>0</v>
      </c>
      <c r="AF8" s="37">
        <f t="shared" si="0"/>
        <v>20</v>
      </c>
      <c r="AG8" s="37">
        <f t="shared" si="0"/>
        <v>0</v>
      </c>
      <c r="AH8" s="37">
        <f t="shared" si="0"/>
        <v>20</v>
      </c>
      <c r="AI8" s="37">
        <f t="shared" si="0"/>
        <v>0</v>
      </c>
      <c r="AJ8" s="37">
        <f t="shared" si="0"/>
        <v>20</v>
      </c>
      <c r="AK8" s="37">
        <f t="shared" si="0"/>
        <v>0</v>
      </c>
      <c r="AL8" s="37">
        <f t="shared" si="0"/>
        <v>20</v>
      </c>
      <c r="AM8" s="37">
        <f t="shared" si="0"/>
        <v>0</v>
      </c>
      <c r="AN8" s="37">
        <f t="shared" si="0"/>
        <v>20</v>
      </c>
      <c r="AO8" s="37">
        <f t="shared" si="0"/>
        <v>0</v>
      </c>
      <c r="AP8" s="37">
        <f t="shared" si="0"/>
        <v>20</v>
      </c>
      <c r="AQ8" s="37">
        <f t="shared" si="0"/>
        <v>0</v>
      </c>
      <c r="AR8" s="37">
        <f t="shared" si="0"/>
        <v>20</v>
      </c>
      <c r="AS8" s="37">
        <f t="shared" si="0"/>
        <v>0</v>
      </c>
      <c r="AT8" s="37">
        <f t="shared" si="0"/>
        <v>20</v>
      </c>
      <c r="AU8" s="37">
        <f t="shared" si="0"/>
        <v>0</v>
      </c>
      <c r="AV8" s="37">
        <f t="shared" si="0"/>
        <v>20</v>
      </c>
      <c r="AW8" s="37">
        <f t="shared" si="0"/>
        <v>0</v>
      </c>
      <c r="AX8" s="37">
        <f t="shared" si="0"/>
        <v>20</v>
      </c>
      <c r="AY8" s="37">
        <f t="shared" si="0"/>
        <v>0</v>
      </c>
    </row>
    <row r="9" spans="1:51">
      <c r="A9" s="641" t="s">
        <v>8</v>
      </c>
      <c r="B9" s="32" t="s">
        <v>149</v>
      </c>
      <c r="C9" s="33" t="s">
        <v>150</v>
      </c>
      <c r="D9" s="34">
        <v>4</v>
      </c>
      <c r="E9" s="34"/>
      <c r="F9" s="34">
        <v>4</v>
      </c>
      <c r="G9" s="34"/>
      <c r="H9" s="34">
        <v>4</v>
      </c>
      <c r="I9" s="34"/>
      <c r="J9" s="34">
        <v>4</v>
      </c>
      <c r="K9" s="34"/>
      <c r="L9" s="34">
        <v>4</v>
      </c>
      <c r="M9" s="34"/>
      <c r="N9" s="34">
        <v>4</v>
      </c>
      <c r="O9" s="34"/>
      <c r="P9" s="34">
        <v>4</v>
      </c>
      <c r="Q9" s="34"/>
      <c r="R9" s="34">
        <v>4</v>
      </c>
      <c r="S9" s="34"/>
      <c r="T9" s="34">
        <v>4</v>
      </c>
      <c r="U9" s="34"/>
      <c r="V9" s="34">
        <v>4</v>
      </c>
      <c r="W9" s="34"/>
      <c r="X9" s="34">
        <v>4</v>
      </c>
      <c r="Y9" s="34"/>
      <c r="Z9" s="34">
        <v>4</v>
      </c>
      <c r="AA9" s="34"/>
      <c r="AB9" s="34">
        <v>4</v>
      </c>
      <c r="AC9" s="34"/>
      <c r="AD9" s="34">
        <v>4</v>
      </c>
      <c r="AE9" s="34"/>
      <c r="AF9" s="34">
        <v>4</v>
      </c>
      <c r="AG9" s="34"/>
      <c r="AH9" s="34">
        <v>4</v>
      </c>
      <c r="AI9" s="34"/>
      <c r="AJ9" s="34">
        <v>4</v>
      </c>
      <c r="AK9" s="34"/>
      <c r="AL9" s="34">
        <v>4</v>
      </c>
      <c r="AM9" s="34"/>
      <c r="AN9" s="34">
        <v>4</v>
      </c>
      <c r="AO9" s="34"/>
      <c r="AP9" s="34">
        <v>4</v>
      </c>
      <c r="AQ9" s="34"/>
      <c r="AR9" s="34">
        <v>4</v>
      </c>
      <c r="AS9" s="34"/>
      <c r="AT9" s="34">
        <v>4</v>
      </c>
      <c r="AU9" s="34"/>
      <c r="AV9" s="34">
        <v>4</v>
      </c>
      <c r="AW9" s="34"/>
      <c r="AX9" s="34">
        <v>4</v>
      </c>
      <c r="AY9" s="34"/>
    </row>
    <row r="10" spans="1:51">
      <c r="A10" s="641"/>
      <c r="B10" s="32" t="s">
        <v>151</v>
      </c>
      <c r="C10" s="33" t="s">
        <v>152</v>
      </c>
      <c r="D10" s="34">
        <v>4</v>
      </c>
      <c r="E10" s="34"/>
      <c r="F10" s="34">
        <v>4</v>
      </c>
      <c r="G10" s="34"/>
      <c r="H10" s="34">
        <v>4</v>
      </c>
      <c r="I10" s="34"/>
      <c r="J10" s="34">
        <v>4</v>
      </c>
      <c r="K10" s="34"/>
      <c r="L10" s="34">
        <v>4</v>
      </c>
      <c r="M10" s="34"/>
      <c r="N10" s="34">
        <v>4</v>
      </c>
      <c r="O10" s="34"/>
      <c r="P10" s="34">
        <v>4</v>
      </c>
      <c r="Q10" s="34"/>
      <c r="R10" s="34">
        <v>4</v>
      </c>
      <c r="S10" s="34"/>
      <c r="T10" s="34">
        <v>4</v>
      </c>
      <c r="U10" s="34"/>
      <c r="V10" s="34">
        <v>4</v>
      </c>
      <c r="W10" s="34"/>
      <c r="X10" s="34">
        <v>4</v>
      </c>
      <c r="Y10" s="34"/>
      <c r="Z10" s="34">
        <v>4</v>
      </c>
      <c r="AA10" s="34"/>
      <c r="AB10" s="34">
        <v>4</v>
      </c>
      <c r="AC10" s="34"/>
      <c r="AD10" s="34">
        <v>4</v>
      </c>
      <c r="AE10" s="34"/>
      <c r="AF10" s="34">
        <v>4</v>
      </c>
      <c r="AG10" s="34"/>
      <c r="AH10" s="34">
        <v>4</v>
      </c>
      <c r="AI10" s="34"/>
      <c r="AJ10" s="34">
        <v>4</v>
      </c>
      <c r="AK10" s="34"/>
      <c r="AL10" s="34">
        <v>4</v>
      </c>
      <c r="AM10" s="34"/>
      <c r="AN10" s="34">
        <v>4</v>
      </c>
      <c r="AO10" s="34"/>
      <c r="AP10" s="34">
        <v>4</v>
      </c>
      <c r="AQ10" s="34"/>
      <c r="AR10" s="34">
        <v>4</v>
      </c>
      <c r="AS10" s="34"/>
      <c r="AT10" s="34">
        <v>4</v>
      </c>
      <c r="AU10" s="34"/>
      <c r="AV10" s="34">
        <v>4</v>
      </c>
      <c r="AW10" s="34"/>
      <c r="AX10" s="34">
        <v>4</v>
      </c>
      <c r="AY10" s="34"/>
    </row>
    <row r="11" spans="1:51">
      <c r="A11" s="641"/>
      <c r="B11" s="32" t="s">
        <v>153</v>
      </c>
      <c r="C11" s="33" t="s">
        <v>154</v>
      </c>
      <c r="D11" s="34">
        <v>4</v>
      </c>
      <c r="E11" s="34"/>
      <c r="F11" s="34">
        <v>4</v>
      </c>
      <c r="G11" s="34"/>
      <c r="H11" s="34">
        <v>4</v>
      </c>
      <c r="I11" s="34"/>
      <c r="J11" s="34">
        <v>4</v>
      </c>
      <c r="K11" s="34"/>
      <c r="L11" s="34">
        <v>4</v>
      </c>
      <c r="M11" s="34"/>
      <c r="N11" s="34">
        <v>4</v>
      </c>
      <c r="O11" s="34"/>
      <c r="P11" s="34">
        <v>4</v>
      </c>
      <c r="Q11" s="34"/>
      <c r="R11" s="34">
        <v>4</v>
      </c>
      <c r="S11" s="34"/>
      <c r="T11" s="34">
        <v>4</v>
      </c>
      <c r="U11" s="34"/>
      <c r="V11" s="34">
        <v>4</v>
      </c>
      <c r="W11" s="34"/>
      <c r="X11" s="34">
        <v>4</v>
      </c>
      <c r="Y11" s="34"/>
      <c r="Z11" s="34">
        <v>4</v>
      </c>
      <c r="AA11" s="34"/>
      <c r="AB11" s="34">
        <v>4</v>
      </c>
      <c r="AC11" s="34"/>
      <c r="AD11" s="34">
        <v>4</v>
      </c>
      <c r="AE11" s="34"/>
      <c r="AF11" s="34">
        <v>4</v>
      </c>
      <c r="AG11" s="34"/>
      <c r="AH11" s="34">
        <v>4</v>
      </c>
      <c r="AI11" s="34"/>
      <c r="AJ11" s="34">
        <v>4</v>
      </c>
      <c r="AK11" s="34"/>
      <c r="AL11" s="34">
        <v>4</v>
      </c>
      <c r="AM11" s="34"/>
      <c r="AN11" s="34">
        <v>4</v>
      </c>
      <c r="AO11" s="34"/>
      <c r="AP11" s="34">
        <v>4</v>
      </c>
      <c r="AQ11" s="34"/>
      <c r="AR11" s="34">
        <v>4</v>
      </c>
      <c r="AS11" s="34"/>
      <c r="AT11" s="34">
        <v>4</v>
      </c>
      <c r="AU11" s="34"/>
      <c r="AV11" s="34">
        <v>4</v>
      </c>
      <c r="AW11" s="34"/>
      <c r="AX11" s="34">
        <v>4</v>
      </c>
      <c r="AY11" s="34"/>
    </row>
    <row r="12" spans="1:51">
      <c r="A12" s="641"/>
      <c r="B12" s="32" t="s">
        <v>155</v>
      </c>
      <c r="C12" s="33" t="s">
        <v>64</v>
      </c>
      <c r="D12" s="34">
        <v>4</v>
      </c>
      <c r="E12" s="34"/>
      <c r="F12" s="34">
        <v>4</v>
      </c>
      <c r="G12" s="34"/>
      <c r="H12" s="34">
        <v>4</v>
      </c>
      <c r="I12" s="34"/>
      <c r="J12" s="34">
        <v>4</v>
      </c>
      <c r="K12" s="34"/>
      <c r="L12" s="34">
        <v>4</v>
      </c>
      <c r="M12" s="34"/>
      <c r="N12" s="34">
        <v>4</v>
      </c>
      <c r="O12" s="34"/>
      <c r="P12" s="34">
        <v>4</v>
      </c>
      <c r="Q12" s="34"/>
      <c r="R12" s="34">
        <v>4</v>
      </c>
      <c r="S12" s="34"/>
      <c r="T12" s="34">
        <v>4</v>
      </c>
      <c r="U12" s="34"/>
      <c r="V12" s="34">
        <v>4</v>
      </c>
      <c r="W12" s="34"/>
      <c r="X12" s="34">
        <v>4</v>
      </c>
      <c r="Y12" s="34"/>
      <c r="Z12" s="34">
        <v>4</v>
      </c>
      <c r="AA12" s="34"/>
      <c r="AB12" s="34">
        <v>4</v>
      </c>
      <c r="AC12" s="34"/>
      <c r="AD12" s="34">
        <v>4</v>
      </c>
      <c r="AE12" s="34"/>
      <c r="AF12" s="34">
        <v>4</v>
      </c>
      <c r="AG12" s="34"/>
      <c r="AH12" s="34">
        <v>4</v>
      </c>
      <c r="AI12" s="34"/>
      <c r="AJ12" s="34">
        <v>4</v>
      </c>
      <c r="AK12" s="34"/>
      <c r="AL12" s="34">
        <v>4</v>
      </c>
      <c r="AM12" s="34"/>
      <c r="AN12" s="34">
        <v>4</v>
      </c>
      <c r="AO12" s="34"/>
      <c r="AP12" s="34">
        <v>4</v>
      </c>
      <c r="AQ12" s="34"/>
      <c r="AR12" s="34">
        <v>4</v>
      </c>
      <c r="AS12" s="34"/>
      <c r="AT12" s="34">
        <v>4</v>
      </c>
      <c r="AU12" s="34"/>
      <c r="AV12" s="34">
        <v>4</v>
      </c>
      <c r="AW12" s="34"/>
      <c r="AX12" s="34">
        <v>4</v>
      </c>
      <c r="AY12" s="34"/>
    </row>
    <row r="13" spans="1:51">
      <c r="A13" s="641"/>
      <c r="B13" s="32" t="s">
        <v>156</v>
      </c>
      <c r="C13" s="33" t="s">
        <v>65</v>
      </c>
      <c r="D13" s="34">
        <v>4</v>
      </c>
      <c r="E13" s="34"/>
      <c r="F13" s="34">
        <v>4</v>
      </c>
      <c r="G13" s="34"/>
      <c r="H13" s="34">
        <v>4</v>
      </c>
      <c r="I13" s="34"/>
      <c r="J13" s="34">
        <v>4</v>
      </c>
      <c r="K13" s="34"/>
      <c r="L13" s="34">
        <v>4</v>
      </c>
      <c r="M13" s="34"/>
      <c r="N13" s="34">
        <v>4</v>
      </c>
      <c r="O13" s="34"/>
      <c r="P13" s="34">
        <v>4</v>
      </c>
      <c r="Q13" s="34"/>
      <c r="R13" s="34">
        <v>4</v>
      </c>
      <c r="S13" s="34"/>
      <c r="T13" s="34">
        <v>4</v>
      </c>
      <c r="U13" s="34"/>
      <c r="V13" s="34">
        <v>4</v>
      </c>
      <c r="W13" s="34"/>
      <c r="X13" s="34">
        <v>4</v>
      </c>
      <c r="Y13" s="34"/>
      <c r="Z13" s="34">
        <v>4</v>
      </c>
      <c r="AA13" s="34"/>
      <c r="AB13" s="34">
        <v>4</v>
      </c>
      <c r="AC13" s="34"/>
      <c r="AD13" s="34">
        <v>4</v>
      </c>
      <c r="AE13" s="34"/>
      <c r="AF13" s="34">
        <v>4</v>
      </c>
      <c r="AG13" s="34"/>
      <c r="AH13" s="34">
        <v>4</v>
      </c>
      <c r="AI13" s="34"/>
      <c r="AJ13" s="34">
        <v>4</v>
      </c>
      <c r="AK13" s="34"/>
      <c r="AL13" s="34">
        <v>4</v>
      </c>
      <c r="AM13" s="34"/>
      <c r="AN13" s="34">
        <v>4</v>
      </c>
      <c r="AO13" s="34"/>
      <c r="AP13" s="34">
        <v>4</v>
      </c>
      <c r="AQ13" s="34"/>
      <c r="AR13" s="34">
        <v>4</v>
      </c>
      <c r="AS13" s="34"/>
      <c r="AT13" s="34">
        <v>4</v>
      </c>
      <c r="AU13" s="34"/>
      <c r="AV13" s="34">
        <v>4</v>
      </c>
      <c r="AW13" s="34"/>
      <c r="AX13" s="34">
        <v>4</v>
      </c>
      <c r="AY13" s="34"/>
    </row>
    <row r="14" spans="1:51">
      <c r="A14" s="641"/>
      <c r="B14" s="35"/>
      <c r="C14" s="36"/>
      <c r="D14" s="37">
        <f>SUM(D9:D13)</f>
        <v>20</v>
      </c>
      <c r="E14" s="37">
        <f>SUM(E9:E13)</f>
        <v>0</v>
      </c>
      <c r="F14" s="37">
        <f>SUM(F9:F13)</f>
        <v>20</v>
      </c>
      <c r="G14" s="37">
        <f>SUM(G9:G13)</f>
        <v>0</v>
      </c>
      <c r="H14" s="37">
        <f>SUM(H9:H13)</f>
        <v>20</v>
      </c>
      <c r="I14" s="37">
        <f t="shared" ref="I14:AY14" si="1">SUM(I9:I13)</f>
        <v>0</v>
      </c>
      <c r="J14" s="37">
        <f t="shared" si="1"/>
        <v>20</v>
      </c>
      <c r="K14" s="37">
        <f t="shared" si="1"/>
        <v>0</v>
      </c>
      <c r="L14" s="37">
        <f t="shared" si="1"/>
        <v>20</v>
      </c>
      <c r="M14" s="37">
        <f t="shared" si="1"/>
        <v>0</v>
      </c>
      <c r="N14" s="37">
        <f t="shared" si="1"/>
        <v>20</v>
      </c>
      <c r="O14" s="37">
        <f t="shared" si="1"/>
        <v>0</v>
      </c>
      <c r="P14" s="37">
        <f t="shared" si="1"/>
        <v>20</v>
      </c>
      <c r="Q14" s="37">
        <f t="shared" si="1"/>
        <v>0</v>
      </c>
      <c r="R14" s="37">
        <f t="shared" si="1"/>
        <v>20</v>
      </c>
      <c r="S14" s="37">
        <f t="shared" si="1"/>
        <v>0</v>
      </c>
      <c r="T14" s="37">
        <f t="shared" si="1"/>
        <v>20</v>
      </c>
      <c r="U14" s="37">
        <f t="shared" si="1"/>
        <v>0</v>
      </c>
      <c r="V14" s="37">
        <f t="shared" si="1"/>
        <v>20</v>
      </c>
      <c r="W14" s="37">
        <f t="shared" si="1"/>
        <v>0</v>
      </c>
      <c r="X14" s="37">
        <f t="shared" si="1"/>
        <v>20</v>
      </c>
      <c r="Y14" s="37">
        <f t="shared" si="1"/>
        <v>0</v>
      </c>
      <c r="Z14" s="37">
        <f t="shared" si="1"/>
        <v>20</v>
      </c>
      <c r="AA14" s="37">
        <f t="shared" si="1"/>
        <v>0</v>
      </c>
      <c r="AB14" s="37">
        <f t="shared" si="1"/>
        <v>20</v>
      </c>
      <c r="AC14" s="37">
        <f t="shared" si="1"/>
        <v>0</v>
      </c>
      <c r="AD14" s="37">
        <f t="shared" si="1"/>
        <v>20</v>
      </c>
      <c r="AE14" s="37">
        <f t="shared" si="1"/>
        <v>0</v>
      </c>
      <c r="AF14" s="37">
        <f t="shared" si="1"/>
        <v>20</v>
      </c>
      <c r="AG14" s="37">
        <f t="shared" si="1"/>
        <v>0</v>
      </c>
      <c r="AH14" s="37">
        <f t="shared" si="1"/>
        <v>20</v>
      </c>
      <c r="AI14" s="37">
        <f t="shared" si="1"/>
        <v>0</v>
      </c>
      <c r="AJ14" s="37">
        <f t="shared" si="1"/>
        <v>20</v>
      </c>
      <c r="AK14" s="37">
        <f t="shared" si="1"/>
        <v>0</v>
      </c>
      <c r="AL14" s="37">
        <f t="shared" si="1"/>
        <v>20</v>
      </c>
      <c r="AM14" s="37">
        <f t="shared" si="1"/>
        <v>0</v>
      </c>
      <c r="AN14" s="37">
        <f t="shared" si="1"/>
        <v>20</v>
      </c>
      <c r="AO14" s="37">
        <f t="shared" si="1"/>
        <v>0</v>
      </c>
      <c r="AP14" s="37">
        <f t="shared" si="1"/>
        <v>20</v>
      </c>
      <c r="AQ14" s="37">
        <f t="shared" si="1"/>
        <v>0</v>
      </c>
      <c r="AR14" s="37">
        <f t="shared" si="1"/>
        <v>20</v>
      </c>
      <c r="AS14" s="37">
        <f t="shared" si="1"/>
        <v>0</v>
      </c>
      <c r="AT14" s="37">
        <f t="shared" si="1"/>
        <v>20</v>
      </c>
      <c r="AU14" s="37">
        <f t="shared" si="1"/>
        <v>0</v>
      </c>
      <c r="AV14" s="37">
        <f t="shared" si="1"/>
        <v>20</v>
      </c>
      <c r="AW14" s="37">
        <f t="shared" si="1"/>
        <v>0</v>
      </c>
      <c r="AX14" s="37">
        <f t="shared" si="1"/>
        <v>20</v>
      </c>
      <c r="AY14" s="37">
        <f t="shared" si="1"/>
        <v>0</v>
      </c>
    </row>
    <row r="15" spans="1:51">
      <c r="A15" s="640" t="s">
        <v>9</v>
      </c>
      <c r="B15" s="32" t="s">
        <v>157</v>
      </c>
      <c r="C15" s="33" t="s">
        <v>158</v>
      </c>
      <c r="D15" s="34">
        <v>4</v>
      </c>
      <c r="E15" s="34"/>
      <c r="F15" s="34">
        <v>4</v>
      </c>
      <c r="G15" s="34"/>
      <c r="H15" s="34">
        <v>4</v>
      </c>
      <c r="I15" s="34"/>
      <c r="J15" s="34">
        <v>4</v>
      </c>
      <c r="K15" s="34"/>
      <c r="L15" s="34">
        <v>4</v>
      </c>
      <c r="M15" s="34"/>
      <c r="N15" s="34">
        <v>4</v>
      </c>
      <c r="O15" s="34"/>
      <c r="P15" s="34">
        <v>4</v>
      </c>
      <c r="Q15" s="34"/>
      <c r="R15" s="34">
        <v>4</v>
      </c>
      <c r="S15" s="34"/>
      <c r="T15" s="34">
        <v>4</v>
      </c>
      <c r="U15" s="34"/>
      <c r="V15" s="34">
        <v>4</v>
      </c>
      <c r="W15" s="34"/>
      <c r="X15" s="34">
        <v>4</v>
      </c>
      <c r="Y15" s="34"/>
      <c r="Z15" s="34">
        <v>4</v>
      </c>
      <c r="AA15" s="34"/>
      <c r="AB15" s="34">
        <v>4</v>
      </c>
      <c r="AC15" s="34"/>
      <c r="AD15" s="34">
        <v>4</v>
      </c>
      <c r="AE15" s="34"/>
      <c r="AF15" s="34">
        <v>4</v>
      </c>
      <c r="AG15" s="34"/>
      <c r="AH15" s="34">
        <v>4</v>
      </c>
      <c r="AI15" s="34"/>
      <c r="AJ15" s="34">
        <v>4</v>
      </c>
      <c r="AK15" s="34"/>
      <c r="AL15" s="34">
        <v>4</v>
      </c>
      <c r="AM15" s="34"/>
      <c r="AN15" s="34">
        <v>4</v>
      </c>
      <c r="AO15" s="34"/>
      <c r="AP15" s="34">
        <v>4</v>
      </c>
      <c r="AQ15" s="34"/>
      <c r="AR15" s="34">
        <v>4</v>
      </c>
      <c r="AS15" s="34"/>
      <c r="AT15" s="34">
        <v>4</v>
      </c>
      <c r="AU15" s="34"/>
      <c r="AV15" s="34">
        <v>4</v>
      </c>
      <c r="AW15" s="34"/>
      <c r="AX15" s="34">
        <v>4</v>
      </c>
      <c r="AY15" s="34"/>
    </row>
    <row r="16" spans="1:51">
      <c r="A16" s="640"/>
      <c r="B16" s="32" t="s">
        <v>159</v>
      </c>
      <c r="C16" s="33" t="s">
        <v>67</v>
      </c>
      <c r="D16" s="34">
        <v>4</v>
      </c>
      <c r="E16" s="34"/>
      <c r="F16" s="34">
        <v>4</v>
      </c>
      <c r="G16" s="34"/>
      <c r="H16" s="34">
        <v>4</v>
      </c>
      <c r="I16" s="34"/>
      <c r="J16" s="34">
        <v>4</v>
      </c>
      <c r="K16" s="34"/>
      <c r="L16" s="34">
        <v>4</v>
      </c>
      <c r="M16" s="34"/>
      <c r="N16" s="34">
        <v>4</v>
      </c>
      <c r="O16" s="34"/>
      <c r="P16" s="34">
        <v>4</v>
      </c>
      <c r="Q16" s="34"/>
      <c r="R16" s="34">
        <v>4</v>
      </c>
      <c r="S16" s="34"/>
      <c r="T16" s="34">
        <v>4</v>
      </c>
      <c r="U16" s="34"/>
      <c r="V16" s="34">
        <v>4</v>
      </c>
      <c r="W16" s="34"/>
      <c r="X16" s="34">
        <v>4</v>
      </c>
      <c r="Y16" s="34"/>
      <c r="Z16" s="34">
        <v>4</v>
      </c>
      <c r="AA16" s="34"/>
      <c r="AB16" s="34">
        <v>4</v>
      </c>
      <c r="AC16" s="34"/>
      <c r="AD16" s="34">
        <v>4</v>
      </c>
      <c r="AE16" s="34"/>
      <c r="AF16" s="34">
        <v>4</v>
      </c>
      <c r="AG16" s="34"/>
      <c r="AH16" s="34">
        <v>4</v>
      </c>
      <c r="AI16" s="34"/>
      <c r="AJ16" s="34">
        <v>4</v>
      </c>
      <c r="AK16" s="34"/>
      <c r="AL16" s="34">
        <v>4</v>
      </c>
      <c r="AM16" s="34"/>
      <c r="AN16" s="34">
        <v>4</v>
      </c>
      <c r="AO16" s="34"/>
      <c r="AP16" s="34">
        <v>4</v>
      </c>
      <c r="AQ16" s="34"/>
      <c r="AR16" s="34">
        <v>4</v>
      </c>
      <c r="AS16" s="34"/>
      <c r="AT16" s="34">
        <v>4</v>
      </c>
      <c r="AU16" s="34"/>
      <c r="AV16" s="34">
        <v>4</v>
      </c>
      <c r="AW16" s="34"/>
      <c r="AX16" s="34">
        <v>4</v>
      </c>
      <c r="AY16" s="34"/>
    </row>
    <row r="17" spans="1:51">
      <c r="A17" s="640"/>
      <c r="B17" s="32" t="s">
        <v>160</v>
      </c>
      <c r="C17" s="33" t="s">
        <v>68</v>
      </c>
      <c r="D17" s="34">
        <v>4</v>
      </c>
      <c r="E17" s="34"/>
      <c r="F17" s="34">
        <v>4</v>
      </c>
      <c r="G17" s="34"/>
      <c r="H17" s="34">
        <v>4</v>
      </c>
      <c r="I17" s="34"/>
      <c r="J17" s="34">
        <v>4</v>
      </c>
      <c r="K17" s="34"/>
      <c r="L17" s="34">
        <v>4</v>
      </c>
      <c r="M17" s="34"/>
      <c r="N17" s="34">
        <v>4</v>
      </c>
      <c r="O17" s="34"/>
      <c r="P17" s="34">
        <v>4</v>
      </c>
      <c r="Q17" s="34"/>
      <c r="R17" s="34">
        <v>4</v>
      </c>
      <c r="S17" s="34"/>
      <c r="T17" s="34">
        <v>4</v>
      </c>
      <c r="U17" s="34"/>
      <c r="V17" s="34">
        <v>4</v>
      </c>
      <c r="W17" s="34"/>
      <c r="X17" s="34">
        <v>4</v>
      </c>
      <c r="Y17" s="34"/>
      <c r="Z17" s="34">
        <v>4</v>
      </c>
      <c r="AA17" s="34"/>
      <c r="AB17" s="34">
        <v>4</v>
      </c>
      <c r="AC17" s="34"/>
      <c r="AD17" s="34">
        <v>4</v>
      </c>
      <c r="AE17" s="34"/>
      <c r="AF17" s="34">
        <v>4</v>
      </c>
      <c r="AG17" s="34"/>
      <c r="AH17" s="34">
        <v>4</v>
      </c>
      <c r="AI17" s="34"/>
      <c r="AJ17" s="34">
        <v>4</v>
      </c>
      <c r="AK17" s="34"/>
      <c r="AL17" s="34">
        <v>4</v>
      </c>
      <c r="AM17" s="34"/>
      <c r="AN17" s="34">
        <v>4</v>
      </c>
      <c r="AO17" s="34"/>
      <c r="AP17" s="34">
        <v>4</v>
      </c>
      <c r="AQ17" s="34"/>
      <c r="AR17" s="34">
        <v>4</v>
      </c>
      <c r="AS17" s="34"/>
      <c r="AT17" s="34">
        <v>4</v>
      </c>
      <c r="AU17" s="34"/>
      <c r="AV17" s="34">
        <v>4</v>
      </c>
      <c r="AW17" s="34"/>
      <c r="AX17" s="34">
        <v>4</v>
      </c>
      <c r="AY17" s="34"/>
    </row>
    <row r="18" spans="1:51">
      <c r="A18" s="640"/>
      <c r="B18" s="32" t="s">
        <v>161</v>
      </c>
      <c r="C18" s="33" t="s">
        <v>69</v>
      </c>
      <c r="D18" s="34">
        <v>4</v>
      </c>
      <c r="E18" s="34"/>
      <c r="F18" s="34">
        <v>4</v>
      </c>
      <c r="G18" s="34"/>
      <c r="H18" s="34">
        <v>4</v>
      </c>
      <c r="I18" s="34"/>
      <c r="J18" s="34">
        <v>4</v>
      </c>
      <c r="K18" s="34"/>
      <c r="L18" s="34">
        <v>4</v>
      </c>
      <c r="M18" s="34"/>
      <c r="N18" s="34">
        <v>4</v>
      </c>
      <c r="O18" s="34"/>
      <c r="P18" s="34">
        <v>4</v>
      </c>
      <c r="Q18" s="34"/>
      <c r="R18" s="34">
        <v>4</v>
      </c>
      <c r="S18" s="34"/>
      <c r="T18" s="34">
        <v>4</v>
      </c>
      <c r="U18" s="34"/>
      <c r="V18" s="34">
        <v>4</v>
      </c>
      <c r="W18" s="34"/>
      <c r="X18" s="34">
        <v>4</v>
      </c>
      <c r="Y18" s="34"/>
      <c r="Z18" s="34">
        <v>4</v>
      </c>
      <c r="AA18" s="34"/>
      <c r="AB18" s="34">
        <v>4</v>
      </c>
      <c r="AC18" s="34"/>
      <c r="AD18" s="34">
        <v>4</v>
      </c>
      <c r="AE18" s="34"/>
      <c r="AF18" s="34">
        <v>4</v>
      </c>
      <c r="AG18" s="34"/>
      <c r="AH18" s="34">
        <v>4</v>
      </c>
      <c r="AI18" s="34"/>
      <c r="AJ18" s="34">
        <v>4</v>
      </c>
      <c r="AK18" s="34"/>
      <c r="AL18" s="34">
        <v>4</v>
      </c>
      <c r="AM18" s="34"/>
      <c r="AN18" s="34">
        <v>4</v>
      </c>
      <c r="AO18" s="34"/>
      <c r="AP18" s="34">
        <v>4</v>
      </c>
      <c r="AQ18" s="34"/>
      <c r="AR18" s="34">
        <v>4</v>
      </c>
      <c r="AS18" s="34"/>
      <c r="AT18" s="34">
        <v>4</v>
      </c>
      <c r="AU18" s="34"/>
      <c r="AV18" s="34">
        <v>4</v>
      </c>
      <c r="AW18" s="34"/>
      <c r="AX18" s="34">
        <v>4</v>
      </c>
      <c r="AY18" s="34"/>
    </row>
    <row r="19" spans="1:51">
      <c r="A19" s="640"/>
      <c r="B19" s="32" t="s">
        <v>162</v>
      </c>
      <c r="C19" s="33" t="s">
        <v>70</v>
      </c>
      <c r="D19" s="34">
        <v>4</v>
      </c>
      <c r="E19" s="34"/>
      <c r="F19" s="34">
        <v>4</v>
      </c>
      <c r="G19" s="34"/>
      <c r="H19" s="34">
        <v>4</v>
      </c>
      <c r="I19" s="34"/>
      <c r="J19" s="34">
        <v>4</v>
      </c>
      <c r="K19" s="34"/>
      <c r="L19" s="34">
        <v>4</v>
      </c>
      <c r="M19" s="34"/>
      <c r="N19" s="34">
        <v>4</v>
      </c>
      <c r="O19" s="34"/>
      <c r="P19" s="34">
        <v>4</v>
      </c>
      <c r="Q19" s="34"/>
      <c r="R19" s="34">
        <v>4</v>
      </c>
      <c r="S19" s="34"/>
      <c r="T19" s="34">
        <v>4</v>
      </c>
      <c r="U19" s="34"/>
      <c r="V19" s="34">
        <v>4</v>
      </c>
      <c r="W19" s="34"/>
      <c r="X19" s="34">
        <v>4</v>
      </c>
      <c r="Y19" s="34"/>
      <c r="Z19" s="34">
        <v>4</v>
      </c>
      <c r="AA19" s="34"/>
      <c r="AB19" s="34">
        <v>4</v>
      </c>
      <c r="AC19" s="34"/>
      <c r="AD19" s="34">
        <v>4</v>
      </c>
      <c r="AE19" s="34"/>
      <c r="AF19" s="34">
        <v>4</v>
      </c>
      <c r="AG19" s="34"/>
      <c r="AH19" s="34">
        <v>4</v>
      </c>
      <c r="AI19" s="34"/>
      <c r="AJ19" s="34">
        <v>4</v>
      </c>
      <c r="AK19" s="34"/>
      <c r="AL19" s="34">
        <v>4</v>
      </c>
      <c r="AM19" s="34"/>
      <c r="AN19" s="34">
        <v>4</v>
      </c>
      <c r="AO19" s="34"/>
      <c r="AP19" s="34">
        <v>4</v>
      </c>
      <c r="AQ19" s="34"/>
      <c r="AR19" s="34">
        <v>4</v>
      </c>
      <c r="AS19" s="34"/>
      <c r="AT19" s="34">
        <v>4</v>
      </c>
      <c r="AU19" s="34"/>
      <c r="AV19" s="34">
        <v>4</v>
      </c>
      <c r="AW19" s="34"/>
      <c r="AX19" s="34">
        <v>4</v>
      </c>
      <c r="AY19" s="34"/>
    </row>
    <row r="20" spans="1:51">
      <c r="A20" s="640"/>
      <c r="B20" s="32" t="s">
        <v>163</v>
      </c>
      <c r="C20" s="33" t="s">
        <v>164</v>
      </c>
      <c r="D20" s="34">
        <v>4</v>
      </c>
      <c r="E20" s="34"/>
      <c r="F20" s="34">
        <v>4</v>
      </c>
      <c r="G20" s="34"/>
      <c r="H20" s="34">
        <v>4</v>
      </c>
      <c r="I20" s="34"/>
      <c r="J20" s="34">
        <v>4</v>
      </c>
      <c r="K20" s="34"/>
      <c r="L20" s="34">
        <v>4</v>
      </c>
      <c r="M20" s="34"/>
      <c r="N20" s="34">
        <v>4</v>
      </c>
      <c r="O20" s="34"/>
      <c r="P20" s="34">
        <v>4</v>
      </c>
      <c r="Q20" s="34"/>
      <c r="R20" s="34">
        <v>4</v>
      </c>
      <c r="S20" s="34"/>
      <c r="T20" s="34">
        <v>4</v>
      </c>
      <c r="U20" s="34"/>
      <c r="V20" s="34">
        <v>4</v>
      </c>
      <c r="W20" s="34"/>
      <c r="X20" s="34">
        <v>4</v>
      </c>
      <c r="Y20" s="34"/>
      <c r="Z20" s="34">
        <v>4</v>
      </c>
      <c r="AA20" s="34"/>
      <c r="AB20" s="34">
        <v>4</v>
      </c>
      <c r="AC20" s="34"/>
      <c r="AD20" s="34">
        <v>4</v>
      </c>
      <c r="AE20" s="34"/>
      <c r="AF20" s="34">
        <v>4</v>
      </c>
      <c r="AG20" s="34"/>
      <c r="AH20" s="34">
        <v>4</v>
      </c>
      <c r="AI20" s="34"/>
      <c r="AJ20" s="34">
        <v>4</v>
      </c>
      <c r="AK20" s="34"/>
      <c r="AL20" s="34">
        <v>4</v>
      </c>
      <c r="AM20" s="34"/>
      <c r="AN20" s="34">
        <v>4</v>
      </c>
      <c r="AO20" s="34"/>
      <c r="AP20" s="34">
        <v>4</v>
      </c>
      <c r="AQ20" s="34"/>
      <c r="AR20" s="34">
        <v>4</v>
      </c>
      <c r="AS20" s="34"/>
      <c r="AT20" s="34">
        <v>4</v>
      </c>
      <c r="AU20" s="34"/>
      <c r="AV20" s="34">
        <v>4</v>
      </c>
      <c r="AW20" s="34"/>
      <c r="AX20" s="34">
        <v>4</v>
      </c>
      <c r="AY20" s="34"/>
    </row>
    <row r="21" spans="1:51">
      <c r="A21" s="640"/>
      <c r="B21" s="32" t="s">
        <v>165</v>
      </c>
      <c r="C21" s="33" t="s">
        <v>166</v>
      </c>
      <c r="D21" s="34">
        <v>4</v>
      </c>
      <c r="E21" s="34"/>
      <c r="F21" s="34">
        <v>4</v>
      </c>
      <c r="G21" s="34"/>
      <c r="H21" s="34">
        <v>4</v>
      </c>
      <c r="I21" s="34"/>
      <c r="J21" s="34">
        <v>4</v>
      </c>
      <c r="K21" s="34"/>
      <c r="L21" s="34">
        <v>4</v>
      </c>
      <c r="M21" s="34"/>
      <c r="N21" s="34">
        <v>4</v>
      </c>
      <c r="O21" s="34"/>
      <c r="P21" s="34">
        <v>4</v>
      </c>
      <c r="Q21" s="34"/>
      <c r="R21" s="34">
        <v>4</v>
      </c>
      <c r="S21" s="34"/>
      <c r="T21" s="34">
        <v>4</v>
      </c>
      <c r="U21" s="34"/>
      <c r="V21" s="34">
        <v>4</v>
      </c>
      <c r="W21" s="34"/>
      <c r="X21" s="34">
        <v>4</v>
      </c>
      <c r="Y21" s="34"/>
      <c r="Z21" s="34">
        <v>4</v>
      </c>
      <c r="AA21" s="34"/>
      <c r="AB21" s="34">
        <v>4</v>
      </c>
      <c r="AC21" s="34"/>
      <c r="AD21" s="34">
        <v>4</v>
      </c>
      <c r="AE21" s="34"/>
      <c r="AF21" s="34">
        <v>4</v>
      </c>
      <c r="AG21" s="34"/>
      <c r="AH21" s="34">
        <v>4</v>
      </c>
      <c r="AI21" s="34"/>
      <c r="AJ21" s="34">
        <v>4</v>
      </c>
      <c r="AK21" s="34"/>
      <c r="AL21" s="34">
        <v>4</v>
      </c>
      <c r="AM21" s="34"/>
      <c r="AN21" s="34">
        <v>4</v>
      </c>
      <c r="AO21" s="34"/>
      <c r="AP21" s="34">
        <v>4</v>
      </c>
      <c r="AQ21" s="34"/>
      <c r="AR21" s="34">
        <v>4</v>
      </c>
      <c r="AS21" s="34"/>
      <c r="AT21" s="34">
        <v>4</v>
      </c>
      <c r="AU21" s="34"/>
      <c r="AV21" s="34">
        <v>4</v>
      </c>
      <c r="AW21" s="34"/>
      <c r="AX21" s="34">
        <v>4</v>
      </c>
      <c r="AY21" s="34"/>
    </row>
    <row r="22" spans="1:51">
      <c r="A22" s="640"/>
      <c r="B22" s="32" t="s">
        <v>167</v>
      </c>
      <c r="C22" s="33" t="s">
        <v>168</v>
      </c>
      <c r="D22" s="34">
        <v>4</v>
      </c>
      <c r="E22" s="34"/>
      <c r="F22" s="34">
        <v>4</v>
      </c>
      <c r="G22" s="34"/>
      <c r="H22" s="34">
        <v>4</v>
      </c>
      <c r="I22" s="34"/>
      <c r="J22" s="34">
        <v>4</v>
      </c>
      <c r="K22" s="34"/>
      <c r="L22" s="34">
        <v>4</v>
      </c>
      <c r="M22" s="34"/>
      <c r="N22" s="34">
        <v>4</v>
      </c>
      <c r="O22" s="34"/>
      <c r="P22" s="34">
        <v>4</v>
      </c>
      <c r="Q22" s="34"/>
      <c r="R22" s="34">
        <v>4</v>
      </c>
      <c r="S22" s="34"/>
      <c r="T22" s="34">
        <v>4</v>
      </c>
      <c r="U22" s="34"/>
      <c r="V22" s="34">
        <v>4</v>
      </c>
      <c r="W22" s="34"/>
      <c r="X22" s="34">
        <v>4</v>
      </c>
      <c r="Y22" s="34"/>
      <c r="Z22" s="34">
        <v>4</v>
      </c>
      <c r="AA22" s="34"/>
      <c r="AB22" s="34">
        <v>4</v>
      </c>
      <c r="AC22" s="34"/>
      <c r="AD22" s="34">
        <v>4</v>
      </c>
      <c r="AE22" s="34"/>
      <c r="AF22" s="34">
        <v>4</v>
      </c>
      <c r="AG22" s="34"/>
      <c r="AH22" s="34">
        <v>4</v>
      </c>
      <c r="AI22" s="34"/>
      <c r="AJ22" s="34">
        <v>4</v>
      </c>
      <c r="AK22" s="34"/>
      <c r="AL22" s="34">
        <v>4</v>
      </c>
      <c r="AM22" s="34"/>
      <c r="AN22" s="34">
        <v>4</v>
      </c>
      <c r="AO22" s="34"/>
      <c r="AP22" s="34">
        <v>4</v>
      </c>
      <c r="AQ22" s="34"/>
      <c r="AR22" s="34">
        <v>4</v>
      </c>
      <c r="AS22" s="34"/>
      <c r="AT22" s="34">
        <v>4</v>
      </c>
      <c r="AU22" s="34"/>
      <c r="AV22" s="34">
        <v>4</v>
      </c>
      <c r="AW22" s="34"/>
      <c r="AX22" s="34">
        <v>4</v>
      </c>
      <c r="AY22" s="34"/>
    </row>
    <row r="23" spans="1:51">
      <c r="A23" s="640"/>
      <c r="B23" s="35"/>
      <c r="C23" s="36"/>
      <c r="D23" s="37">
        <f>SUM(D15:D22)</f>
        <v>32</v>
      </c>
      <c r="E23" s="37">
        <f>SUM(E15:E22)</f>
        <v>0</v>
      </c>
      <c r="F23" s="37">
        <f>SUM(F15:F22)</f>
        <v>32</v>
      </c>
      <c r="G23" s="37">
        <f>SUM(G15:G22)</f>
        <v>0</v>
      </c>
      <c r="H23" s="37">
        <f>SUM(H15:H22)</f>
        <v>32</v>
      </c>
      <c r="I23" s="37">
        <f t="shared" ref="I23:AY23" si="2">SUM(I15:I22)</f>
        <v>0</v>
      </c>
      <c r="J23" s="37">
        <f t="shared" si="2"/>
        <v>32</v>
      </c>
      <c r="K23" s="37">
        <f t="shared" si="2"/>
        <v>0</v>
      </c>
      <c r="L23" s="37">
        <f t="shared" si="2"/>
        <v>32</v>
      </c>
      <c r="M23" s="37">
        <f t="shared" si="2"/>
        <v>0</v>
      </c>
      <c r="N23" s="37">
        <f t="shared" si="2"/>
        <v>32</v>
      </c>
      <c r="O23" s="37">
        <f t="shared" si="2"/>
        <v>0</v>
      </c>
      <c r="P23" s="37">
        <f t="shared" si="2"/>
        <v>32</v>
      </c>
      <c r="Q23" s="37">
        <f t="shared" si="2"/>
        <v>0</v>
      </c>
      <c r="R23" s="37">
        <f t="shared" si="2"/>
        <v>32</v>
      </c>
      <c r="S23" s="37">
        <f t="shared" si="2"/>
        <v>0</v>
      </c>
      <c r="T23" s="37">
        <f t="shared" si="2"/>
        <v>32</v>
      </c>
      <c r="U23" s="37">
        <f t="shared" si="2"/>
        <v>0</v>
      </c>
      <c r="V23" s="37">
        <f t="shared" si="2"/>
        <v>32</v>
      </c>
      <c r="W23" s="37">
        <f t="shared" si="2"/>
        <v>0</v>
      </c>
      <c r="X23" s="37">
        <f t="shared" si="2"/>
        <v>32</v>
      </c>
      <c r="Y23" s="37">
        <f t="shared" si="2"/>
        <v>0</v>
      </c>
      <c r="Z23" s="37">
        <f t="shared" si="2"/>
        <v>32</v>
      </c>
      <c r="AA23" s="37">
        <f t="shared" si="2"/>
        <v>0</v>
      </c>
      <c r="AB23" s="37">
        <f t="shared" si="2"/>
        <v>32</v>
      </c>
      <c r="AC23" s="37">
        <f t="shared" si="2"/>
        <v>0</v>
      </c>
      <c r="AD23" s="37">
        <f t="shared" si="2"/>
        <v>32</v>
      </c>
      <c r="AE23" s="37">
        <f t="shared" si="2"/>
        <v>0</v>
      </c>
      <c r="AF23" s="37">
        <f t="shared" si="2"/>
        <v>32</v>
      </c>
      <c r="AG23" s="37">
        <f t="shared" si="2"/>
        <v>0</v>
      </c>
      <c r="AH23" s="37">
        <f t="shared" si="2"/>
        <v>32</v>
      </c>
      <c r="AI23" s="37">
        <f t="shared" si="2"/>
        <v>0</v>
      </c>
      <c r="AJ23" s="37">
        <f t="shared" si="2"/>
        <v>32</v>
      </c>
      <c r="AK23" s="37">
        <f t="shared" si="2"/>
        <v>0</v>
      </c>
      <c r="AL23" s="37">
        <f t="shared" si="2"/>
        <v>32</v>
      </c>
      <c r="AM23" s="37">
        <f t="shared" si="2"/>
        <v>0</v>
      </c>
      <c r="AN23" s="37">
        <f t="shared" si="2"/>
        <v>32</v>
      </c>
      <c r="AO23" s="37">
        <f t="shared" si="2"/>
        <v>0</v>
      </c>
      <c r="AP23" s="37">
        <f t="shared" si="2"/>
        <v>32</v>
      </c>
      <c r="AQ23" s="37">
        <f t="shared" si="2"/>
        <v>0</v>
      </c>
      <c r="AR23" s="37">
        <f t="shared" si="2"/>
        <v>32</v>
      </c>
      <c r="AS23" s="37">
        <f t="shared" si="2"/>
        <v>0</v>
      </c>
      <c r="AT23" s="37">
        <f t="shared" si="2"/>
        <v>32</v>
      </c>
      <c r="AU23" s="37">
        <f t="shared" si="2"/>
        <v>0</v>
      </c>
      <c r="AV23" s="37">
        <f t="shared" si="2"/>
        <v>32</v>
      </c>
      <c r="AW23" s="37">
        <f t="shared" si="2"/>
        <v>0</v>
      </c>
      <c r="AX23" s="37">
        <f t="shared" si="2"/>
        <v>32</v>
      </c>
      <c r="AY23" s="37">
        <f t="shared" si="2"/>
        <v>0</v>
      </c>
    </row>
    <row r="24" spans="1:51">
      <c r="A24" s="641" t="s">
        <v>169</v>
      </c>
      <c r="B24" s="32" t="s">
        <v>170</v>
      </c>
      <c r="C24" s="33" t="s">
        <v>74</v>
      </c>
      <c r="D24" s="34">
        <v>4</v>
      </c>
      <c r="E24" s="34"/>
      <c r="F24" s="34">
        <v>4</v>
      </c>
      <c r="G24" s="34"/>
      <c r="H24" s="34">
        <v>4</v>
      </c>
      <c r="I24" s="34"/>
      <c r="J24" s="34">
        <v>4</v>
      </c>
      <c r="K24" s="34"/>
      <c r="L24" s="34">
        <v>4</v>
      </c>
      <c r="M24" s="34"/>
      <c r="N24" s="34">
        <v>4</v>
      </c>
      <c r="O24" s="34"/>
      <c r="P24" s="34">
        <v>4</v>
      </c>
      <c r="Q24" s="34"/>
      <c r="R24" s="34">
        <v>4</v>
      </c>
      <c r="S24" s="34"/>
      <c r="T24" s="34">
        <v>4</v>
      </c>
      <c r="U24" s="34"/>
      <c r="V24" s="34">
        <v>4</v>
      </c>
      <c r="W24" s="34"/>
      <c r="X24" s="34">
        <v>4</v>
      </c>
      <c r="Y24" s="34"/>
      <c r="Z24" s="34">
        <v>4</v>
      </c>
      <c r="AA24" s="34"/>
      <c r="AB24" s="34">
        <v>4</v>
      </c>
      <c r="AC24" s="34"/>
      <c r="AD24" s="34">
        <v>4</v>
      </c>
      <c r="AE24" s="34"/>
      <c r="AF24" s="34">
        <v>4</v>
      </c>
      <c r="AG24" s="34"/>
      <c r="AH24" s="34">
        <v>4</v>
      </c>
      <c r="AI24" s="34"/>
      <c r="AJ24" s="34">
        <v>4</v>
      </c>
      <c r="AK24" s="34"/>
      <c r="AL24" s="34">
        <v>4</v>
      </c>
      <c r="AM24" s="34"/>
      <c r="AN24" s="34">
        <v>4</v>
      </c>
      <c r="AO24" s="34"/>
      <c r="AP24" s="34">
        <v>4</v>
      </c>
      <c r="AQ24" s="34"/>
      <c r="AR24" s="34">
        <v>4</v>
      </c>
      <c r="AS24" s="34"/>
      <c r="AT24" s="34">
        <v>4</v>
      </c>
      <c r="AU24" s="34"/>
      <c r="AV24" s="34">
        <v>4</v>
      </c>
      <c r="AW24" s="34"/>
      <c r="AX24" s="34">
        <v>4</v>
      </c>
      <c r="AY24" s="34"/>
    </row>
    <row r="25" spans="1:51">
      <c r="A25" s="641"/>
      <c r="B25" s="32" t="s">
        <v>171</v>
      </c>
      <c r="C25" s="33" t="s">
        <v>75</v>
      </c>
      <c r="D25" s="34">
        <v>4</v>
      </c>
      <c r="E25" s="34"/>
      <c r="F25" s="34">
        <v>4</v>
      </c>
      <c r="G25" s="34"/>
      <c r="H25" s="34">
        <v>4</v>
      </c>
      <c r="I25" s="34"/>
      <c r="J25" s="34">
        <v>4</v>
      </c>
      <c r="K25" s="34"/>
      <c r="L25" s="34">
        <v>4</v>
      </c>
      <c r="M25" s="34"/>
      <c r="N25" s="34">
        <v>4</v>
      </c>
      <c r="O25" s="34"/>
      <c r="P25" s="34">
        <v>4</v>
      </c>
      <c r="Q25" s="34"/>
      <c r="R25" s="34">
        <v>4</v>
      </c>
      <c r="S25" s="34"/>
      <c r="T25" s="34">
        <v>4</v>
      </c>
      <c r="U25" s="34"/>
      <c r="V25" s="34">
        <v>4</v>
      </c>
      <c r="W25" s="34"/>
      <c r="X25" s="34">
        <v>4</v>
      </c>
      <c r="Y25" s="34"/>
      <c r="Z25" s="34">
        <v>4</v>
      </c>
      <c r="AA25" s="34"/>
      <c r="AB25" s="34">
        <v>4</v>
      </c>
      <c r="AC25" s="34"/>
      <c r="AD25" s="34">
        <v>4</v>
      </c>
      <c r="AE25" s="34"/>
      <c r="AF25" s="34">
        <v>4</v>
      </c>
      <c r="AG25" s="34"/>
      <c r="AH25" s="34">
        <v>4</v>
      </c>
      <c r="AI25" s="34"/>
      <c r="AJ25" s="34">
        <v>4</v>
      </c>
      <c r="AK25" s="34"/>
      <c r="AL25" s="34">
        <v>4</v>
      </c>
      <c r="AM25" s="34"/>
      <c r="AN25" s="34">
        <v>4</v>
      </c>
      <c r="AO25" s="34"/>
      <c r="AP25" s="34">
        <v>4</v>
      </c>
      <c r="AQ25" s="34"/>
      <c r="AR25" s="34">
        <v>4</v>
      </c>
      <c r="AS25" s="34"/>
      <c r="AT25" s="34">
        <v>4</v>
      </c>
      <c r="AU25" s="34"/>
      <c r="AV25" s="34">
        <v>4</v>
      </c>
      <c r="AW25" s="34"/>
      <c r="AX25" s="34">
        <v>4</v>
      </c>
      <c r="AY25" s="34"/>
    </row>
    <row r="26" spans="1:51">
      <c r="A26" s="641"/>
      <c r="B26" s="32" t="s">
        <v>172</v>
      </c>
      <c r="C26" s="33" t="s">
        <v>173</v>
      </c>
      <c r="D26" s="34">
        <v>4</v>
      </c>
      <c r="E26" s="34"/>
      <c r="F26" s="34">
        <v>4</v>
      </c>
      <c r="G26" s="34"/>
      <c r="H26" s="34">
        <v>4</v>
      </c>
      <c r="I26" s="34"/>
      <c r="J26" s="34">
        <v>4</v>
      </c>
      <c r="K26" s="34"/>
      <c r="L26" s="34">
        <v>4</v>
      </c>
      <c r="M26" s="34"/>
      <c r="N26" s="34">
        <v>4</v>
      </c>
      <c r="O26" s="34"/>
      <c r="P26" s="34">
        <v>4</v>
      </c>
      <c r="Q26" s="34"/>
      <c r="R26" s="34">
        <v>4</v>
      </c>
      <c r="S26" s="34"/>
      <c r="T26" s="34">
        <v>4</v>
      </c>
      <c r="U26" s="34"/>
      <c r="V26" s="34">
        <v>4</v>
      </c>
      <c r="W26" s="34"/>
      <c r="X26" s="34">
        <v>4</v>
      </c>
      <c r="Y26" s="34"/>
      <c r="Z26" s="34">
        <v>4</v>
      </c>
      <c r="AA26" s="34"/>
      <c r="AB26" s="34">
        <v>4</v>
      </c>
      <c r="AC26" s="34"/>
      <c r="AD26" s="34">
        <v>4</v>
      </c>
      <c r="AE26" s="34"/>
      <c r="AF26" s="34">
        <v>4</v>
      </c>
      <c r="AG26" s="34"/>
      <c r="AH26" s="34">
        <v>4</v>
      </c>
      <c r="AI26" s="34"/>
      <c r="AJ26" s="34">
        <v>4</v>
      </c>
      <c r="AK26" s="34"/>
      <c r="AL26" s="34">
        <v>4</v>
      </c>
      <c r="AM26" s="34"/>
      <c r="AN26" s="34">
        <v>4</v>
      </c>
      <c r="AO26" s="34"/>
      <c r="AP26" s="34">
        <v>4</v>
      </c>
      <c r="AQ26" s="34"/>
      <c r="AR26" s="34">
        <v>4</v>
      </c>
      <c r="AS26" s="34"/>
      <c r="AT26" s="34">
        <v>4</v>
      </c>
      <c r="AU26" s="34"/>
      <c r="AV26" s="34">
        <v>4</v>
      </c>
      <c r="AW26" s="34"/>
      <c r="AX26" s="34">
        <v>4</v>
      </c>
      <c r="AY26" s="34"/>
    </row>
    <row r="27" spans="1:51">
      <c r="A27" s="641"/>
      <c r="B27" s="32" t="s">
        <v>174</v>
      </c>
      <c r="C27" s="33" t="s">
        <v>77</v>
      </c>
      <c r="D27" s="34">
        <v>4</v>
      </c>
      <c r="E27" s="34"/>
      <c r="F27" s="34">
        <v>4</v>
      </c>
      <c r="G27" s="34"/>
      <c r="H27" s="34">
        <v>4</v>
      </c>
      <c r="I27" s="34"/>
      <c r="J27" s="34">
        <v>4</v>
      </c>
      <c r="K27" s="34"/>
      <c r="L27" s="34">
        <v>4</v>
      </c>
      <c r="M27" s="34"/>
      <c r="N27" s="34">
        <v>4</v>
      </c>
      <c r="O27" s="34"/>
      <c r="P27" s="34">
        <v>4</v>
      </c>
      <c r="Q27" s="34"/>
      <c r="R27" s="34">
        <v>4</v>
      </c>
      <c r="S27" s="34"/>
      <c r="T27" s="34">
        <v>4</v>
      </c>
      <c r="U27" s="34"/>
      <c r="V27" s="34">
        <v>4</v>
      </c>
      <c r="W27" s="34"/>
      <c r="X27" s="34">
        <v>4</v>
      </c>
      <c r="Y27" s="34"/>
      <c r="Z27" s="34">
        <v>4</v>
      </c>
      <c r="AA27" s="34"/>
      <c r="AB27" s="34">
        <v>4</v>
      </c>
      <c r="AC27" s="34"/>
      <c r="AD27" s="34">
        <v>4</v>
      </c>
      <c r="AE27" s="34"/>
      <c r="AF27" s="34">
        <v>4</v>
      </c>
      <c r="AG27" s="34"/>
      <c r="AH27" s="34">
        <v>4</v>
      </c>
      <c r="AI27" s="34"/>
      <c r="AJ27" s="34">
        <v>4</v>
      </c>
      <c r="AK27" s="34"/>
      <c r="AL27" s="34">
        <v>4</v>
      </c>
      <c r="AM27" s="34"/>
      <c r="AN27" s="34">
        <v>4</v>
      </c>
      <c r="AO27" s="34"/>
      <c r="AP27" s="34">
        <v>4</v>
      </c>
      <c r="AQ27" s="34"/>
      <c r="AR27" s="34">
        <v>4</v>
      </c>
      <c r="AS27" s="34"/>
      <c r="AT27" s="34">
        <v>4</v>
      </c>
      <c r="AU27" s="34"/>
      <c r="AV27" s="34">
        <v>4</v>
      </c>
      <c r="AW27" s="34"/>
      <c r="AX27" s="34">
        <v>4</v>
      </c>
      <c r="AY27" s="34"/>
    </row>
    <row r="28" spans="1:51">
      <c r="A28" s="641"/>
      <c r="B28" s="32" t="s">
        <v>175</v>
      </c>
      <c r="C28" s="33" t="s">
        <v>78</v>
      </c>
      <c r="D28" s="34">
        <v>4</v>
      </c>
      <c r="E28" s="34"/>
      <c r="F28" s="34">
        <v>4</v>
      </c>
      <c r="G28" s="34"/>
      <c r="H28" s="34">
        <v>4</v>
      </c>
      <c r="I28" s="34"/>
      <c r="J28" s="34">
        <v>4</v>
      </c>
      <c r="K28" s="34"/>
      <c r="L28" s="34">
        <v>4</v>
      </c>
      <c r="M28" s="34"/>
      <c r="N28" s="34">
        <v>4</v>
      </c>
      <c r="O28" s="34"/>
      <c r="P28" s="34">
        <v>4</v>
      </c>
      <c r="Q28" s="34"/>
      <c r="R28" s="34">
        <v>4</v>
      </c>
      <c r="S28" s="34"/>
      <c r="T28" s="34">
        <v>4</v>
      </c>
      <c r="U28" s="34"/>
      <c r="V28" s="34">
        <v>4</v>
      </c>
      <c r="W28" s="34"/>
      <c r="X28" s="34">
        <v>4</v>
      </c>
      <c r="Y28" s="34"/>
      <c r="Z28" s="34">
        <v>4</v>
      </c>
      <c r="AA28" s="34"/>
      <c r="AB28" s="34">
        <v>4</v>
      </c>
      <c r="AC28" s="34"/>
      <c r="AD28" s="34">
        <v>4</v>
      </c>
      <c r="AE28" s="34"/>
      <c r="AF28" s="34">
        <v>4</v>
      </c>
      <c r="AG28" s="34"/>
      <c r="AH28" s="34">
        <v>4</v>
      </c>
      <c r="AI28" s="34"/>
      <c r="AJ28" s="34">
        <v>4</v>
      </c>
      <c r="AK28" s="34"/>
      <c r="AL28" s="34">
        <v>4</v>
      </c>
      <c r="AM28" s="34"/>
      <c r="AN28" s="34">
        <v>4</v>
      </c>
      <c r="AO28" s="34"/>
      <c r="AP28" s="34">
        <v>4</v>
      </c>
      <c r="AQ28" s="34"/>
      <c r="AR28" s="34">
        <v>4</v>
      </c>
      <c r="AS28" s="34"/>
      <c r="AT28" s="34">
        <v>4</v>
      </c>
      <c r="AU28" s="34"/>
      <c r="AV28" s="34">
        <v>4</v>
      </c>
      <c r="AW28" s="34"/>
      <c r="AX28" s="34">
        <v>4</v>
      </c>
      <c r="AY28" s="34"/>
    </row>
    <row r="29" spans="1:51">
      <c r="A29" s="641"/>
      <c r="B29" s="35"/>
      <c r="C29" s="36"/>
      <c r="D29" s="37">
        <f>SUM(D24:D28)</f>
        <v>20</v>
      </c>
      <c r="E29" s="37">
        <f>SUM(E24:E28)</f>
        <v>0</v>
      </c>
      <c r="F29" s="37">
        <f>SUM(F24:F28)</f>
        <v>20</v>
      </c>
      <c r="G29" s="37">
        <f>SUM(G24:G28)</f>
        <v>0</v>
      </c>
      <c r="H29" s="37">
        <f>SUM(H24:H28)</f>
        <v>20</v>
      </c>
      <c r="I29" s="37">
        <f t="shared" ref="I29:AY29" si="3">SUM(I24:I28)</f>
        <v>0</v>
      </c>
      <c r="J29" s="37">
        <f t="shared" si="3"/>
        <v>20</v>
      </c>
      <c r="K29" s="37">
        <f t="shared" si="3"/>
        <v>0</v>
      </c>
      <c r="L29" s="37">
        <f t="shared" si="3"/>
        <v>20</v>
      </c>
      <c r="M29" s="37">
        <f t="shared" si="3"/>
        <v>0</v>
      </c>
      <c r="N29" s="37">
        <f t="shared" si="3"/>
        <v>20</v>
      </c>
      <c r="O29" s="37">
        <f t="shared" si="3"/>
        <v>0</v>
      </c>
      <c r="P29" s="37">
        <f t="shared" si="3"/>
        <v>20</v>
      </c>
      <c r="Q29" s="37">
        <f t="shared" si="3"/>
        <v>0</v>
      </c>
      <c r="R29" s="37">
        <f t="shared" si="3"/>
        <v>20</v>
      </c>
      <c r="S29" s="37">
        <f t="shared" si="3"/>
        <v>0</v>
      </c>
      <c r="T29" s="37">
        <f t="shared" si="3"/>
        <v>20</v>
      </c>
      <c r="U29" s="37">
        <f t="shared" si="3"/>
        <v>0</v>
      </c>
      <c r="V29" s="37">
        <f t="shared" si="3"/>
        <v>20</v>
      </c>
      <c r="W29" s="37">
        <f t="shared" si="3"/>
        <v>0</v>
      </c>
      <c r="X29" s="37">
        <f t="shared" si="3"/>
        <v>20</v>
      </c>
      <c r="Y29" s="37">
        <f t="shared" si="3"/>
        <v>0</v>
      </c>
      <c r="Z29" s="37">
        <f t="shared" si="3"/>
        <v>20</v>
      </c>
      <c r="AA29" s="37">
        <f t="shared" si="3"/>
        <v>0</v>
      </c>
      <c r="AB29" s="37">
        <f t="shared" si="3"/>
        <v>20</v>
      </c>
      <c r="AC29" s="37">
        <f t="shared" si="3"/>
        <v>0</v>
      </c>
      <c r="AD29" s="37">
        <f t="shared" si="3"/>
        <v>20</v>
      </c>
      <c r="AE29" s="37">
        <f t="shared" si="3"/>
        <v>0</v>
      </c>
      <c r="AF29" s="37">
        <f t="shared" si="3"/>
        <v>20</v>
      </c>
      <c r="AG29" s="37">
        <f t="shared" si="3"/>
        <v>0</v>
      </c>
      <c r="AH29" s="37">
        <f t="shared" si="3"/>
        <v>20</v>
      </c>
      <c r="AI29" s="37">
        <f t="shared" si="3"/>
        <v>0</v>
      </c>
      <c r="AJ29" s="37">
        <f t="shared" si="3"/>
        <v>20</v>
      </c>
      <c r="AK29" s="37">
        <f t="shared" si="3"/>
        <v>0</v>
      </c>
      <c r="AL29" s="37">
        <f t="shared" si="3"/>
        <v>20</v>
      </c>
      <c r="AM29" s="37">
        <f t="shared" si="3"/>
        <v>0</v>
      </c>
      <c r="AN29" s="37">
        <f t="shared" si="3"/>
        <v>20</v>
      </c>
      <c r="AO29" s="37">
        <f t="shared" si="3"/>
        <v>0</v>
      </c>
      <c r="AP29" s="37">
        <f t="shared" si="3"/>
        <v>20</v>
      </c>
      <c r="AQ29" s="37">
        <f t="shared" si="3"/>
        <v>0</v>
      </c>
      <c r="AR29" s="37">
        <f t="shared" si="3"/>
        <v>20</v>
      </c>
      <c r="AS29" s="37">
        <f t="shared" si="3"/>
        <v>0</v>
      </c>
      <c r="AT29" s="37">
        <f t="shared" si="3"/>
        <v>20</v>
      </c>
      <c r="AU29" s="37">
        <f t="shared" si="3"/>
        <v>0</v>
      </c>
      <c r="AV29" s="37">
        <f t="shared" si="3"/>
        <v>20</v>
      </c>
      <c r="AW29" s="37">
        <f t="shared" si="3"/>
        <v>0</v>
      </c>
      <c r="AX29" s="37">
        <f t="shared" si="3"/>
        <v>20</v>
      </c>
      <c r="AY29" s="37">
        <f t="shared" si="3"/>
        <v>0</v>
      </c>
    </row>
    <row r="30" spans="1:51">
      <c r="A30" s="640" t="s">
        <v>10</v>
      </c>
      <c r="B30" s="32" t="s">
        <v>176</v>
      </c>
      <c r="C30" s="33" t="s">
        <v>177</v>
      </c>
      <c r="D30" s="34">
        <v>4</v>
      </c>
      <c r="E30" s="34"/>
      <c r="F30" s="34">
        <v>4</v>
      </c>
      <c r="G30" s="34"/>
      <c r="H30" s="34">
        <v>4</v>
      </c>
      <c r="I30" s="34"/>
      <c r="J30" s="34">
        <v>4</v>
      </c>
      <c r="K30" s="34"/>
      <c r="L30" s="34">
        <v>4</v>
      </c>
      <c r="M30" s="34"/>
      <c r="N30" s="34">
        <v>4</v>
      </c>
      <c r="O30" s="34"/>
      <c r="P30" s="34">
        <v>4</v>
      </c>
      <c r="Q30" s="34"/>
      <c r="R30" s="34">
        <v>4</v>
      </c>
      <c r="S30" s="34"/>
      <c r="T30" s="34">
        <v>4</v>
      </c>
      <c r="U30" s="34"/>
      <c r="V30" s="34">
        <v>4</v>
      </c>
      <c r="W30" s="34"/>
      <c r="X30" s="34">
        <v>4</v>
      </c>
      <c r="Y30" s="34"/>
      <c r="Z30" s="34">
        <v>4</v>
      </c>
      <c r="AA30" s="34"/>
      <c r="AB30" s="34">
        <v>4</v>
      </c>
      <c r="AC30" s="34"/>
      <c r="AD30" s="34">
        <v>4</v>
      </c>
      <c r="AE30" s="34"/>
      <c r="AF30" s="34">
        <v>4</v>
      </c>
      <c r="AG30" s="34"/>
      <c r="AH30" s="34">
        <v>4</v>
      </c>
      <c r="AI30" s="34"/>
      <c r="AJ30" s="34">
        <v>4</v>
      </c>
      <c r="AK30" s="34"/>
      <c r="AL30" s="34">
        <v>4</v>
      </c>
      <c r="AM30" s="34"/>
      <c r="AN30" s="34">
        <v>4</v>
      </c>
      <c r="AO30" s="34"/>
      <c r="AP30" s="34">
        <v>4</v>
      </c>
      <c r="AQ30" s="34"/>
      <c r="AR30" s="34">
        <v>4</v>
      </c>
      <c r="AS30" s="34"/>
      <c r="AT30" s="34">
        <v>4</v>
      </c>
      <c r="AU30" s="34"/>
      <c r="AV30" s="34">
        <v>4</v>
      </c>
      <c r="AW30" s="34"/>
      <c r="AX30" s="34">
        <v>4</v>
      </c>
      <c r="AY30" s="34"/>
    </row>
    <row r="31" spans="1:51">
      <c r="A31" s="640"/>
      <c r="B31" s="32" t="s">
        <v>178</v>
      </c>
      <c r="C31" s="33" t="s">
        <v>179</v>
      </c>
      <c r="D31" s="34">
        <v>4</v>
      </c>
      <c r="E31" s="34"/>
      <c r="F31" s="34">
        <v>4</v>
      </c>
      <c r="G31" s="34"/>
      <c r="H31" s="34">
        <v>4</v>
      </c>
      <c r="I31" s="34"/>
      <c r="J31" s="34">
        <v>4</v>
      </c>
      <c r="K31" s="34"/>
      <c r="L31" s="34">
        <v>4</v>
      </c>
      <c r="M31" s="34"/>
      <c r="N31" s="34">
        <v>4</v>
      </c>
      <c r="O31" s="34"/>
      <c r="P31" s="34">
        <v>4</v>
      </c>
      <c r="Q31" s="34"/>
      <c r="R31" s="34">
        <v>4</v>
      </c>
      <c r="S31" s="34"/>
      <c r="T31" s="34">
        <v>4</v>
      </c>
      <c r="U31" s="34"/>
      <c r="V31" s="34">
        <v>4</v>
      </c>
      <c r="W31" s="34"/>
      <c r="X31" s="34">
        <v>4</v>
      </c>
      <c r="Y31" s="34"/>
      <c r="Z31" s="34">
        <v>4</v>
      </c>
      <c r="AA31" s="34"/>
      <c r="AB31" s="34">
        <v>4</v>
      </c>
      <c r="AC31" s="34"/>
      <c r="AD31" s="34">
        <v>4</v>
      </c>
      <c r="AE31" s="34"/>
      <c r="AF31" s="34">
        <v>4</v>
      </c>
      <c r="AG31" s="34"/>
      <c r="AH31" s="34">
        <v>4</v>
      </c>
      <c r="AI31" s="34"/>
      <c r="AJ31" s="34">
        <v>4</v>
      </c>
      <c r="AK31" s="34"/>
      <c r="AL31" s="34">
        <v>4</v>
      </c>
      <c r="AM31" s="34"/>
      <c r="AN31" s="34">
        <v>4</v>
      </c>
      <c r="AO31" s="34"/>
      <c r="AP31" s="34">
        <v>4</v>
      </c>
      <c r="AQ31" s="34"/>
      <c r="AR31" s="34">
        <v>4</v>
      </c>
      <c r="AS31" s="34"/>
      <c r="AT31" s="34">
        <v>4</v>
      </c>
      <c r="AU31" s="34"/>
      <c r="AV31" s="34">
        <v>4</v>
      </c>
      <c r="AW31" s="34"/>
      <c r="AX31" s="34">
        <v>4</v>
      </c>
      <c r="AY31" s="34"/>
    </row>
    <row r="32" spans="1:51">
      <c r="A32" s="640"/>
      <c r="B32" s="32" t="s">
        <v>180</v>
      </c>
      <c r="C32" s="33" t="s">
        <v>181</v>
      </c>
      <c r="D32" s="34">
        <v>4</v>
      </c>
      <c r="E32" s="34"/>
      <c r="F32" s="34">
        <v>4</v>
      </c>
      <c r="G32" s="34"/>
      <c r="H32" s="34">
        <v>4</v>
      </c>
      <c r="I32" s="34"/>
      <c r="J32" s="34">
        <v>4</v>
      </c>
      <c r="K32" s="34"/>
      <c r="L32" s="34">
        <v>4</v>
      </c>
      <c r="M32" s="34"/>
      <c r="N32" s="34">
        <v>4</v>
      </c>
      <c r="O32" s="34"/>
      <c r="P32" s="34">
        <v>4</v>
      </c>
      <c r="Q32" s="34"/>
      <c r="R32" s="34">
        <v>4</v>
      </c>
      <c r="S32" s="34"/>
      <c r="T32" s="34">
        <v>4</v>
      </c>
      <c r="U32" s="34"/>
      <c r="V32" s="34">
        <v>4</v>
      </c>
      <c r="W32" s="34"/>
      <c r="X32" s="34">
        <v>4</v>
      </c>
      <c r="Y32" s="34"/>
      <c r="Z32" s="34">
        <v>4</v>
      </c>
      <c r="AA32" s="34"/>
      <c r="AB32" s="34">
        <v>4</v>
      </c>
      <c r="AC32" s="34"/>
      <c r="AD32" s="34">
        <v>4</v>
      </c>
      <c r="AE32" s="34"/>
      <c r="AF32" s="34">
        <v>4</v>
      </c>
      <c r="AG32" s="34"/>
      <c r="AH32" s="34">
        <v>4</v>
      </c>
      <c r="AI32" s="34"/>
      <c r="AJ32" s="34">
        <v>4</v>
      </c>
      <c r="AK32" s="34"/>
      <c r="AL32" s="34">
        <v>4</v>
      </c>
      <c r="AM32" s="34"/>
      <c r="AN32" s="34">
        <v>4</v>
      </c>
      <c r="AO32" s="34"/>
      <c r="AP32" s="34">
        <v>4</v>
      </c>
      <c r="AQ32" s="34"/>
      <c r="AR32" s="34">
        <v>4</v>
      </c>
      <c r="AS32" s="34"/>
      <c r="AT32" s="34">
        <v>4</v>
      </c>
      <c r="AU32" s="34"/>
      <c r="AV32" s="34">
        <v>4</v>
      </c>
      <c r="AW32" s="34"/>
      <c r="AX32" s="34">
        <v>4</v>
      </c>
      <c r="AY32" s="34"/>
    </row>
    <row r="33" spans="1:51">
      <c r="A33" s="640"/>
      <c r="B33" s="32" t="s">
        <v>182</v>
      </c>
      <c r="C33" s="33" t="s">
        <v>82</v>
      </c>
      <c r="D33" s="34">
        <v>4</v>
      </c>
      <c r="E33" s="34"/>
      <c r="F33" s="34">
        <v>4</v>
      </c>
      <c r="G33" s="34"/>
      <c r="H33" s="34">
        <v>4</v>
      </c>
      <c r="I33" s="34"/>
      <c r="J33" s="34">
        <v>4</v>
      </c>
      <c r="K33" s="34"/>
      <c r="L33" s="34">
        <v>4</v>
      </c>
      <c r="M33" s="34"/>
      <c r="N33" s="34">
        <v>4</v>
      </c>
      <c r="O33" s="34"/>
      <c r="P33" s="34">
        <v>4</v>
      </c>
      <c r="Q33" s="34"/>
      <c r="R33" s="34">
        <v>4</v>
      </c>
      <c r="S33" s="34"/>
      <c r="T33" s="34">
        <v>4</v>
      </c>
      <c r="U33" s="34"/>
      <c r="V33" s="34">
        <v>4</v>
      </c>
      <c r="W33" s="34"/>
      <c r="X33" s="34">
        <v>4</v>
      </c>
      <c r="Y33" s="34"/>
      <c r="Z33" s="34">
        <v>4</v>
      </c>
      <c r="AA33" s="34"/>
      <c r="AB33" s="34">
        <v>4</v>
      </c>
      <c r="AC33" s="34"/>
      <c r="AD33" s="34">
        <v>4</v>
      </c>
      <c r="AE33" s="34"/>
      <c r="AF33" s="34">
        <v>4</v>
      </c>
      <c r="AG33" s="34"/>
      <c r="AH33" s="34">
        <v>4</v>
      </c>
      <c r="AI33" s="34"/>
      <c r="AJ33" s="34">
        <v>4</v>
      </c>
      <c r="AK33" s="34"/>
      <c r="AL33" s="34">
        <v>4</v>
      </c>
      <c r="AM33" s="34"/>
      <c r="AN33" s="34">
        <v>4</v>
      </c>
      <c r="AO33" s="34"/>
      <c r="AP33" s="34">
        <v>4</v>
      </c>
      <c r="AQ33" s="34"/>
      <c r="AR33" s="34">
        <v>4</v>
      </c>
      <c r="AS33" s="34"/>
      <c r="AT33" s="34">
        <v>4</v>
      </c>
      <c r="AU33" s="34"/>
      <c r="AV33" s="34">
        <v>4</v>
      </c>
      <c r="AW33" s="34"/>
      <c r="AX33" s="34">
        <v>4</v>
      </c>
      <c r="AY33" s="34"/>
    </row>
    <row r="34" spans="1:51">
      <c r="A34" s="640"/>
      <c r="B34" s="32" t="s">
        <v>183</v>
      </c>
      <c r="C34" s="33" t="s">
        <v>83</v>
      </c>
      <c r="D34" s="34">
        <v>4</v>
      </c>
      <c r="E34" s="34"/>
      <c r="F34" s="34">
        <v>4</v>
      </c>
      <c r="G34" s="34"/>
      <c r="H34" s="34">
        <v>4</v>
      </c>
      <c r="I34" s="34"/>
      <c r="J34" s="34">
        <v>4</v>
      </c>
      <c r="K34" s="34"/>
      <c r="L34" s="34">
        <v>4</v>
      </c>
      <c r="M34" s="34"/>
      <c r="N34" s="34">
        <v>4</v>
      </c>
      <c r="O34" s="34"/>
      <c r="P34" s="34">
        <v>4</v>
      </c>
      <c r="Q34" s="34"/>
      <c r="R34" s="34">
        <v>4</v>
      </c>
      <c r="S34" s="34"/>
      <c r="T34" s="34">
        <v>4</v>
      </c>
      <c r="U34" s="34"/>
      <c r="V34" s="34">
        <v>4</v>
      </c>
      <c r="W34" s="34"/>
      <c r="X34" s="34">
        <v>4</v>
      </c>
      <c r="Y34" s="34"/>
      <c r="Z34" s="34">
        <v>4</v>
      </c>
      <c r="AA34" s="34"/>
      <c r="AB34" s="34">
        <v>4</v>
      </c>
      <c r="AC34" s="34"/>
      <c r="AD34" s="34">
        <v>4</v>
      </c>
      <c r="AE34" s="34"/>
      <c r="AF34" s="34">
        <v>4</v>
      </c>
      <c r="AG34" s="34"/>
      <c r="AH34" s="34">
        <v>4</v>
      </c>
      <c r="AI34" s="34"/>
      <c r="AJ34" s="34">
        <v>4</v>
      </c>
      <c r="AK34" s="34"/>
      <c r="AL34" s="34">
        <v>4</v>
      </c>
      <c r="AM34" s="34"/>
      <c r="AN34" s="34">
        <v>4</v>
      </c>
      <c r="AO34" s="34"/>
      <c r="AP34" s="34">
        <v>4</v>
      </c>
      <c r="AQ34" s="34"/>
      <c r="AR34" s="34">
        <v>4</v>
      </c>
      <c r="AS34" s="34"/>
      <c r="AT34" s="34">
        <v>4</v>
      </c>
      <c r="AU34" s="34"/>
      <c r="AV34" s="34">
        <v>4</v>
      </c>
      <c r="AW34" s="34"/>
      <c r="AX34" s="34">
        <v>4</v>
      </c>
      <c r="AY34" s="34"/>
    </row>
    <row r="35" spans="1:51">
      <c r="A35" s="640"/>
      <c r="B35" s="35"/>
      <c r="C35" s="36"/>
      <c r="D35" s="37">
        <f>SUM(D30:D34)</f>
        <v>20</v>
      </c>
      <c r="E35" s="37">
        <f>SUM(E30:E34)</f>
        <v>0</v>
      </c>
      <c r="F35" s="37">
        <f>SUM(F30:F34)</f>
        <v>20</v>
      </c>
      <c r="G35" s="37">
        <f>SUM(G30:G34)</f>
        <v>0</v>
      </c>
      <c r="H35" s="37">
        <f>SUM(H30:H34)</f>
        <v>20</v>
      </c>
      <c r="I35" s="37">
        <f t="shared" ref="I35:AY35" si="4">SUM(I30:I34)</f>
        <v>0</v>
      </c>
      <c r="J35" s="37">
        <f t="shared" si="4"/>
        <v>20</v>
      </c>
      <c r="K35" s="37">
        <f t="shared" si="4"/>
        <v>0</v>
      </c>
      <c r="L35" s="37">
        <f t="shared" si="4"/>
        <v>20</v>
      </c>
      <c r="M35" s="37">
        <f t="shared" si="4"/>
        <v>0</v>
      </c>
      <c r="N35" s="37">
        <f t="shared" si="4"/>
        <v>20</v>
      </c>
      <c r="O35" s="37">
        <f t="shared" si="4"/>
        <v>0</v>
      </c>
      <c r="P35" s="37">
        <f t="shared" si="4"/>
        <v>20</v>
      </c>
      <c r="Q35" s="37">
        <f t="shared" si="4"/>
        <v>0</v>
      </c>
      <c r="R35" s="37">
        <f t="shared" si="4"/>
        <v>20</v>
      </c>
      <c r="S35" s="37">
        <f t="shared" si="4"/>
        <v>0</v>
      </c>
      <c r="T35" s="37">
        <f t="shared" si="4"/>
        <v>20</v>
      </c>
      <c r="U35" s="37">
        <f t="shared" si="4"/>
        <v>0</v>
      </c>
      <c r="V35" s="37">
        <f t="shared" si="4"/>
        <v>20</v>
      </c>
      <c r="W35" s="37">
        <f t="shared" si="4"/>
        <v>0</v>
      </c>
      <c r="X35" s="37">
        <f t="shared" si="4"/>
        <v>20</v>
      </c>
      <c r="Y35" s="37">
        <f t="shared" si="4"/>
        <v>0</v>
      </c>
      <c r="Z35" s="37">
        <f t="shared" si="4"/>
        <v>20</v>
      </c>
      <c r="AA35" s="37">
        <f t="shared" si="4"/>
        <v>0</v>
      </c>
      <c r="AB35" s="37">
        <f t="shared" si="4"/>
        <v>20</v>
      </c>
      <c r="AC35" s="37">
        <f t="shared" si="4"/>
        <v>0</v>
      </c>
      <c r="AD35" s="37">
        <f t="shared" si="4"/>
        <v>20</v>
      </c>
      <c r="AE35" s="37">
        <f t="shared" si="4"/>
        <v>0</v>
      </c>
      <c r="AF35" s="37">
        <f t="shared" si="4"/>
        <v>20</v>
      </c>
      <c r="AG35" s="37">
        <f t="shared" si="4"/>
        <v>0</v>
      </c>
      <c r="AH35" s="37">
        <f t="shared" si="4"/>
        <v>20</v>
      </c>
      <c r="AI35" s="37">
        <f t="shared" si="4"/>
        <v>0</v>
      </c>
      <c r="AJ35" s="37">
        <f t="shared" si="4"/>
        <v>20</v>
      </c>
      <c r="AK35" s="37">
        <f t="shared" si="4"/>
        <v>0</v>
      </c>
      <c r="AL35" s="37">
        <f t="shared" si="4"/>
        <v>20</v>
      </c>
      <c r="AM35" s="37">
        <f t="shared" si="4"/>
        <v>0</v>
      </c>
      <c r="AN35" s="37">
        <f t="shared" si="4"/>
        <v>20</v>
      </c>
      <c r="AO35" s="37">
        <f t="shared" si="4"/>
        <v>0</v>
      </c>
      <c r="AP35" s="37">
        <f t="shared" si="4"/>
        <v>20</v>
      </c>
      <c r="AQ35" s="37">
        <f t="shared" si="4"/>
        <v>0</v>
      </c>
      <c r="AR35" s="37">
        <f t="shared" si="4"/>
        <v>20</v>
      </c>
      <c r="AS35" s="37">
        <f t="shared" si="4"/>
        <v>0</v>
      </c>
      <c r="AT35" s="37">
        <f t="shared" si="4"/>
        <v>20</v>
      </c>
      <c r="AU35" s="37">
        <f t="shared" si="4"/>
        <v>0</v>
      </c>
      <c r="AV35" s="37">
        <f t="shared" si="4"/>
        <v>20</v>
      </c>
      <c r="AW35" s="37">
        <f t="shared" si="4"/>
        <v>0</v>
      </c>
      <c r="AX35" s="37">
        <f t="shared" si="4"/>
        <v>20</v>
      </c>
      <c r="AY35" s="37">
        <f t="shared" si="4"/>
        <v>0</v>
      </c>
    </row>
    <row r="36" spans="1:51">
      <c r="A36" s="641" t="s">
        <v>184</v>
      </c>
      <c r="B36" s="32" t="s">
        <v>185</v>
      </c>
      <c r="C36" s="33" t="s">
        <v>84</v>
      </c>
      <c r="D36" s="34">
        <v>4</v>
      </c>
      <c r="E36" s="34"/>
      <c r="F36" s="34">
        <v>4</v>
      </c>
      <c r="G36" s="34"/>
      <c r="H36" s="34">
        <v>4</v>
      </c>
      <c r="I36" s="34"/>
      <c r="J36" s="34">
        <v>4</v>
      </c>
      <c r="K36" s="34"/>
      <c r="L36" s="34">
        <v>4</v>
      </c>
      <c r="M36" s="34"/>
      <c r="N36" s="34">
        <v>4</v>
      </c>
      <c r="O36" s="34"/>
      <c r="P36" s="34">
        <v>4</v>
      </c>
      <c r="Q36" s="34"/>
      <c r="R36" s="34">
        <v>4</v>
      </c>
      <c r="S36" s="34"/>
      <c r="T36" s="34">
        <v>4</v>
      </c>
      <c r="U36" s="34"/>
      <c r="V36" s="34">
        <v>4</v>
      </c>
      <c r="W36" s="34"/>
      <c r="X36" s="34">
        <v>4</v>
      </c>
      <c r="Y36" s="34"/>
      <c r="Z36" s="34">
        <v>4</v>
      </c>
      <c r="AA36" s="34"/>
      <c r="AB36" s="34">
        <v>4</v>
      </c>
      <c r="AC36" s="34"/>
      <c r="AD36" s="34">
        <v>4</v>
      </c>
      <c r="AE36" s="34"/>
      <c r="AF36" s="34">
        <v>4</v>
      </c>
      <c r="AG36" s="34"/>
      <c r="AH36" s="34">
        <v>4</v>
      </c>
      <c r="AI36" s="34"/>
      <c r="AJ36" s="34">
        <v>4</v>
      </c>
      <c r="AK36" s="34"/>
      <c r="AL36" s="34">
        <v>4</v>
      </c>
      <c r="AM36" s="34"/>
      <c r="AN36" s="34">
        <v>4</v>
      </c>
      <c r="AO36" s="34"/>
      <c r="AP36" s="34">
        <v>4</v>
      </c>
      <c r="AQ36" s="34"/>
      <c r="AR36" s="34">
        <v>4</v>
      </c>
      <c r="AS36" s="34"/>
      <c r="AT36" s="34">
        <v>4</v>
      </c>
      <c r="AU36" s="34"/>
      <c r="AV36" s="34">
        <v>4</v>
      </c>
      <c r="AW36" s="34"/>
      <c r="AX36" s="34">
        <v>4</v>
      </c>
      <c r="AY36" s="34"/>
    </row>
    <row r="37" spans="1:51">
      <c r="A37" s="641"/>
      <c r="B37" s="32" t="s">
        <v>186</v>
      </c>
      <c r="C37" s="33" t="s">
        <v>187</v>
      </c>
      <c r="D37" s="34">
        <v>4</v>
      </c>
      <c r="E37" s="34"/>
      <c r="F37" s="34">
        <v>4</v>
      </c>
      <c r="G37" s="34"/>
      <c r="H37" s="34">
        <v>4</v>
      </c>
      <c r="I37" s="34"/>
      <c r="J37" s="34">
        <v>4</v>
      </c>
      <c r="K37" s="34"/>
      <c r="L37" s="34">
        <v>4</v>
      </c>
      <c r="M37" s="34"/>
      <c r="N37" s="34">
        <v>4</v>
      </c>
      <c r="O37" s="34"/>
      <c r="P37" s="34">
        <v>4</v>
      </c>
      <c r="Q37" s="34"/>
      <c r="R37" s="34">
        <v>4</v>
      </c>
      <c r="S37" s="34"/>
      <c r="T37" s="34">
        <v>4</v>
      </c>
      <c r="U37" s="34"/>
      <c r="V37" s="34">
        <v>4</v>
      </c>
      <c r="W37" s="34"/>
      <c r="X37" s="34">
        <v>4</v>
      </c>
      <c r="Y37" s="34"/>
      <c r="Z37" s="34">
        <v>4</v>
      </c>
      <c r="AA37" s="34"/>
      <c r="AB37" s="34">
        <v>4</v>
      </c>
      <c r="AC37" s="34"/>
      <c r="AD37" s="34">
        <v>4</v>
      </c>
      <c r="AE37" s="34"/>
      <c r="AF37" s="34">
        <v>4</v>
      </c>
      <c r="AG37" s="34"/>
      <c r="AH37" s="34">
        <v>4</v>
      </c>
      <c r="AI37" s="34"/>
      <c r="AJ37" s="34">
        <v>4</v>
      </c>
      <c r="AK37" s="34"/>
      <c r="AL37" s="34">
        <v>4</v>
      </c>
      <c r="AM37" s="34"/>
      <c r="AN37" s="34">
        <v>4</v>
      </c>
      <c r="AO37" s="34"/>
      <c r="AP37" s="34">
        <v>4</v>
      </c>
      <c r="AQ37" s="34"/>
      <c r="AR37" s="34">
        <v>4</v>
      </c>
      <c r="AS37" s="34"/>
      <c r="AT37" s="34">
        <v>4</v>
      </c>
      <c r="AU37" s="34"/>
      <c r="AV37" s="34">
        <v>4</v>
      </c>
      <c r="AW37" s="34"/>
      <c r="AX37" s="34">
        <v>4</v>
      </c>
      <c r="AY37" s="34"/>
    </row>
    <row r="38" spans="1:51">
      <c r="A38" s="641"/>
      <c r="B38" s="32" t="s">
        <v>188</v>
      </c>
      <c r="C38" s="33" t="s">
        <v>86</v>
      </c>
      <c r="D38" s="34">
        <v>4</v>
      </c>
      <c r="E38" s="34"/>
      <c r="F38" s="34">
        <v>4</v>
      </c>
      <c r="G38" s="34"/>
      <c r="H38" s="34">
        <v>4</v>
      </c>
      <c r="I38" s="34"/>
      <c r="J38" s="34">
        <v>4</v>
      </c>
      <c r="K38" s="34"/>
      <c r="L38" s="34">
        <v>4</v>
      </c>
      <c r="M38" s="34"/>
      <c r="N38" s="34">
        <v>4</v>
      </c>
      <c r="O38" s="34"/>
      <c r="P38" s="34">
        <v>4</v>
      </c>
      <c r="Q38" s="34"/>
      <c r="R38" s="34">
        <v>4</v>
      </c>
      <c r="S38" s="34"/>
      <c r="T38" s="34">
        <v>4</v>
      </c>
      <c r="U38" s="34"/>
      <c r="V38" s="34">
        <v>4</v>
      </c>
      <c r="W38" s="34"/>
      <c r="X38" s="34">
        <v>4</v>
      </c>
      <c r="Y38" s="34"/>
      <c r="Z38" s="34">
        <v>4</v>
      </c>
      <c r="AA38" s="34"/>
      <c r="AB38" s="34">
        <v>4</v>
      </c>
      <c r="AC38" s="34"/>
      <c r="AD38" s="34">
        <v>4</v>
      </c>
      <c r="AE38" s="34"/>
      <c r="AF38" s="34">
        <v>4</v>
      </c>
      <c r="AG38" s="34"/>
      <c r="AH38" s="34">
        <v>4</v>
      </c>
      <c r="AI38" s="34"/>
      <c r="AJ38" s="34">
        <v>4</v>
      </c>
      <c r="AK38" s="34"/>
      <c r="AL38" s="34">
        <v>4</v>
      </c>
      <c r="AM38" s="34"/>
      <c r="AN38" s="34">
        <v>4</v>
      </c>
      <c r="AO38" s="34"/>
      <c r="AP38" s="34">
        <v>4</v>
      </c>
      <c r="AQ38" s="34"/>
      <c r="AR38" s="34">
        <v>4</v>
      </c>
      <c r="AS38" s="34"/>
      <c r="AT38" s="34">
        <v>4</v>
      </c>
      <c r="AU38" s="34"/>
      <c r="AV38" s="34">
        <v>4</v>
      </c>
      <c r="AW38" s="34"/>
      <c r="AX38" s="34">
        <v>4</v>
      </c>
      <c r="AY38" s="34"/>
    </row>
    <row r="39" spans="1:51">
      <c r="A39" s="641"/>
      <c r="B39" s="32" t="s">
        <v>189</v>
      </c>
      <c r="C39" s="33" t="s">
        <v>190</v>
      </c>
      <c r="D39" s="34">
        <v>4</v>
      </c>
      <c r="E39" s="34"/>
      <c r="F39" s="34">
        <v>4</v>
      </c>
      <c r="G39" s="34"/>
      <c r="H39" s="34">
        <v>4</v>
      </c>
      <c r="I39" s="34"/>
      <c r="J39" s="34">
        <v>4</v>
      </c>
      <c r="K39" s="34"/>
      <c r="L39" s="34">
        <v>4</v>
      </c>
      <c r="M39" s="34"/>
      <c r="N39" s="34">
        <v>4</v>
      </c>
      <c r="O39" s="34"/>
      <c r="P39" s="34">
        <v>4</v>
      </c>
      <c r="Q39" s="34"/>
      <c r="R39" s="34">
        <v>4</v>
      </c>
      <c r="S39" s="34"/>
      <c r="T39" s="34">
        <v>4</v>
      </c>
      <c r="U39" s="34"/>
      <c r="V39" s="34">
        <v>4</v>
      </c>
      <c r="W39" s="34"/>
      <c r="X39" s="34">
        <v>4</v>
      </c>
      <c r="Y39" s="34"/>
      <c r="Z39" s="34">
        <v>4</v>
      </c>
      <c r="AA39" s="34"/>
      <c r="AB39" s="34">
        <v>4</v>
      </c>
      <c r="AC39" s="34"/>
      <c r="AD39" s="34">
        <v>4</v>
      </c>
      <c r="AE39" s="34"/>
      <c r="AF39" s="34">
        <v>4</v>
      </c>
      <c r="AG39" s="34"/>
      <c r="AH39" s="34">
        <v>4</v>
      </c>
      <c r="AI39" s="34"/>
      <c r="AJ39" s="34">
        <v>4</v>
      </c>
      <c r="AK39" s="34"/>
      <c r="AL39" s="34">
        <v>4</v>
      </c>
      <c r="AM39" s="34"/>
      <c r="AN39" s="34">
        <v>4</v>
      </c>
      <c r="AO39" s="34"/>
      <c r="AP39" s="34">
        <v>4</v>
      </c>
      <c r="AQ39" s="34"/>
      <c r="AR39" s="34">
        <v>4</v>
      </c>
      <c r="AS39" s="34"/>
      <c r="AT39" s="34">
        <v>4</v>
      </c>
      <c r="AU39" s="34"/>
      <c r="AV39" s="34">
        <v>4</v>
      </c>
      <c r="AW39" s="34"/>
      <c r="AX39" s="34">
        <v>4</v>
      </c>
      <c r="AY39" s="34"/>
    </row>
    <row r="40" spans="1:51">
      <c r="A40" s="641"/>
      <c r="B40" s="35"/>
      <c r="C40" s="36"/>
      <c r="D40" s="37">
        <f>SUM(D36:D39)</f>
        <v>16</v>
      </c>
      <c r="E40" s="37">
        <f>SUM(E36:E39)</f>
        <v>0</v>
      </c>
      <c r="F40" s="37">
        <f>SUM(F36:F39)</f>
        <v>16</v>
      </c>
      <c r="G40" s="37">
        <f>SUM(G36:G39)</f>
        <v>0</v>
      </c>
      <c r="H40" s="37">
        <f>SUM(H36:H39)</f>
        <v>16</v>
      </c>
      <c r="I40" s="37">
        <f t="shared" ref="I40:AY40" si="5">SUM(I36:I39)</f>
        <v>0</v>
      </c>
      <c r="J40" s="37">
        <f t="shared" si="5"/>
        <v>16</v>
      </c>
      <c r="K40" s="37">
        <f t="shared" si="5"/>
        <v>0</v>
      </c>
      <c r="L40" s="37">
        <f t="shared" si="5"/>
        <v>16</v>
      </c>
      <c r="M40" s="37">
        <f t="shared" si="5"/>
        <v>0</v>
      </c>
      <c r="N40" s="37">
        <f t="shared" si="5"/>
        <v>16</v>
      </c>
      <c r="O40" s="37">
        <f t="shared" si="5"/>
        <v>0</v>
      </c>
      <c r="P40" s="37">
        <f t="shared" si="5"/>
        <v>16</v>
      </c>
      <c r="Q40" s="37">
        <f t="shared" si="5"/>
        <v>0</v>
      </c>
      <c r="R40" s="37">
        <f t="shared" si="5"/>
        <v>16</v>
      </c>
      <c r="S40" s="37">
        <f t="shared" si="5"/>
        <v>0</v>
      </c>
      <c r="T40" s="37">
        <f t="shared" si="5"/>
        <v>16</v>
      </c>
      <c r="U40" s="37">
        <f t="shared" si="5"/>
        <v>0</v>
      </c>
      <c r="V40" s="37">
        <f t="shared" si="5"/>
        <v>16</v>
      </c>
      <c r="W40" s="37">
        <f t="shared" si="5"/>
        <v>0</v>
      </c>
      <c r="X40" s="37">
        <f t="shared" si="5"/>
        <v>16</v>
      </c>
      <c r="Y40" s="37">
        <f t="shared" si="5"/>
        <v>0</v>
      </c>
      <c r="Z40" s="37">
        <f t="shared" si="5"/>
        <v>16</v>
      </c>
      <c r="AA40" s="37">
        <f t="shared" si="5"/>
        <v>0</v>
      </c>
      <c r="AB40" s="37">
        <f t="shared" si="5"/>
        <v>16</v>
      </c>
      <c r="AC40" s="37">
        <f t="shared" si="5"/>
        <v>0</v>
      </c>
      <c r="AD40" s="37">
        <f t="shared" si="5"/>
        <v>16</v>
      </c>
      <c r="AE40" s="37">
        <f t="shared" si="5"/>
        <v>0</v>
      </c>
      <c r="AF40" s="37">
        <f t="shared" si="5"/>
        <v>16</v>
      </c>
      <c r="AG40" s="37">
        <f t="shared" si="5"/>
        <v>0</v>
      </c>
      <c r="AH40" s="37">
        <f t="shared" si="5"/>
        <v>16</v>
      </c>
      <c r="AI40" s="37">
        <f t="shared" si="5"/>
        <v>0</v>
      </c>
      <c r="AJ40" s="37">
        <f t="shared" si="5"/>
        <v>16</v>
      </c>
      <c r="AK40" s="37">
        <f t="shared" si="5"/>
        <v>0</v>
      </c>
      <c r="AL40" s="37">
        <f t="shared" si="5"/>
        <v>16</v>
      </c>
      <c r="AM40" s="37">
        <f t="shared" si="5"/>
        <v>0</v>
      </c>
      <c r="AN40" s="37">
        <f t="shared" si="5"/>
        <v>16</v>
      </c>
      <c r="AO40" s="37">
        <f t="shared" si="5"/>
        <v>0</v>
      </c>
      <c r="AP40" s="37">
        <f t="shared" si="5"/>
        <v>16</v>
      </c>
      <c r="AQ40" s="37">
        <f t="shared" si="5"/>
        <v>0</v>
      </c>
      <c r="AR40" s="37">
        <f t="shared" si="5"/>
        <v>16</v>
      </c>
      <c r="AS40" s="37">
        <f t="shared" si="5"/>
        <v>0</v>
      </c>
      <c r="AT40" s="37">
        <f t="shared" si="5"/>
        <v>16</v>
      </c>
      <c r="AU40" s="37">
        <f t="shared" si="5"/>
        <v>0</v>
      </c>
      <c r="AV40" s="37">
        <f t="shared" si="5"/>
        <v>16</v>
      </c>
      <c r="AW40" s="37">
        <f t="shared" si="5"/>
        <v>0</v>
      </c>
      <c r="AX40" s="37">
        <f t="shared" si="5"/>
        <v>16</v>
      </c>
      <c r="AY40" s="37">
        <f t="shared" si="5"/>
        <v>0</v>
      </c>
    </row>
    <row r="41" spans="1:51">
      <c r="A41" s="640" t="s">
        <v>12</v>
      </c>
      <c r="B41" s="32" t="s">
        <v>191</v>
      </c>
      <c r="C41" s="33" t="s">
        <v>88</v>
      </c>
      <c r="D41" s="34">
        <v>4</v>
      </c>
      <c r="E41" s="34"/>
      <c r="F41" s="34">
        <v>4</v>
      </c>
      <c r="G41" s="34"/>
      <c r="H41" s="34">
        <v>4</v>
      </c>
      <c r="I41" s="34"/>
      <c r="J41" s="34">
        <v>4</v>
      </c>
      <c r="K41" s="34"/>
      <c r="L41" s="34">
        <v>4</v>
      </c>
      <c r="M41" s="34"/>
      <c r="N41" s="34">
        <v>4</v>
      </c>
      <c r="O41" s="34"/>
      <c r="P41" s="34">
        <v>4</v>
      </c>
      <c r="Q41" s="34"/>
      <c r="R41" s="34">
        <v>4</v>
      </c>
      <c r="S41" s="34"/>
      <c r="T41" s="34">
        <v>4</v>
      </c>
      <c r="U41" s="34"/>
      <c r="V41" s="34">
        <v>4</v>
      </c>
      <c r="W41" s="34"/>
      <c r="X41" s="34">
        <v>4</v>
      </c>
      <c r="Y41" s="34"/>
      <c r="Z41" s="34">
        <v>4</v>
      </c>
      <c r="AA41" s="34"/>
      <c r="AB41" s="34">
        <v>4</v>
      </c>
      <c r="AC41" s="34"/>
      <c r="AD41" s="34">
        <v>4</v>
      </c>
      <c r="AE41" s="34"/>
      <c r="AF41" s="34">
        <v>4</v>
      </c>
      <c r="AG41" s="34"/>
      <c r="AH41" s="34">
        <v>4</v>
      </c>
      <c r="AI41" s="34"/>
      <c r="AJ41" s="34">
        <v>4</v>
      </c>
      <c r="AK41" s="34"/>
      <c r="AL41" s="34">
        <v>4</v>
      </c>
      <c r="AM41" s="34"/>
      <c r="AN41" s="34">
        <v>4</v>
      </c>
      <c r="AO41" s="34"/>
      <c r="AP41" s="34">
        <v>4</v>
      </c>
      <c r="AQ41" s="34"/>
      <c r="AR41" s="34">
        <v>4</v>
      </c>
      <c r="AS41" s="34"/>
      <c r="AT41" s="34">
        <v>4</v>
      </c>
      <c r="AU41" s="34"/>
      <c r="AV41" s="34">
        <v>4</v>
      </c>
      <c r="AW41" s="34"/>
      <c r="AX41" s="34">
        <v>4</v>
      </c>
      <c r="AY41" s="34"/>
    </row>
    <row r="42" spans="1:51">
      <c r="A42" s="640"/>
      <c r="B42" s="32" t="s">
        <v>192</v>
      </c>
      <c r="C42" s="33" t="s">
        <v>89</v>
      </c>
      <c r="D42" s="34">
        <v>4</v>
      </c>
      <c r="E42" s="34"/>
      <c r="F42" s="34">
        <v>4</v>
      </c>
      <c r="G42" s="34"/>
      <c r="H42" s="34">
        <v>4</v>
      </c>
      <c r="I42" s="34"/>
      <c r="J42" s="34">
        <v>4</v>
      </c>
      <c r="K42" s="34"/>
      <c r="L42" s="34">
        <v>4</v>
      </c>
      <c r="M42" s="34"/>
      <c r="N42" s="34">
        <v>4</v>
      </c>
      <c r="O42" s="34"/>
      <c r="P42" s="34">
        <v>4</v>
      </c>
      <c r="Q42" s="34"/>
      <c r="R42" s="34">
        <v>4</v>
      </c>
      <c r="S42" s="34"/>
      <c r="T42" s="34">
        <v>4</v>
      </c>
      <c r="U42" s="34"/>
      <c r="V42" s="34">
        <v>4</v>
      </c>
      <c r="W42" s="34"/>
      <c r="X42" s="34">
        <v>4</v>
      </c>
      <c r="Y42" s="34"/>
      <c r="Z42" s="34">
        <v>4</v>
      </c>
      <c r="AA42" s="34"/>
      <c r="AB42" s="34">
        <v>4</v>
      </c>
      <c r="AC42" s="34"/>
      <c r="AD42" s="34">
        <v>4</v>
      </c>
      <c r="AE42" s="34"/>
      <c r="AF42" s="34">
        <v>4</v>
      </c>
      <c r="AG42" s="34"/>
      <c r="AH42" s="34">
        <v>4</v>
      </c>
      <c r="AI42" s="34"/>
      <c r="AJ42" s="34">
        <v>4</v>
      </c>
      <c r="AK42" s="34"/>
      <c r="AL42" s="34">
        <v>4</v>
      </c>
      <c r="AM42" s="34"/>
      <c r="AN42" s="34">
        <v>4</v>
      </c>
      <c r="AO42" s="34"/>
      <c r="AP42" s="34">
        <v>4</v>
      </c>
      <c r="AQ42" s="34"/>
      <c r="AR42" s="34">
        <v>4</v>
      </c>
      <c r="AS42" s="34"/>
      <c r="AT42" s="34">
        <v>4</v>
      </c>
      <c r="AU42" s="34"/>
      <c r="AV42" s="34">
        <v>4</v>
      </c>
      <c r="AW42" s="34"/>
      <c r="AX42" s="34">
        <v>4</v>
      </c>
      <c r="AY42" s="34"/>
    </row>
    <row r="43" spans="1:51">
      <c r="A43" s="640"/>
      <c r="B43" s="32" t="s">
        <v>193</v>
      </c>
      <c r="C43" s="33" t="s">
        <v>90</v>
      </c>
      <c r="D43" s="34">
        <v>4</v>
      </c>
      <c r="E43" s="34"/>
      <c r="F43" s="34">
        <v>4</v>
      </c>
      <c r="G43" s="34"/>
      <c r="H43" s="34">
        <v>4</v>
      </c>
      <c r="I43" s="34"/>
      <c r="J43" s="34">
        <v>4</v>
      </c>
      <c r="K43" s="34"/>
      <c r="L43" s="34">
        <v>4</v>
      </c>
      <c r="M43" s="34"/>
      <c r="N43" s="34">
        <v>4</v>
      </c>
      <c r="O43" s="34"/>
      <c r="P43" s="34">
        <v>4</v>
      </c>
      <c r="Q43" s="34"/>
      <c r="R43" s="34">
        <v>4</v>
      </c>
      <c r="S43" s="34"/>
      <c r="T43" s="34">
        <v>4</v>
      </c>
      <c r="U43" s="34"/>
      <c r="V43" s="34">
        <v>4</v>
      </c>
      <c r="W43" s="34"/>
      <c r="X43" s="34">
        <v>4</v>
      </c>
      <c r="Y43" s="34"/>
      <c r="Z43" s="34">
        <v>4</v>
      </c>
      <c r="AA43" s="34"/>
      <c r="AB43" s="34">
        <v>4</v>
      </c>
      <c r="AC43" s="34"/>
      <c r="AD43" s="34">
        <v>4</v>
      </c>
      <c r="AE43" s="34"/>
      <c r="AF43" s="34">
        <v>4</v>
      </c>
      <c r="AG43" s="34"/>
      <c r="AH43" s="34">
        <v>4</v>
      </c>
      <c r="AI43" s="34"/>
      <c r="AJ43" s="34">
        <v>4</v>
      </c>
      <c r="AK43" s="34"/>
      <c r="AL43" s="34">
        <v>4</v>
      </c>
      <c r="AM43" s="34"/>
      <c r="AN43" s="34">
        <v>4</v>
      </c>
      <c r="AO43" s="34"/>
      <c r="AP43" s="34">
        <v>4</v>
      </c>
      <c r="AQ43" s="34"/>
      <c r="AR43" s="34">
        <v>4</v>
      </c>
      <c r="AS43" s="34"/>
      <c r="AT43" s="34">
        <v>4</v>
      </c>
      <c r="AU43" s="34"/>
      <c r="AV43" s="34">
        <v>4</v>
      </c>
      <c r="AW43" s="34"/>
      <c r="AX43" s="34">
        <v>4</v>
      </c>
      <c r="AY43" s="34"/>
    </row>
    <row r="44" spans="1:51">
      <c r="A44" s="640"/>
      <c r="B44" s="32" t="s">
        <v>194</v>
      </c>
      <c r="C44" s="33" t="s">
        <v>195</v>
      </c>
      <c r="D44" s="34">
        <v>4</v>
      </c>
      <c r="E44" s="34"/>
      <c r="F44" s="34">
        <v>4</v>
      </c>
      <c r="G44" s="34"/>
      <c r="H44" s="34">
        <v>4</v>
      </c>
      <c r="I44" s="34"/>
      <c r="J44" s="34">
        <v>4</v>
      </c>
      <c r="K44" s="34"/>
      <c r="L44" s="34">
        <v>4</v>
      </c>
      <c r="M44" s="34"/>
      <c r="N44" s="34">
        <v>4</v>
      </c>
      <c r="O44" s="34"/>
      <c r="P44" s="34">
        <v>4</v>
      </c>
      <c r="Q44" s="34"/>
      <c r="R44" s="34">
        <v>4</v>
      </c>
      <c r="S44" s="34"/>
      <c r="T44" s="34">
        <v>4</v>
      </c>
      <c r="U44" s="34"/>
      <c r="V44" s="34">
        <v>4</v>
      </c>
      <c r="W44" s="34"/>
      <c r="X44" s="34">
        <v>4</v>
      </c>
      <c r="Y44" s="34"/>
      <c r="Z44" s="34">
        <v>4</v>
      </c>
      <c r="AA44" s="34"/>
      <c r="AB44" s="34">
        <v>4</v>
      </c>
      <c r="AC44" s="34"/>
      <c r="AD44" s="34">
        <v>4</v>
      </c>
      <c r="AE44" s="34"/>
      <c r="AF44" s="34">
        <v>4</v>
      </c>
      <c r="AG44" s="34"/>
      <c r="AH44" s="34">
        <v>4</v>
      </c>
      <c r="AI44" s="34"/>
      <c r="AJ44" s="34">
        <v>4</v>
      </c>
      <c r="AK44" s="34"/>
      <c r="AL44" s="34">
        <v>4</v>
      </c>
      <c r="AM44" s="34"/>
      <c r="AN44" s="34">
        <v>4</v>
      </c>
      <c r="AO44" s="34"/>
      <c r="AP44" s="34">
        <v>4</v>
      </c>
      <c r="AQ44" s="34"/>
      <c r="AR44" s="34">
        <v>4</v>
      </c>
      <c r="AS44" s="34"/>
      <c r="AT44" s="34">
        <v>4</v>
      </c>
      <c r="AU44" s="34"/>
      <c r="AV44" s="34">
        <v>4</v>
      </c>
      <c r="AW44" s="34"/>
      <c r="AX44" s="34">
        <v>4</v>
      </c>
      <c r="AY44" s="34"/>
    </row>
    <row r="45" spans="1:51">
      <c r="A45" s="640"/>
      <c r="B45" s="32" t="s">
        <v>196</v>
      </c>
      <c r="C45" s="33" t="s">
        <v>197</v>
      </c>
      <c r="D45" s="34">
        <v>4</v>
      </c>
      <c r="E45" s="34"/>
      <c r="F45" s="34">
        <v>4</v>
      </c>
      <c r="G45" s="34"/>
      <c r="H45" s="34">
        <v>4</v>
      </c>
      <c r="I45" s="34"/>
      <c r="J45" s="34">
        <v>4</v>
      </c>
      <c r="K45" s="34"/>
      <c r="L45" s="34">
        <v>4</v>
      </c>
      <c r="M45" s="34"/>
      <c r="N45" s="34">
        <v>4</v>
      </c>
      <c r="O45" s="34"/>
      <c r="P45" s="34">
        <v>4</v>
      </c>
      <c r="Q45" s="34"/>
      <c r="R45" s="34">
        <v>4</v>
      </c>
      <c r="S45" s="34"/>
      <c r="T45" s="34">
        <v>4</v>
      </c>
      <c r="U45" s="34"/>
      <c r="V45" s="34">
        <v>4</v>
      </c>
      <c r="W45" s="34"/>
      <c r="X45" s="34">
        <v>4</v>
      </c>
      <c r="Y45" s="34"/>
      <c r="Z45" s="34">
        <v>4</v>
      </c>
      <c r="AA45" s="34"/>
      <c r="AB45" s="34">
        <v>4</v>
      </c>
      <c r="AC45" s="34"/>
      <c r="AD45" s="34">
        <v>4</v>
      </c>
      <c r="AE45" s="34"/>
      <c r="AF45" s="34">
        <v>4</v>
      </c>
      <c r="AG45" s="34"/>
      <c r="AH45" s="34">
        <v>4</v>
      </c>
      <c r="AI45" s="34"/>
      <c r="AJ45" s="34">
        <v>4</v>
      </c>
      <c r="AK45" s="34"/>
      <c r="AL45" s="34">
        <v>4</v>
      </c>
      <c r="AM45" s="34"/>
      <c r="AN45" s="34">
        <v>4</v>
      </c>
      <c r="AO45" s="34"/>
      <c r="AP45" s="34">
        <v>4</v>
      </c>
      <c r="AQ45" s="34"/>
      <c r="AR45" s="34">
        <v>4</v>
      </c>
      <c r="AS45" s="34"/>
      <c r="AT45" s="34">
        <v>4</v>
      </c>
      <c r="AU45" s="34"/>
      <c r="AV45" s="34">
        <v>4</v>
      </c>
      <c r="AW45" s="34"/>
      <c r="AX45" s="34">
        <v>4</v>
      </c>
      <c r="AY45" s="34"/>
    </row>
    <row r="46" spans="1:51">
      <c r="A46" s="640"/>
      <c r="B46" s="35"/>
      <c r="C46" s="36"/>
      <c r="D46" s="37">
        <f>SUM(D41:D45)</f>
        <v>20</v>
      </c>
      <c r="E46" s="37">
        <f>SUM(E41:E45)</f>
        <v>0</v>
      </c>
      <c r="F46" s="37">
        <f>SUM(F41:F45)</f>
        <v>20</v>
      </c>
      <c r="G46" s="37">
        <f>SUM(G41:G45)</f>
        <v>0</v>
      </c>
      <c r="H46" s="37">
        <f>SUM(H41:H45)</f>
        <v>20</v>
      </c>
      <c r="I46" s="37">
        <f t="shared" ref="I46:AY46" si="6">SUM(I41:I45)</f>
        <v>0</v>
      </c>
      <c r="J46" s="37">
        <f t="shared" si="6"/>
        <v>20</v>
      </c>
      <c r="K46" s="37">
        <f t="shared" si="6"/>
        <v>0</v>
      </c>
      <c r="L46" s="37">
        <f t="shared" si="6"/>
        <v>20</v>
      </c>
      <c r="M46" s="37">
        <f t="shared" si="6"/>
        <v>0</v>
      </c>
      <c r="N46" s="37">
        <f t="shared" si="6"/>
        <v>20</v>
      </c>
      <c r="O46" s="37">
        <f t="shared" si="6"/>
        <v>0</v>
      </c>
      <c r="P46" s="37">
        <f t="shared" si="6"/>
        <v>20</v>
      </c>
      <c r="Q46" s="37">
        <f t="shared" si="6"/>
        <v>0</v>
      </c>
      <c r="R46" s="37">
        <f t="shared" si="6"/>
        <v>20</v>
      </c>
      <c r="S46" s="37">
        <f t="shared" si="6"/>
        <v>0</v>
      </c>
      <c r="T46" s="37">
        <f t="shared" si="6"/>
        <v>20</v>
      </c>
      <c r="U46" s="37">
        <f t="shared" si="6"/>
        <v>0</v>
      </c>
      <c r="V46" s="37">
        <f t="shared" si="6"/>
        <v>20</v>
      </c>
      <c r="W46" s="37">
        <f t="shared" si="6"/>
        <v>0</v>
      </c>
      <c r="X46" s="37">
        <f t="shared" si="6"/>
        <v>20</v>
      </c>
      <c r="Y46" s="37">
        <f t="shared" si="6"/>
        <v>0</v>
      </c>
      <c r="Z46" s="37">
        <f t="shared" si="6"/>
        <v>20</v>
      </c>
      <c r="AA46" s="37">
        <f t="shared" si="6"/>
        <v>0</v>
      </c>
      <c r="AB46" s="37">
        <f t="shared" si="6"/>
        <v>20</v>
      </c>
      <c r="AC46" s="37">
        <f t="shared" si="6"/>
        <v>0</v>
      </c>
      <c r="AD46" s="37">
        <f t="shared" si="6"/>
        <v>20</v>
      </c>
      <c r="AE46" s="37">
        <f t="shared" si="6"/>
        <v>0</v>
      </c>
      <c r="AF46" s="37">
        <f t="shared" si="6"/>
        <v>20</v>
      </c>
      <c r="AG46" s="37">
        <f t="shared" si="6"/>
        <v>0</v>
      </c>
      <c r="AH46" s="37">
        <f t="shared" si="6"/>
        <v>20</v>
      </c>
      <c r="AI46" s="37">
        <f t="shared" si="6"/>
        <v>0</v>
      </c>
      <c r="AJ46" s="37">
        <f t="shared" si="6"/>
        <v>20</v>
      </c>
      <c r="AK46" s="37">
        <f t="shared" si="6"/>
        <v>0</v>
      </c>
      <c r="AL46" s="37">
        <f t="shared" si="6"/>
        <v>20</v>
      </c>
      <c r="AM46" s="37">
        <f t="shared" si="6"/>
        <v>0</v>
      </c>
      <c r="AN46" s="37">
        <f t="shared" si="6"/>
        <v>20</v>
      </c>
      <c r="AO46" s="37">
        <f t="shared" si="6"/>
        <v>0</v>
      </c>
      <c r="AP46" s="37">
        <f t="shared" si="6"/>
        <v>20</v>
      </c>
      <c r="AQ46" s="37">
        <f t="shared" si="6"/>
        <v>0</v>
      </c>
      <c r="AR46" s="37">
        <f t="shared" si="6"/>
        <v>20</v>
      </c>
      <c r="AS46" s="37">
        <f t="shared" si="6"/>
        <v>0</v>
      </c>
      <c r="AT46" s="37">
        <f t="shared" si="6"/>
        <v>20</v>
      </c>
      <c r="AU46" s="37">
        <f t="shared" si="6"/>
        <v>0</v>
      </c>
      <c r="AV46" s="37">
        <f t="shared" si="6"/>
        <v>20</v>
      </c>
      <c r="AW46" s="37">
        <f t="shared" si="6"/>
        <v>0</v>
      </c>
      <c r="AX46" s="37">
        <f t="shared" si="6"/>
        <v>20</v>
      </c>
      <c r="AY46" s="37">
        <f t="shared" si="6"/>
        <v>0</v>
      </c>
    </row>
    <row r="47" spans="1:51">
      <c r="A47" s="641" t="s">
        <v>13</v>
      </c>
      <c r="B47" s="32" t="s">
        <v>198</v>
      </c>
      <c r="C47" s="33" t="s">
        <v>93</v>
      </c>
      <c r="D47" s="34">
        <v>4</v>
      </c>
      <c r="E47" s="34"/>
      <c r="F47" s="34">
        <v>4</v>
      </c>
      <c r="G47" s="34"/>
      <c r="H47" s="34">
        <v>4</v>
      </c>
      <c r="I47" s="34"/>
      <c r="J47" s="34">
        <v>4</v>
      </c>
      <c r="K47" s="34"/>
      <c r="L47" s="34">
        <v>4</v>
      </c>
      <c r="M47" s="34"/>
      <c r="N47" s="34">
        <v>4</v>
      </c>
      <c r="O47" s="34"/>
      <c r="P47" s="34">
        <v>4</v>
      </c>
      <c r="Q47" s="34"/>
      <c r="R47" s="34">
        <v>4</v>
      </c>
      <c r="S47" s="34"/>
      <c r="T47" s="34">
        <v>4</v>
      </c>
      <c r="U47" s="34"/>
      <c r="V47" s="34">
        <v>4</v>
      </c>
      <c r="W47" s="34"/>
      <c r="X47" s="34">
        <v>4</v>
      </c>
      <c r="Y47" s="34"/>
      <c r="Z47" s="34">
        <v>4</v>
      </c>
      <c r="AA47" s="34"/>
      <c r="AB47" s="34">
        <v>4</v>
      </c>
      <c r="AC47" s="34"/>
      <c r="AD47" s="34">
        <v>4</v>
      </c>
      <c r="AE47" s="34"/>
      <c r="AF47" s="34">
        <v>4</v>
      </c>
      <c r="AG47" s="34"/>
      <c r="AH47" s="34">
        <v>4</v>
      </c>
      <c r="AI47" s="34"/>
      <c r="AJ47" s="34">
        <v>4</v>
      </c>
      <c r="AK47" s="34"/>
      <c r="AL47" s="34">
        <v>4</v>
      </c>
      <c r="AM47" s="34"/>
      <c r="AN47" s="34">
        <v>4</v>
      </c>
      <c r="AO47" s="34"/>
      <c r="AP47" s="34">
        <v>4</v>
      </c>
      <c r="AQ47" s="34"/>
      <c r="AR47" s="34">
        <v>4</v>
      </c>
      <c r="AS47" s="34"/>
      <c r="AT47" s="34">
        <v>4</v>
      </c>
      <c r="AU47" s="34"/>
      <c r="AV47" s="34">
        <v>4</v>
      </c>
      <c r="AW47" s="34"/>
      <c r="AX47" s="34">
        <v>4</v>
      </c>
      <c r="AY47" s="34"/>
    </row>
    <row r="48" spans="1:51">
      <c r="A48" s="641"/>
      <c r="B48" s="32" t="s">
        <v>199</v>
      </c>
      <c r="C48" s="33" t="s">
        <v>94</v>
      </c>
      <c r="D48" s="34">
        <v>4</v>
      </c>
      <c r="E48" s="34"/>
      <c r="F48" s="34">
        <v>4</v>
      </c>
      <c r="G48" s="34"/>
      <c r="H48" s="34">
        <v>4</v>
      </c>
      <c r="I48" s="34"/>
      <c r="J48" s="34">
        <v>4</v>
      </c>
      <c r="K48" s="34"/>
      <c r="L48" s="34">
        <v>4</v>
      </c>
      <c r="M48" s="34"/>
      <c r="N48" s="34">
        <v>4</v>
      </c>
      <c r="O48" s="34"/>
      <c r="P48" s="34">
        <v>4</v>
      </c>
      <c r="Q48" s="34"/>
      <c r="R48" s="34">
        <v>4</v>
      </c>
      <c r="S48" s="34"/>
      <c r="T48" s="34">
        <v>4</v>
      </c>
      <c r="U48" s="34"/>
      <c r="V48" s="34">
        <v>4</v>
      </c>
      <c r="W48" s="34"/>
      <c r="X48" s="34">
        <v>4</v>
      </c>
      <c r="Y48" s="34"/>
      <c r="Z48" s="34">
        <v>4</v>
      </c>
      <c r="AA48" s="34"/>
      <c r="AB48" s="34">
        <v>4</v>
      </c>
      <c r="AC48" s="34"/>
      <c r="AD48" s="34">
        <v>4</v>
      </c>
      <c r="AE48" s="34"/>
      <c r="AF48" s="34">
        <v>4</v>
      </c>
      <c r="AG48" s="34"/>
      <c r="AH48" s="34">
        <v>4</v>
      </c>
      <c r="AI48" s="34"/>
      <c r="AJ48" s="34">
        <v>4</v>
      </c>
      <c r="AK48" s="34"/>
      <c r="AL48" s="34">
        <v>4</v>
      </c>
      <c r="AM48" s="34"/>
      <c r="AN48" s="34">
        <v>4</v>
      </c>
      <c r="AO48" s="34"/>
      <c r="AP48" s="34">
        <v>4</v>
      </c>
      <c r="AQ48" s="34"/>
      <c r="AR48" s="34">
        <v>4</v>
      </c>
      <c r="AS48" s="34"/>
      <c r="AT48" s="34">
        <v>4</v>
      </c>
      <c r="AU48" s="34"/>
      <c r="AV48" s="34">
        <v>4</v>
      </c>
      <c r="AW48" s="34"/>
      <c r="AX48" s="34">
        <v>4</v>
      </c>
      <c r="AY48" s="34"/>
    </row>
    <row r="49" spans="1:51">
      <c r="A49" s="641"/>
      <c r="B49" s="32" t="s">
        <v>200</v>
      </c>
      <c r="C49" s="33" t="s">
        <v>201</v>
      </c>
      <c r="D49" s="34">
        <v>4</v>
      </c>
      <c r="E49" s="34"/>
      <c r="F49" s="34">
        <v>4</v>
      </c>
      <c r="G49" s="34"/>
      <c r="H49" s="34">
        <v>4</v>
      </c>
      <c r="I49" s="34"/>
      <c r="J49" s="34">
        <v>4</v>
      </c>
      <c r="K49" s="34"/>
      <c r="L49" s="34">
        <v>4</v>
      </c>
      <c r="M49" s="34"/>
      <c r="N49" s="34">
        <v>4</v>
      </c>
      <c r="O49" s="34"/>
      <c r="P49" s="34">
        <v>4</v>
      </c>
      <c r="Q49" s="34"/>
      <c r="R49" s="34">
        <v>4</v>
      </c>
      <c r="S49" s="34"/>
      <c r="T49" s="34">
        <v>4</v>
      </c>
      <c r="U49" s="34"/>
      <c r="V49" s="34">
        <v>4</v>
      </c>
      <c r="W49" s="34"/>
      <c r="X49" s="34">
        <v>4</v>
      </c>
      <c r="Y49" s="34"/>
      <c r="Z49" s="34">
        <v>4</v>
      </c>
      <c r="AA49" s="34"/>
      <c r="AB49" s="34">
        <v>4</v>
      </c>
      <c r="AC49" s="34"/>
      <c r="AD49" s="34">
        <v>4</v>
      </c>
      <c r="AE49" s="34"/>
      <c r="AF49" s="34">
        <v>4</v>
      </c>
      <c r="AG49" s="34"/>
      <c r="AH49" s="34">
        <v>4</v>
      </c>
      <c r="AI49" s="34"/>
      <c r="AJ49" s="34">
        <v>4</v>
      </c>
      <c r="AK49" s="34"/>
      <c r="AL49" s="34">
        <v>4</v>
      </c>
      <c r="AM49" s="34"/>
      <c r="AN49" s="34">
        <v>4</v>
      </c>
      <c r="AO49" s="34"/>
      <c r="AP49" s="34">
        <v>4</v>
      </c>
      <c r="AQ49" s="34"/>
      <c r="AR49" s="34">
        <v>4</v>
      </c>
      <c r="AS49" s="34"/>
      <c r="AT49" s="34">
        <v>4</v>
      </c>
      <c r="AU49" s="34"/>
      <c r="AV49" s="34">
        <v>4</v>
      </c>
      <c r="AW49" s="34"/>
      <c r="AX49" s="34">
        <v>4</v>
      </c>
      <c r="AY49" s="34"/>
    </row>
    <row r="50" spans="1:51">
      <c r="A50" s="641"/>
      <c r="B50" s="32" t="s">
        <v>202</v>
      </c>
      <c r="C50" s="33" t="s">
        <v>203</v>
      </c>
      <c r="D50" s="34">
        <v>4</v>
      </c>
      <c r="E50" s="34"/>
      <c r="F50" s="34">
        <v>4</v>
      </c>
      <c r="G50" s="34"/>
      <c r="H50" s="34">
        <v>4</v>
      </c>
      <c r="I50" s="34"/>
      <c r="J50" s="34">
        <v>4</v>
      </c>
      <c r="K50" s="34"/>
      <c r="L50" s="34">
        <v>4</v>
      </c>
      <c r="M50" s="34"/>
      <c r="N50" s="34">
        <v>4</v>
      </c>
      <c r="O50" s="34"/>
      <c r="P50" s="34">
        <v>4</v>
      </c>
      <c r="Q50" s="34"/>
      <c r="R50" s="34">
        <v>4</v>
      </c>
      <c r="S50" s="34"/>
      <c r="T50" s="34">
        <v>4</v>
      </c>
      <c r="U50" s="34"/>
      <c r="V50" s="34">
        <v>4</v>
      </c>
      <c r="W50" s="34"/>
      <c r="X50" s="34">
        <v>4</v>
      </c>
      <c r="Y50" s="34"/>
      <c r="Z50" s="34">
        <v>4</v>
      </c>
      <c r="AA50" s="34"/>
      <c r="AB50" s="34">
        <v>4</v>
      </c>
      <c r="AC50" s="34"/>
      <c r="AD50" s="34">
        <v>4</v>
      </c>
      <c r="AE50" s="34"/>
      <c r="AF50" s="34">
        <v>4</v>
      </c>
      <c r="AG50" s="34"/>
      <c r="AH50" s="34">
        <v>4</v>
      </c>
      <c r="AI50" s="34"/>
      <c r="AJ50" s="34">
        <v>4</v>
      </c>
      <c r="AK50" s="34"/>
      <c r="AL50" s="34">
        <v>4</v>
      </c>
      <c r="AM50" s="34"/>
      <c r="AN50" s="34">
        <v>4</v>
      </c>
      <c r="AO50" s="34"/>
      <c r="AP50" s="34">
        <v>4</v>
      </c>
      <c r="AQ50" s="34"/>
      <c r="AR50" s="34">
        <v>4</v>
      </c>
      <c r="AS50" s="34"/>
      <c r="AT50" s="34">
        <v>4</v>
      </c>
      <c r="AU50" s="34"/>
      <c r="AV50" s="34">
        <v>4</v>
      </c>
      <c r="AW50" s="34"/>
      <c r="AX50" s="34">
        <v>4</v>
      </c>
      <c r="AY50" s="34"/>
    </row>
    <row r="51" spans="1:51">
      <c r="A51" s="641"/>
      <c r="B51" s="32" t="s">
        <v>204</v>
      </c>
      <c r="C51" s="33" t="s">
        <v>205</v>
      </c>
      <c r="D51" s="34">
        <v>4</v>
      </c>
      <c r="E51" s="34"/>
      <c r="F51" s="34">
        <v>4</v>
      </c>
      <c r="G51" s="34"/>
      <c r="H51" s="34">
        <v>4</v>
      </c>
      <c r="I51" s="34"/>
      <c r="J51" s="34">
        <v>4</v>
      </c>
      <c r="K51" s="34"/>
      <c r="L51" s="34">
        <v>4</v>
      </c>
      <c r="M51" s="34"/>
      <c r="N51" s="34">
        <v>4</v>
      </c>
      <c r="O51" s="34"/>
      <c r="P51" s="34">
        <v>4</v>
      </c>
      <c r="Q51" s="34"/>
      <c r="R51" s="34">
        <v>4</v>
      </c>
      <c r="S51" s="34"/>
      <c r="T51" s="34">
        <v>4</v>
      </c>
      <c r="U51" s="34"/>
      <c r="V51" s="34">
        <v>4</v>
      </c>
      <c r="W51" s="34"/>
      <c r="X51" s="34">
        <v>4</v>
      </c>
      <c r="Y51" s="34"/>
      <c r="Z51" s="34">
        <v>4</v>
      </c>
      <c r="AA51" s="34"/>
      <c r="AB51" s="34">
        <v>4</v>
      </c>
      <c r="AC51" s="34"/>
      <c r="AD51" s="34">
        <v>4</v>
      </c>
      <c r="AE51" s="34"/>
      <c r="AF51" s="34">
        <v>4</v>
      </c>
      <c r="AG51" s="34"/>
      <c r="AH51" s="34">
        <v>4</v>
      </c>
      <c r="AI51" s="34"/>
      <c r="AJ51" s="34">
        <v>4</v>
      </c>
      <c r="AK51" s="34"/>
      <c r="AL51" s="34">
        <v>4</v>
      </c>
      <c r="AM51" s="34"/>
      <c r="AN51" s="34">
        <v>4</v>
      </c>
      <c r="AO51" s="34"/>
      <c r="AP51" s="34">
        <v>4</v>
      </c>
      <c r="AQ51" s="34"/>
      <c r="AR51" s="34">
        <v>4</v>
      </c>
      <c r="AS51" s="34"/>
      <c r="AT51" s="34">
        <v>4</v>
      </c>
      <c r="AU51" s="34"/>
      <c r="AV51" s="34">
        <v>4</v>
      </c>
      <c r="AW51" s="34"/>
      <c r="AX51" s="34">
        <v>4</v>
      </c>
      <c r="AY51" s="34"/>
    </row>
    <row r="52" spans="1:51">
      <c r="A52" s="641"/>
      <c r="B52" s="35"/>
      <c r="C52" s="36"/>
      <c r="D52" s="37">
        <f>SUM(D47:D51)</f>
        <v>20</v>
      </c>
      <c r="E52" s="37">
        <f>SUM(E47:E51)</f>
        <v>0</v>
      </c>
      <c r="F52" s="37">
        <f>SUM(F47:F51)</f>
        <v>20</v>
      </c>
      <c r="G52" s="37">
        <f>SUM(G47:G51)</f>
        <v>0</v>
      </c>
      <c r="H52" s="37">
        <f>SUM(H47:H51)</f>
        <v>20</v>
      </c>
      <c r="I52" s="37">
        <f t="shared" ref="I52:AY52" si="7">SUM(I47:I51)</f>
        <v>0</v>
      </c>
      <c r="J52" s="37">
        <f t="shared" si="7"/>
        <v>20</v>
      </c>
      <c r="K52" s="37">
        <f t="shared" si="7"/>
        <v>0</v>
      </c>
      <c r="L52" s="37">
        <f t="shared" si="7"/>
        <v>20</v>
      </c>
      <c r="M52" s="37">
        <f t="shared" si="7"/>
        <v>0</v>
      </c>
      <c r="N52" s="37">
        <f t="shared" si="7"/>
        <v>20</v>
      </c>
      <c r="O52" s="37">
        <f t="shared" si="7"/>
        <v>0</v>
      </c>
      <c r="P52" s="37">
        <f t="shared" si="7"/>
        <v>20</v>
      </c>
      <c r="Q52" s="37">
        <f t="shared" si="7"/>
        <v>0</v>
      </c>
      <c r="R52" s="37">
        <f t="shared" si="7"/>
        <v>20</v>
      </c>
      <c r="S52" s="37">
        <f t="shared" si="7"/>
        <v>0</v>
      </c>
      <c r="T52" s="37">
        <f t="shared" si="7"/>
        <v>20</v>
      </c>
      <c r="U52" s="37">
        <f t="shared" si="7"/>
        <v>0</v>
      </c>
      <c r="V52" s="37">
        <f t="shared" si="7"/>
        <v>20</v>
      </c>
      <c r="W52" s="37">
        <f t="shared" si="7"/>
        <v>0</v>
      </c>
      <c r="X52" s="37">
        <f t="shared" si="7"/>
        <v>20</v>
      </c>
      <c r="Y52" s="37">
        <f t="shared" si="7"/>
        <v>0</v>
      </c>
      <c r="Z52" s="37">
        <f t="shared" si="7"/>
        <v>20</v>
      </c>
      <c r="AA52" s="37">
        <f t="shared" si="7"/>
        <v>0</v>
      </c>
      <c r="AB52" s="37">
        <f t="shared" si="7"/>
        <v>20</v>
      </c>
      <c r="AC52" s="37">
        <f t="shared" si="7"/>
        <v>0</v>
      </c>
      <c r="AD52" s="37">
        <f t="shared" si="7"/>
        <v>20</v>
      </c>
      <c r="AE52" s="37">
        <f t="shared" si="7"/>
        <v>0</v>
      </c>
      <c r="AF52" s="37">
        <f t="shared" si="7"/>
        <v>20</v>
      </c>
      <c r="AG52" s="37">
        <f t="shared" si="7"/>
        <v>0</v>
      </c>
      <c r="AH52" s="37">
        <f t="shared" si="7"/>
        <v>20</v>
      </c>
      <c r="AI52" s="37">
        <f t="shared" si="7"/>
        <v>0</v>
      </c>
      <c r="AJ52" s="37">
        <f t="shared" si="7"/>
        <v>20</v>
      </c>
      <c r="AK52" s="37">
        <f t="shared" si="7"/>
        <v>0</v>
      </c>
      <c r="AL52" s="37">
        <f t="shared" si="7"/>
        <v>20</v>
      </c>
      <c r="AM52" s="37">
        <f t="shared" si="7"/>
        <v>0</v>
      </c>
      <c r="AN52" s="37">
        <f t="shared" si="7"/>
        <v>20</v>
      </c>
      <c r="AO52" s="37">
        <f t="shared" si="7"/>
        <v>0</v>
      </c>
      <c r="AP52" s="37">
        <f t="shared" si="7"/>
        <v>20</v>
      </c>
      <c r="AQ52" s="37">
        <f t="shared" si="7"/>
        <v>0</v>
      </c>
      <c r="AR52" s="37">
        <f t="shared" si="7"/>
        <v>20</v>
      </c>
      <c r="AS52" s="37">
        <f t="shared" si="7"/>
        <v>0</v>
      </c>
      <c r="AT52" s="37">
        <f t="shared" si="7"/>
        <v>20</v>
      </c>
      <c r="AU52" s="37">
        <f t="shared" si="7"/>
        <v>0</v>
      </c>
      <c r="AV52" s="37">
        <f t="shared" si="7"/>
        <v>20</v>
      </c>
      <c r="AW52" s="37">
        <f t="shared" si="7"/>
        <v>0</v>
      </c>
      <c r="AX52" s="37">
        <f t="shared" si="7"/>
        <v>20</v>
      </c>
      <c r="AY52" s="37">
        <f t="shared" si="7"/>
        <v>0</v>
      </c>
    </row>
    <row r="53" spans="1:51">
      <c r="A53" s="127"/>
      <c r="B53" s="127"/>
      <c r="C53" s="127"/>
      <c r="D53" s="128"/>
      <c r="E53" s="128"/>
      <c r="F53" s="119"/>
      <c r="G53" s="119"/>
      <c r="H53" s="119"/>
      <c r="I53" s="119"/>
      <c r="J53" s="119"/>
      <c r="K53" s="119"/>
      <c r="L53" s="119"/>
      <c r="M53" s="119"/>
      <c r="N53" s="119"/>
      <c r="O53" s="119"/>
      <c r="P53" s="119"/>
      <c r="Q53" s="119"/>
      <c r="R53" s="119"/>
      <c r="S53" s="119"/>
      <c r="T53" s="119"/>
      <c r="U53" s="119"/>
      <c r="V53" s="119"/>
      <c r="W53" s="119"/>
      <c r="X53" s="119"/>
      <c r="Y53" s="119"/>
      <c r="Z53" s="119"/>
      <c r="AA53" s="119"/>
      <c r="AB53" s="119"/>
      <c r="AC53" s="119"/>
      <c r="AD53" s="119"/>
      <c r="AE53" s="119"/>
      <c r="AF53" s="119"/>
      <c r="AG53" s="119"/>
      <c r="AH53" s="119"/>
      <c r="AI53" s="119"/>
      <c r="AJ53" s="119"/>
      <c r="AK53" s="119"/>
      <c r="AL53" s="119"/>
      <c r="AM53" s="119"/>
      <c r="AN53" s="119"/>
      <c r="AO53" s="119"/>
      <c r="AP53" s="119"/>
      <c r="AQ53" s="119"/>
      <c r="AR53" s="119"/>
      <c r="AS53" s="119"/>
      <c r="AT53" s="119"/>
      <c r="AU53" s="119"/>
      <c r="AV53" s="119"/>
      <c r="AW53" s="119"/>
      <c r="AX53" s="119"/>
      <c r="AY53" s="119"/>
    </row>
    <row r="54" spans="1:51">
      <c r="A54" s="119"/>
      <c r="B54" s="119"/>
      <c r="C54" s="119"/>
      <c r="D54" s="128">
        <f>D52+D46+D40+D35+D29+D23+D14+D8</f>
        <v>168</v>
      </c>
      <c r="E54" s="128">
        <f t="shared" ref="E54:AY54" si="8">E52+E46+E40+E35+E29+E23+E14+E8</f>
        <v>0</v>
      </c>
      <c r="F54" s="128">
        <f t="shared" si="8"/>
        <v>168</v>
      </c>
      <c r="G54" s="128">
        <f t="shared" si="8"/>
        <v>0</v>
      </c>
      <c r="H54" s="128">
        <f t="shared" si="8"/>
        <v>168</v>
      </c>
      <c r="I54" s="128">
        <f t="shared" si="8"/>
        <v>0</v>
      </c>
      <c r="J54" s="128">
        <f t="shared" si="8"/>
        <v>168</v>
      </c>
      <c r="K54" s="128">
        <f t="shared" si="8"/>
        <v>0</v>
      </c>
      <c r="L54" s="128">
        <f t="shared" si="8"/>
        <v>168</v>
      </c>
      <c r="M54" s="128">
        <f t="shared" si="8"/>
        <v>0</v>
      </c>
      <c r="N54" s="128">
        <f t="shared" si="8"/>
        <v>168</v>
      </c>
      <c r="O54" s="128">
        <f t="shared" si="8"/>
        <v>0</v>
      </c>
      <c r="P54" s="128">
        <f t="shared" si="8"/>
        <v>168</v>
      </c>
      <c r="Q54" s="128">
        <f t="shared" si="8"/>
        <v>0</v>
      </c>
      <c r="R54" s="128">
        <f t="shared" si="8"/>
        <v>168</v>
      </c>
      <c r="S54" s="128">
        <f t="shared" si="8"/>
        <v>0</v>
      </c>
      <c r="T54" s="128">
        <f t="shared" si="8"/>
        <v>168</v>
      </c>
      <c r="U54" s="128">
        <f t="shared" si="8"/>
        <v>0</v>
      </c>
      <c r="V54" s="128">
        <f t="shared" si="8"/>
        <v>168</v>
      </c>
      <c r="W54" s="128">
        <f t="shared" si="8"/>
        <v>0</v>
      </c>
      <c r="X54" s="128">
        <f t="shared" si="8"/>
        <v>168</v>
      </c>
      <c r="Y54" s="128">
        <f t="shared" si="8"/>
        <v>0</v>
      </c>
      <c r="Z54" s="128">
        <f t="shared" si="8"/>
        <v>168</v>
      </c>
      <c r="AA54" s="128">
        <f t="shared" si="8"/>
        <v>0</v>
      </c>
      <c r="AB54" s="128">
        <f t="shared" si="8"/>
        <v>168</v>
      </c>
      <c r="AC54" s="128">
        <f t="shared" si="8"/>
        <v>0</v>
      </c>
      <c r="AD54" s="128">
        <f t="shared" si="8"/>
        <v>168</v>
      </c>
      <c r="AE54" s="128">
        <f t="shared" si="8"/>
        <v>0</v>
      </c>
      <c r="AF54" s="128">
        <f t="shared" si="8"/>
        <v>168</v>
      </c>
      <c r="AG54" s="128">
        <f t="shared" si="8"/>
        <v>0</v>
      </c>
      <c r="AH54" s="128">
        <f t="shared" si="8"/>
        <v>168</v>
      </c>
      <c r="AI54" s="128">
        <f t="shared" si="8"/>
        <v>0</v>
      </c>
      <c r="AJ54" s="128">
        <f t="shared" si="8"/>
        <v>168</v>
      </c>
      <c r="AK54" s="128">
        <f t="shared" si="8"/>
        <v>0</v>
      </c>
      <c r="AL54" s="128">
        <f t="shared" si="8"/>
        <v>168</v>
      </c>
      <c r="AM54" s="128">
        <f t="shared" si="8"/>
        <v>0</v>
      </c>
      <c r="AN54" s="128">
        <f t="shared" si="8"/>
        <v>168</v>
      </c>
      <c r="AO54" s="128">
        <f t="shared" si="8"/>
        <v>0</v>
      </c>
      <c r="AP54" s="128">
        <f t="shared" si="8"/>
        <v>168</v>
      </c>
      <c r="AQ54" s="128">
        <f t="shared" si="8"/>
        <v>0</v>
      </c>
      <c r="AR54" s="128">
        <f t="shared" si="8"/>
        <v>168</v>
      </c>
      <c r="AS54" s="128">
        <f t="shared" si="8"/>
        <v>0</v>
      </c>
      <c r="AT54" s="128">
        <f t="shared" si="8"/>
        <v>168</v>
      </c>
      <c r="AU54" s="128">
        <f t="shared" si="8"/>
        <v>0</v>
      </c>
      <c r="AV54" s="128">
        <f t="shared" si="8"/>
        <v>168</v>
      </c>
      <c r="AW54" s="128">
        <f t="shared" si="8"/>
        <v>0</v>
      </c>
      <c r="AX54" s="128">
        <f t="shared" si="8"/>
        <v>168</v>
      </c>
      <c r="AY54" s="128">
        <f t="shared" si="8"/>
        <v>0</v>
      </c>
    </row>
  </sheetData>
  <mergeCells count="8">
    <mergeCell ref="A41:A46"/>
    <mergeCell ref="A47:A52"/>
    <mergeCell ref="A3:A8"/>
    <mergeCell ref="A9:A14"/>
    <mergeCell ref="A15:A23"/>
    <mergeCell ref="A24:A29"/>
    <mergeCell ref="A30:A35"/>
    <mergeCell ref="A36:A40"/>
  </mergeCells>
  <conditionalFormatting sqref="F1:AY1">
    <cfRule type="expression" dxfId="173" priority="27">
      <formula>MOD(COLUMN(),2)=1</formula>
    </cfRule>
  </conditionalFormatting>
  <conditionalFormatting sqref="D40:E40">
    <cfRule type="cellIs" dxfId="172" priority="28" operator="notEqual">
      <formula>$B$2</formula>
    </cfRule>
  </conditionalFormatting>
  <conditionalFormatting sqref="D1:E52 F2:AY2">
    <cfRule type="expression" dxfId="171" priority="34">
      <formula>MOD(COLUMN(),2)=1</formula>
    </cfRule>
  </conditionalFormatting>
  <conditionalFormatting sqref="B8:E8 B14:E14 B46:E46 B52:E52 B35:E35 B29:E29">
    <cfRule type="cellIs" dxfId="170" priority="33" operator="notEqual">
      <formula>$B$2</formula>
    </cfRule>
  </conditionalFormatting>
  <conditionalFormatting sqref="B23:E23">
    <cfRule type="cellIs" dxfId="169" priority="32" operator="notEqual">
      <formula>$B$2</formula>
    </cfRule>
  </conditionalFormatting>
  <conditionalFormatting sqref="B40:E40">
    <cfRule type="cellIs" dxfId="168" priority="31" operator="notEqual">
      <formula>$B$2</formula>
    </cfRule>
  </conditionalFormatting>
  <conditionalFormatting sqref="D1:E52 F2:AY2">
    <cfRule type="expression" dxfId="167" priority="30">
      <formula>MOD(COLUMN(),2)=1</formula>
    </cfRule>
  </conditionalFormatting>
  <conditionalFormatting sqref="D8:E8 D14:E14 D46:E46 D52:E52 D35:E35 D29:E29">
    <cfRule type="cellIs" dxfId="166" priority="29" operator="notEqual">
      <formula>$B$2</formula>
    </cfRule>
  </conditionalFormatting>
  <conditionalFormatting sqref="D23:E23">
    <cfRule type="cellIs" dxfId="165" priority="35" operator="notEqual">
      <formula>$B$2</formula>
    </cfRule>
  </conditionalFormatting>
  <conditionalFormatting sqref="F40:G40">
    <cfRule type="cellIs" dxfId="164" priority="19" operator="notEqual">
      <formula>$B$2</formula>
    </cfRule>
  </conditionalFormatting>
  <conditionalFormatting sqref="F3:G52">
    <cfRule type="expression" dxfId="163" priority="26">
      <formula>MOD(COLUMN(),2)=1</formula>
    </cfRule>
  </conditionalFormatting>
  <conditionalFormatting sqref="F8:G8 F14:G14 F46:G46 F52:G52 F35:G35 F29:G29">
    <cfRule type="cellIs" dxfId="162" priority="25" operator="notEqual">
      <formula>$B$2</formula>
    </cfRule>
  </conditionalFormatting>
  <conditionalFormatting sqref="F23:G23">
    <cfRule type="cellIs" dxfId="161" priority="24" operator="notEqual">
      <formula>$B$2</formula>
    </cfRule>
  </conditionalFormatting>
  <conditionalFormatting sqref="F40:G40">
    <cfRule type="cellIs" dxfId="160" priority="23" operator="notEqual">
      <formula>$B$2</formula>
    </cfRule>
  </conditionalFormatting>
  <conditionalFormatting sqref="F3:G52">
    <cfRule type="expression" dxfId="159" priority="22">
      <formula>MOD(COLUMN(),2)=1</formula>
    </cfRule>
  </conditionalFormatting>
  <conditionalFormatting sqref="F8:G8 F14:G14 F46:G46 F52:G52 F35:G35 F29:G29">
    <cfRule type="cellIs" dxfId="158" priority="21" operator="notEqual">
      <formula>$B$2</formula>
    </cfRule>
  </conditionalFormatting>
  <conditionalFormatting sqref="F23:G23">
    <cfRule type="cellIs" dxfId="157" priority="20" operator="notEqual">
      <formula>$B$2</formula>
    </cfRule>
  </conditionalFormatting>
  <conditionalFormatting sqref="H3:AY7">
    <cfRule type="expression" dxfId="156" priority="18">
      <formula>MOD(COLUMN(),2)=1</formula>
    </cfRule>
  </conditionalFormatting>
  <conditionalFormatting sqref="H3:AY7">
    <cfRule type="expression" dxfId="155" priority="17">
      <formula>MOD(COLUMN(),2)=1</formula>
    </cfRule>
  </conditionalFormatting>
  <conditionalFormatting sqref="H40:I40 L40:M40 P40:Q40 T40:U40 X40:Y40 AB40:AC40 AF40:AG40 AJ40:AK40 AN40:AO40 AR40:AS40 AV40:AW40">
    <cfRule type="cellIs" dxfId="154" priority="9" operator="notEqual">
      <formula>$B$2</formula>
    </cfRule>
  </conditionalFormatting>
  <conditionalFormatting sqref="H8:I52 L8:M52 P8:Q52 T8:U52 X8:Y52 AB8:AC52 AF8:AG52 AJ8:AK52 AN8:AO52 AR8:AS52 AV8:AW52">
    <cfRule type="expression" dxfId="153" priority="16">
      <formula>MOD(COLUMN(),2)=1</formula>
    </cfRule>
  </conditionalFormatting>
  <conditionalFormatting sqref="H8:I8 L8:M8 P8:Q8 T8:U8 X8:Y8 AB8:AC8 AF8:AG8 AJ8:AK8 AN8:AO8 AR8:AS8 AV8:AW8 H14:I14 L14:M14 P14:Q14 T14:U14 X14:Y14 AB14:AC14 AF14:AG14 AJ14:AK14 AN14:AO14 AR14:AS14 AV14:AW14 H46:I46 L46:M46 P46:Q46 T46:U46 X46:Y46 AB46:AC46 AF46:AG46 AJ46:AK46 AN46:AO46 AR46:AS46 AV46:AW46 H52:I52 L52:M52 P52:Q52 T52:U52 X52:Y52 AB52:AC52 AF52:AG52 AJ52:AK52 AN52:AO52 AR52:AS52 AV52:AW52 H35:I35 L35:M35 P35:Q35 T35:U35 X35:Y35 AB35:AC35 AF35:AG35 AJ35:AK35 AN35:AO35 AR35:AS35 AV35:AW35 H29:I29 L29:M29 P29:Q29 T29:U29 X29:Y29 AB29:AC29 AF29:AG29 AJ29:AK29 AN29:AO29 AR29:AS29 AV29:AW29">
    <cfRule type="cellIs" dxfId="152" priority="15" operator="notEqual">
      <formula>$B$2</formula>
    </cfRule>
  </conditionalFormatting>
  <conditionalFormatting sqref="H23:I23 L23:M23 P23:Q23 T23:U23 X23:Y23 AB23:AC23 AF23:AG23 AJ23:AK23 AN23:AO23 AR23:AS23 AV23:AW23">
    <cfRule type="cellIs" dxfId="151" priority="14" operator="notEqual">
      <formula>$B$2</formula>
    </cfRule>
  </conditionalFormatting>
  <conditionalFormatting sqref="H40:I40 L40:M40 P40:Q40 T40:U40 X40:Y40 AB40:AC40 AF40:AG40 AJ40:AK40 AN40:AO40 AR40:AS40 AV40:AW40">
    <cfRule type="cellIs" dxfId="150" priority="13" operator="notEqual">
      <formula>$B$2</formula>
    </cfRule>
  </conditionalFormatting>
  <conditionalFormatting sqref="H8:I52 L8:M52 P8:Q52 T8:U52 X8:Y52 AB8:AC52 AF8:AG52 AJ8:AK52 AN8:AO52 AR8:AS52 AV8:AW52">
    <cfRule type="expression" dxfId="149" priority="12">
      <formula>MOD(COLUMN(),2)=1</formula>
    </cfRule>
  </conditionalFormatting>
  <conditionalFormatting sqref="H8:I8 L8:M8 P8:Q8 T8:U8 X8:Y8 AB8:AC8 AF8:AG8 AJ8:AK8 AN8:AO8 AR8:AS8 AV8:AW8 H14:I14 L14:M14 P14:Q14 T14:U14 X14:Y14 AB14:AC14 AF14:AG14 AJ14:AK14 AN14:AO14 AR14:AS14 AV14:AW14 H46:I46 L46:M46 P46:Q46 T46:U46 X46:Y46 AB46:AC46 AF46:AG46 AJ46:AK46 AN46:AO46 AR46:AS46 AV46:AW46 H52:I52 L52:M52 P52:Q52 T52:U52 X52:Y52 AB52:AC52 AF52:AG52 AJ52:AK52 AN52:AO52 AR52:AS52 AV52:AW52 H35:I35 L35:M35 P35:Q35 T35:U35 X35:Y35 AB35:AC35 AF35:AG35 AJ35:AK35 AN35:AO35 AR35:AS35 AV35:AW35 H29:I29 L29:M29 P29:Q29 T29:U29 X29:Y29 AB29:AC29 AF29:AG29 AJ29:AK29 AN29:AO29 AR29:AS29 AV29:AW29">
    <cfRule type="cellIs" dxfId="148" priority="11" operator="notEqual">
      <formula>$B$2</formula>
    </cfRule>
  </conditionalFormatting>
  <conditionalFormatting sqref="H23:I23 L23:M23 P23:Q23 T23:U23 X23:Y23 AB23:AC23 AF23:AG23 AJ23:AK23 AN23:AO23 AR23:AS23 AV23:AW23">
    <cfRule type="cellIs" dxfId="147" priority="10" operator="notEqual">
      <formula>$B$2</formula>
    </cfRule>
  </conditionalFormatting>
  <conditionalFormatting sqref="J40:K40 N40:O40 R40:S40 V40:W40 Z40:AA40 AD40:AE40 AH40:AI40 AL40:AM40 AP40:AQ40 AT40:AU40 AX40:AY40">
    <cfRule type="cellIs" dxfId="146" priority="1" operator="notEqual">
      <formula>$B$2</formula>
    </cfRule>
  </conditionalFormatting>
  <conditionalFormatting sqref="J8:K52 N8:O52 R8:S52 V8:W52 Z8:AA52 AD8:AE52 AH8:AI52 AL8:AM52 AP8:AQ52 AT8:AU52 AX8:AY52">
    <cfRule type="expression" dxfId="145" priority="8">
      <formula>MOD(COLUMN(),2)=1</formula>
    </cfRule>
  </conditionalFormatting>
  <conditionalFormatting sqref="J8:K8 N8:O8 R8:S8 V8:W8 Z8:AA8 AD8:AE8 AH8:AI8 AL8:AM8 AP8:AQ8 AT8:AU8 AX8:AY8 J14:K14 N14:O14 R14:S14 V14:W14 Z14:AA14 AD14:AE14 AH14:AI14 AL14:AM14 AP14:AQ14 AT14:AU14 AX14:AY14 J46:K46 N46:O46 R46:S46 V46:W46 Z46:AA46 AD46:AE46 AH46:AI46 AL46:AM46 AP46:AQ46 AT46:AU46 AX46:AY46 J52:K52 N52:O52 R52:S52 V52:W52 Z52:AA52 AD52:AE52 AH52:AI52 AL52:AM52 AP52:AQ52 AT52:AU52 AX52:AY52 J35:K35 N35:O35 R35:S35 V35:W35 Z35:AA35 AD35:AE35 AH35:AI35 AL35:AM35 AP35:AQ35 AT35:AU35 AX35:AY35 J29:K29 N29:O29 R29:S29 V29:W29 Z29:AA29 AD29:AE29 AH29:AI29 AL29:AM29 AP29:AQ29 AT29:AU29 AX29:AY29">
    <cfRule type="cellIs" dxfId="144" priority="7" operator="notEqual">
      <formula>$B$2</formula>
    </cfRule>
  </conditionalFormatting>
  <conditionalFormatting sqref="J23:K23 N23:O23 R23:S23 V23:W23 Z23:AA23 AD23:AE23 AH23:AI23 AL23:AM23 AP23:AQ23 AT23:AU23 AX23:AY23">
    <cfRule type="cellIs" dxfId="143" priority="6" operator="notEqual">
      <formula>$B$2</formula>
    </cfRule>
  </conditionalFormatting>
  <conditionalFormatting sqref="J40:K40 N40:O40 R40:S40 V40:W40 Z40:AA40 AD40:AE40 AH40:AI40 AL40:AM40 AP40:AQ40 AT40:AU40 AX40:AY40">
    <cfRule type="cellIs" dxfId="142" priority="5" operator="notEqual">
      <formula>$B$2</formula>
    </cfRule>
  </conditionalFormatting>
  <conditionalFormatting sqref="J8:K52 N8:O52 R8:S52 V8:W52 Z8:AA52 AD8:AE52 AH8:AI52 AL8:AM52 AP8:AQ52 AT8:AU52 AX8:AY52">
    <cfRule type="expression" dxfId="141" priority="4">
      <formula>MOD(COLUMN(),2)=1</formula>
    </cfRule>
  </conditionalFormatting>
  <conditionalFormatting sqref="J8:K8 N8:O8 R8:S8 V8:W8 Z8:AA8 AD8:AE8 AH8:AI8 AL8:AM8 AP8:AQ8 AT8:AU8 AX8:AY8 J14:K14 N14:O14 R14:S14 V14:W14 Z14:AA14 AD14:AE14 AH14:AI14 AL14:AM14 AP14:AQ14 AT14:AU14 AX14:AY14 J46:K46 N46:O46 R46:S46 V46:W46 Z46:AA46 AD46:AE46 AH46:AI46 AL46:AM46 AP46:AQ46 AT46:AU46 AX46:AY46 J52:K52 N52:O52 R52:S52 V52:W52 Z52:AA52 AD52:AE52 AH52:AI52 AL52:AM52 AP52:AQ52 AT52:AU52 AX52:AY52 J35:K35 N35:O35 R35:S35 V35:W35 Z35:AA35 AD35:AE35 AH35:AI35 AL35:AM35 AP35:AQ35 AT35:AU35 AX35:AY35 J29:K29 N29:O29 R29:S29 V29:W29 Z29:AA29 AD29:AE29 AH29:AI29 AL29:AM29 AP29:AQ29 AT29:AU29 AX29:AY29">
    <cfRule type="cellIs" dxfId="140" priority="3" operator="notEqual">
      <formula>$B$2</formula>
    </cfRule>
  </conditionalFormatting>
  <conditionalFormatting sqref="J23:K23 N23:O23 R23:S23 V23:W23 Z23:AA23 AD23:AE23 AH23:AI23 AL23:AM23 AP23:AQ23 AT23:AU23 AX23:AY23">
    <cfRule type="cellIs" dxfId="139" priority="2" operator="notEqual">
      <formula>$B$2</formula>
    </cfRule>
  </conditionalFormatting>
  <dataValidations count="1">
    <dataValidation type="whole" allowBlank="1" showInputMessage="1" showErrorMessage="1" errorTitle="STOP" error="ANGKA YANG DIMASUKAN MELEBIHI 4" prompt="4 =  Selalu&#10;3 = Sering&#10;2 = Kadang2&#10;1 = Tidak Pernah" sqref="D3:AY7 D9:AY13 D15:AY22 D24:AY28 D30:AY34 D36:AY39 D41:AY45 D47:AY51">
      <formula1>1</formula1>
      <formula2>4</formula2>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17"/>
  <dimension ref="A1:AY54"/>
  <sheetViews>
    <sheetView workbookViewId="0">
      <pane xSplit="3" ySplit="2" topLeftCell="D3" activePane="bottomRight" state="frozen"/>
      <selection pane="topRight" activeCell="D1" sqref="D1"/>
      <selection pane="bottomLeft" activeCell="A3" sqref="A3"/>
      <selection pane="bottomRight"/>
    </sheetView>
  </sheetViews>
  <sheetFormatPr defaultRowHeight="15"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7" t="s">
        <v>206</v>
      </c>
      <c r="B1" s="158"/>
      <c r="C1" s="158"/>
      <c r="D1" s="176" t="e">
        <f>#REF!</f>
        <v>#REF!</v>
      </c>
      <c r="E1" s="176" t="e">
        <f>#REF!</f>
        <v>#REF!</v>
      </c>
      <c r="F1" s="176" t="e">
        <f>#REF!</f>
        <v>#REF!</v>
      </c>
      <c r="G1" s="176" t="e">
        <f>#REF!</f>
        <v>#REF!</v>
      </c>
      <c r="H1" s="176" t="e">
        <f>#REF!</f>
        <v>#REF!</v>
      </c>
      <c r="I1" s="176" t="e">
        <f>#REF!</f>
        <v>#REF!</v>
      </c>
      <c r="J1" s="176" t="e">
        <f>#REF!</f>
        <v>#REF!</v>
      </c>
      <c r="K1" s="176" t="e">
        <f>#REF!</f>
        <v>#REF!</v>
      </c>
      <c r="L1" s="176" t="e">
        <f>#REF!</f>
        <v>#REF!</v>
      </c>
      <c r="M1" s="176" t="e">
        <f>#REF!</f>
        <v>#REF!</v>
      </c>
      <c r="N1" s="176" t="e">
        <f>#REF!</f>
        <v>#REF!</v>
      </c>
      <c r="O1" s="176" t="e">
        <f>#REF!</f>
        <v>#REF!</v>
      </c>
      <c r="P1" s="176" t="e">
        <f>#REF!</f>
        <v>#REF!</v>
      </c>
      <c r="Q1" s="176" t="e">
        <f>#REF!</f>
        <v>#REF!</v>
      </c>
      <c r="R1" s="176" t="e">
        <f>#REF!</f>
        <v>#REF!</v>
      </c>
      <c r="S1" s="176" t="e">
        <f>#REF!</f>
        <v>#REF!</v>
      </c>
      <c r="T1" s="176" t="e">
        <f>#REF!</f>
        <v>#REF!</v>
      </c>
      <c r="U1" s="176" t="e">
        <f>#REF!</f>
        <v>#REF!</v>
      </c>
      <c r="V1" s="176" t="e">
        <f>#REF!</f>
        <v>#REF!</v>
      </c>
      <c r="W1" s="176" t="e">
        <f>#REF!</f>
        <v>#REF!</v>
      </c>
      <c r="X1" s="176" t="e">
        <f>#REF!</f>
        <v>#REF!</v>
      </c>
      <c r="Y1" s="176" t="e">
        <f>#REF!</f>
        <v>#REF!</v>
      </c>
      <c r="Z1" s="176" t="e">
        <f>#REF!</f>
        <v>#REF!</v>
      </c>
      <c r="AA1" s="176" t="e">
        <f>#REF!</f>
        <v>#REF!</v>
      </c>
      <c r="AB1" s="176" t="e">
        <f>#REF!</f>
        <v>#REF!</v>
      </c>
      <c r="AC1" s="176" t="e">
        <f>#REF!</f>
        <v>#REF!</v>
      </c>
      <c r="AD1" s="176" t="e">
        <f>#REF!</f>
        <v>#REF!</v>
      </c>
      <c r="AE1" s="176" t="e">
        <f>#REF!</f>
        <v>#REF!</v>
      </c>
      <c r="AF1" s="176" t="e">
        <f>#REF!</f>
        <v>#REF!</v>
      </c>
      <c r="AG1" s="176" t="e">
        <f>#REF!</f>
        <v>#REF!</v>
      </c>
      <c r="AH1" s="176" t="e">
        <f>#REF!</f>
        <v>#REF!</v>
      </c>
      <c r="AI1" s="176" t="e">
        <f>#REF!</f>
        <v>#REF!</v>
      </c>
      <c r="AJ1" s="176" t="e">
        <f>#REF!</f>
        <v>#REF!</v>
      </c>
      <c r="AK1" s="176" t="e">
        <f>#REF!</f>
        <v>#REF!</v>
      </c>
      <c r="AL1" s="176" t="e">
        <f>#REF!</f>
        <v>#REF!</v>
      </c>
      <c r="AM1" s="176" t="e">
        <f>#REF!</f>
        <v>#REF!</v>
      </c>
      <c r="AN1" s="176" t="e">
        <f>#REF!</f>
        <v>#REF!</v>
      </c>
      <c r="AO1" s="176" t="e">
        <f>#REF!</f>
        <v>#REF!</v>
      </c>
      <c r="AP1" s="176" t="e">
        <f>#REF!</f>
        <v>#REF!</v>
      </c>
      <c r="AQ1" s="176" t="e">
        <f>#REF!</f>
        <v>#REF!</v>
      </c>
      <c r="AR1" s="176" t="e">
        <f>#REF!</f>
        <v>#REF!</v>
      </c>
      <c r="AS1" s="176" t="e">
        <f>#REF!</f>
        <v>#REF!</v>
      </c>
      <c r="AT1" s="176" t="e">
        <f>#REF!</f>
        <v>#REF!</v>
      </c>
      <c r="AU1" s="176" t="e">
        <f>#REF!</f>
        <v>#REF!</v>
      </c>
      <c r="AV1" s="176" t="e">
        <f>#REF!</f>
        <v>#REF!</v>
      </c>
      <c r="AW1" s="176" t="e">
        <f>#REF!</f>
        <v>#REF!</v>
      </c>
      <c r="AX1" s="176" t="e">
        <f>#REF!</f>
        <v>#REF!</v>
      </c>
      <c r="AY1" s="176" t="e">
        <f>#REF!</f>
        <v>#REF!</v>
      </c>
    </row>
    <row r="2" spans="1:51" ht="15.75" thickBot="1">
      <c r="A2" s="161" t="s">
        <v>14</v>
      </c>
      <c r="B2" s="161" t="s">
        <v>34</v>
      </c>
      <c r="C2" s="161" t="s">
        <v>114</v>
      </c>
      <c r="D2" s="162"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row>
    <row r="3" spans="1:51" ht="15.75" thickTop="1">
      <c r="A3" s="619" t="s">
        <v>207</v>
      </c>
      <c r="B3" s="173" t="s">
        <v>208</v>
      </c>
      <c r="C3" s="174" t="s">
        <v>209</v>
      </c>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row>
    <row r="4" spans="1:51">
      <c r="A4" s="617"/>
      <c r="B4" s="164" t="s">
        <v>210</v>
      </c>
      <c r="C4" s="165" t="s">
        <v>211</v>
      </c>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row>
    <row r="5" spans="1:51">
      <c r="A5" s="617"/>
      <c r="B5" s="164" t="s">
        <v>212</v>
      </c>
      <c r="C5" s="165" t="s">
        <v>213</v>
      </c>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row>
    <row r="6" spans="1:51">
      <c r="A6" s="617"/>
      <c r="B6" s="164" t="s">
        <v>214</v>
      </c>
      <c r="C6" s="165" t="s">
        <v>215</v>
      </c>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row>
    <row r="7" spans="1:51">
      <c r="A7" s="617"/>
      <c r="B7" s="164" t="s">
        <v>216</v>
      </c>
      <c r="C7" s="165" t="s">
        <v>217</v>
      </c>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row>
    <row r="8" spans="1:51">
      <c r="A8" s="617"/>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row>
    <row r="9" spans="1:51">
      <c r="A9" s="618" t="s">
        <v>8</v>
      </c>
      <c r="B9" s="164" t="s">
        <v>149</v>
      </c>
      <c r="C9" s="165" t="s">
        <v>150</v>
      </c>
      <c r="D9" s="40"/>
      <c r="E9" s="40"/>
      <c r="F9" s="40"/>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row>
    <row r="10" spans="1:51">
      <c r="A10" s="618"/>
      <c r="B10" s="164" t="s">
        <v>151</v>
      </c>
      <c r="C10" s="165" t="s">
        <v>152</v>
      </c>
      <c r="D10" s="40"/>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row>
    <row r="11" spans="1:51">
      <c r="A11" s="618"/>
      <c r="B11" s="164" t="s">
        <v>153</v>
      </c>
      <c r="C11" s="165" t="s">
        <v>154</v>
      </c>
      <c r="D11" s="40"/>
      <c r="E11" s="40"/>
      <c r="F11" s="40"/>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row>
    <row r="12" spans="1:51">
      <c r="A12" s="618"/>
      <c r="B12" s="164" t="s">
        <v>155</v>
      </c>
      <c r="C12" s="165" t="s">
        <v>64</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row>
    <row r="13" spans="1:51">
      <c r="A13" s="618"/>
      <c r="B13" s="164" t="s">
        <v>156</v>
      </c>
      <c r="C13" s="165" t="s">
        <v>65</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row>
    <row r="14" spans="1:51">
      <c r="A14" s="618"/>
      <c r="B14" s="166"/>
      <c r="C14" s="167"/>
      <c r="D14" s="171" t="str">
        <f>IF(AND(D9="",D10="",D11="",D12="",D13=""),"",AVERAGE(D9:D13))</f>
        <v/>
      </c>
      <c r="E14" s="171" t="str">
        <f t="shared" ref="E14:AY14" si="1">IF(AND(E9="",E10="",E11="",E12="",E13=""),"",AVERAGE(E9:E13))</f>
        <v/>
      </c>
      <c r="F14" s="171" t="str">
        <f t="shared" si="1"/>
        <v/>
      </c>
      <c r="G14" s="171" t="str">
        <f t="shared" si="1"/>
        <v/>
      </c>
      <c r="H14" s="171" t="str">
        <f t="shared" si="1"/>
        <v/>
      </c>
      <c r="I14" s="171" t="str">
        <f t="shared" si="1"/>
        <v/>
      </c>
      <c r="J14" s="171" t="str">
        <f t="shared" si="1"/>
        <v/>
      </c>
      <c r="K14" s="171" t="str">
        <f t="shared" si="1"/>
        <v/>
      </c>
      <c r="L14" s="171" t="str">
        <f t="shared" si="1"/>
        <v/>
      </c>
      <c r="M14" s="171" t="str">
        <f t="shared" si="1"/>
        <v/>
      </c>
      <c r="N14" s="171" t="str">
        <f t="shared" si="1"/>
        <v/>
      </c>
      <c r="O14" s="171" t="str">
        <f t="shared" si="1"/>
        <v/>
      </c>
      <c r="P14" s="171" t="str">
        <f t="shared" si="1"/>
        <v/>
      </c>
      <c r="Q14" s="171" t="str">
        <f t="shared" si="1"/>
        <v/>
      </c>
      <c r="R14" s="171" t="str">
        <f t="shared" si="1"/>
        <v/>
      </c>
      <c r="S14" s="171" t="str">
        <f t="shared" si="1"/>
        <v/>
      </c>
      <c r="T14" s="171" t="str">
        <f t="shared" si="1"/>
        <v/>
      </c>
      <c r="U14" s="171" t="str">
        <f t="shared" si="1"/>
        <v/>
      </c>
      <c r="V14" s="171" t="str">
        <f t="shared" si="1"/>
        <v/>
      </c>
      <c r="W14" s="171" t="str">
        <f t="shared" si="1"/>
        <v/>
      </c>
      <c r="X14" s="171" t="str">
        <f t="shared" si="1"/>
        <v/>
      </c>
      <c r="Y14" s="171" t="str">
        <f t="shared" si="1"/>
        <v/>
      </c>
      <c r="Z14" s="171" t="str">
        <f t="shared" si="1"/>
        <v/>
      </c>
      <c r="AA14" s="171" t="str">
        <f t="shared" si="1"/>
        <v/>
      </c>
      <c r="AB14" s="171" t="str">
        <f t="shared" si="1"/>
        <v/>
      </c>
      <c r="AC14" s="171" t="str">
        <f t="shared" si="1"/>
        <v/>
      </c>
      <c r="AD14" s="171" t="str">
        <f t="shared" si="1"/>
        <v/>
      </c>
      <c r="AE14" s="171" t="str">
        <f t="shared" si="1"/>
        <v/>
      </c>
      <c r="AF14" s="171" t="str">
        <f t="shared" si="1"/>
        <v/>
      </c>
      <c r="AG14" s="171" t="str">
        <f t="shared" si="1"/>
        <v/>
      </c>
      <c r="AH14" s="171" t="str">
        <f t="shared" si="1"/>
        <v/>
      </c>
      <c r="AI14" s="171" t="str">
        <f t="shared" si="1"/>
        <v/>
      </c>
      <c r="AJ14" s="171" t="str">
        <f t="shared" si="1"/>
        <v/>
      </c>
      <c r="AK14" s="171" t="str">
        <f t="shared" si="1"/>
        <v/>
      </c>
      <c r="AL14" s="171" t="str">
        <f t="shared" si="1"/>
        <v/>
      </c>
      <c r="AM14" s="171" t="str">
        <f t="shared" si="1"/>
        <v/>
      </c>
      <c r="AN14" s="171" t="str">
        <f t="shared" si="1"/>
        <v/>
      </c>
      <c r="AO14" s="171" t="str">
        <f t="shared" si="1"/>
        <v/>
      </c>
      <c r="AP14" s="171" t="str">
        <f t="shared" si="1"/>
        <v/>
      </c>
      <c r="AQ14" s="171" t="str">
        <f t="shared" si="1"/>
        <v/>
      </c>
      <c r="AR14" s="171" t="str">
        <f t="shared" si="1"/>
        <v/>
      </c>
      <c r="AS14" s="171" t="str">
        <f t="shared" si="1"/>
        <v/>
      </c>
      <c r="AT14" s="171" t="str">
        <f t="shared" si="1"/>
        <v/>
      </c>
      <c r="AU14" s="171" t="str">
        <f t="shared" si="1"/>
        <v/>
      </c>
      <c r="AV14" s="171" t="str">
        <f t="shared" si="1"/>
        <v/>
      </c>
      <c r="AW14" s="171" t="str">
        <f t="shared" si="1"/>
        <v/>
      </c>
      <c r="AX14" s="171" t="str">
        <f t="shared" si="1"/>
        <v/>
      </c>
      <c r="AY14" s="171" t="str">
        <f t="shared" si="1"/>
        <v/>
      </c>
    </row>
    <row r="15" spans="1:51">
      <c r="A15" s="617" t="s">
        <v>9</v>
      </c>
      <c r="B15" s="164" t="s">
        <v>157</v>
      </c>
      <c r="C15" s="165" t="s">
        <v>158</v>
      </c>
      <c r="D15" s="40"/>
      <c r="E15" s="40"/>
      <c r="F15" s="40"/>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row>
    <row r="16" spans="1:51">
      <c r="A16" s="617"/>
      <c r="B16" s="164" t="s">
        <v>159</v>
      </c>
      <c r="C16" s="165" t="s">
        <v>67</v>
      </c>
      <c r="D16" s="40"/>
      <c r="E16" s="40"/>
      <c r="F16" s="40"/>
      <c r="G16" s="40"/>
      <c r="H16" s="40"/>
      <c r="I16" s="40"/>
      <c r="J16" s="40"/>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row>
    <row r="17" spans="1:51">
      <c r="A17" s="617"/>
      <c r="B17" s="164" t="s">
        <v>160</v>
      </c>
      <c r="C17" s="165" t="s">
        <v>68</v>
      </c>
      <c r="D17" s="40"/>
      <c r="E17" s="40"/>
      <c r="F17" s="40"/>
      <c r="G17" s="40"/>
      <c r="H17" s="40"/>
      <c r="I17" s="40"/>
      <c r="J17" s="40"/>
      <c r="K17" s="40"/>
      <c r="L17" s="40"/>
      <c r="M17" s="40"/>
      <c r="N17" s="40"/>
      <c r="O17" s="40"/>
      <c r="P17" s="40"/>
      <c r="Q17" s="40"/>
      <c r="R17" s="40"/>
      <c r="S17" s="40"/>
      <c r="T17" s="40"/>
      <c r="U17" s="40"/>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row>
    <row r="18" spans="1:51">
      <c r="A18" s="617"/>
      <c r="B18" s="164" t="s">
        <v>161</v>
      </c>
      <c r="C18" s="165" t="s">
        <v>69</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row>
    <row r="19" spans="1:51">
      <c r="A19" s="617"/>
      <c r="B19" s="164" t="s">
        <v>162</v>
      </c>
      <c r="C19" s="165" t="s">
        <v>70</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row>
    <row r="20" spans="1:51">
      <c r="A20" s="617"/>
      <c r="B20" s="164" t="s">
        <v>163</v>
      </c>
      <c r="C20" s="165" t="s">
        <v>164</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row>
    <row r="21" spans="1:51">
      <c r="A21" s="617"/>
      <c r="B21" s="164" t="s">
        <v>165</v>
      </c>
      <c r="C21" s="165" t="s">
        <v>166</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row>
    <row r="22" spans="1:51">
      <c r="A22" s="617"/>
      <c r="B22" s="164" t="s">
        <v>167</v>
      </c>
      <c r="C22" s="165" t="s">
        <v>168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row>
    <row r="23" spans="1:51">
      <c r="A23" s="617"/>
      <c r="B23" s="166"/>
      <c r="C23" s="167"/>
      <c r="D23" s="171" t="str">
        <f>IF(AND(D16="",D16="",D17="",D18="",D19="",D20="",D21="",D22=""),"",AVERAGE(D15:D22))</f>
        <v/>
      </c>
      <c r="E23" s="171" t="str">
        <f t="shared" ref="E23:AY23" si="2">IF(AND(E16="",E16="",E17="",E18="",E19="",E20="",E21="",E22=""),"",AVERAGE(E15:E22))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row>
    <row r="24" spans="1:51" ht="15" customHeight="1">
      <c r="A24" s="618" t="s">
        <v>169</v>
      </c>
      <c r="B24" s="164" t="s">
        <v>170</v>
      </c>
      <c r="C24" s="165" t="s">
        <v>74</v>
      </c>
      <c r="D24" s="40"/>
      <c r="E24" s="40"/>
      <c r="F24" s="40"/>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row>
    <row r="25" spans="1:51">
      <c r="A25" s="618"/>
      <c r="B25" s="164" t="s">
        <v>171</v>
      </c>
      <c r="C25" s="165" t="s">
        <v>75</v>
      </c>
      <c r="D25" s="40"/>
      <c r="E25" s="40"/>
      <c r="F25" s="40"/>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row>
    <row r="26" spans="1:51">
      <c r="A26" s="618"/>
      <c r="B26" s="164" t="s">
        <v>172</v>
      </c>
      <c r="C26" s="165" t="s">
        <v>173</v>
      </c>
      <c r="D26" s="40"/>
      <c r="E26" s="40"/>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row>
    <row r="27" spans="1:51">
      <c r="A27" s="618"/>
      <c r="B27" s="164" t="s">
        <v>174</v>
      </c>
      <c r="C27" s="165" t="s">
        <v>77</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row>
    <row r="28" spans="1:51">
      <c r="A28" s="618"/>
      <c r="B28" s="164" t="s">
        <v>175</v>
      </c>
      <c r="C28" s="165" t="s">
        <v>78</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row>
    <row r="29" spans="1:51">
      <c r="A29" s="618"/>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row>
    <row r="30" spans="1:51" ht="15" customHeight="1">
      <c r="A30" s="617" t="s">
        <v>10</v>
      </c>
      <c r="B30" s="164" t="s">
        <v>176</v>
      </c>
      <c r="C30" s="165" t="s">
        <v>177</v>
      </c>
      <c r="D30" s="40"/>
      <c r="E30" s="40"/>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row>
    <row r="31" spans="1:51">
      <c r="A31" s="617"/>
      <c r="B31" s="164" t="s">
        <v>178</v>
      </c>
      <c r="C31" s="165" t="s">
        <v>179</v>
      </c>
      <c r="D31" s="40"/>
      <c r="E31" s="40"/>
      <c r="F31" s="40"/>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row>
    <row r="32" spans="1:51">
      <c r="A32" s="617"/>
      <c r="B32" s="164" t="s">
        <v>180</v>
      </c>
      <c r="C32" s="165" t="s">
        <v>181</v>
      </c>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row>
    <row r="33" spans="1:51">
      <c r="A33" s="617"/>
      <c r="B33" s="164" t="s">
        <v>182</v>
      </c>
      <c r="C33" s="165" t="s">
        <v>82</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row>
    <row r="34" spans="1:51">
      <c r="A34" s="617"/>
      <c r="B34" s="164" t="s">
        <v>183</v>
      </c>
      <c r="C34" s="165" t="s">
        <v>83</v>
      </c>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row>
    <row r="35" spans="1:51">
      <c r="A35" s="617"/>
      <c r="B35" s="166"/>
      <c r="C35" s="167"/>
      <c r="D35" s="171" t="str">
        <f>IF(AND(D30="",D31="",D32="",D33="",D34=""),"",AVERAGE(D30:D34))</f>
        <v/>
      </c>
      <c r="E35" s="171" t="str">
        <f t="shared" ref="E35:AY35" si="4">IF(AND(E30="",E31="",E32="",E33="",E34=""),"",AVERAGE(E30:E34))</f>
        <v/>
      </c>
      <c r="F35" s="171" t="str">
        <f t="shared" si="4"/>
        <v/>
      </c>
      <c r="G35" s="171" t="str">
        <f t="shared" si="4"/>
        <v/>
      </c>
      <c r="H35" s="171" t="str">
        <f t="shared" si="4"/>
        <v/>
      </c>
      <c r="I35" s="171" t="str">
        <f t="shared" si="4"/>
        <v/>
      </c>
      <c r="J35" s="171" t="str">
        <f t="shared" si="4"/>
        <v/>
      </c>
      <c r="K35" s="171" t="str">
        <f t="shared" si="4"/>
        <v/>
      </c>
      <c r="L35" s="171" t="str">
        <f t="shared" si="4"/>
        <v/>
      </c>
      <c r="M35" s="171" t="str">
        <f t="shared" si="4"/>
        <v/>
      </c>
      <c r="N35" s="171" t="str">
        <f t="shared" si="4"/>
        <v/>
      </c>
      <c r="O35" s="171" t="str">
        <f t="shared" si="4"/>
        <v/>
      </c>
      <c r="P35" s="171" t="str">
        <f t="shared" si="4"/>
        <v/>
      </c>
      <c r="Q35" s="171" t="str">
        <f t="shared" si="4"/>
        <v/>
      </c>
      <c r="R35" s="171" t="str">
        <f t="shared" si="4"/>
        <v/>
      </c>
      <c r="S35" s="171" t="str">
        <f t="shared" si="4"/>
        <v/>
      </c>
      <c r="T35" s="171" t="str">
        <f t="shared" si="4"/>
        <v/>
      </c>
      <c r="U35" s="171" t="str">
        <f t="shared" si="4"/>
        <v/>
      </c>
      <c r="V35" s="171" t="str">
        <f t="shared" si="4"/>
        <v/>
      </c>
      <c r="W35" s="171" t="str">
        <f t="shared" si="4"/>
        <v/>
      </c>
      <c r="X35" s="171" t="str">
        <f t="shared" si="4"/>
        <v/>
      </c>
      <c r="Y35" s="171" t="str">
        <f t="shared" si="4"/>
        <v/>
      </c>
      <c r="Z35" s="171" t="str">
        <f t="shared" si="4"/>
        <v/>
      </c>
      <c r="AA35" s="171" t="str">
        <f t="shared" si="4"/>
        <v/>
      </c>
      <c r="AB35" s="171" t="str">
        <f t="shared" si="4"/>
        <v/>
      </c>
      <c r="AC35" s="171" t="str">
        <f t="shared" si="4"/>
        <v/>
      </c>
      <c r="AD35" s="171" t="str">
        <f t="shared" si="4"/>
        <v/>
      </c>
      <c r="AE35" s="171" t="str">
        <f t="shared" si="4"/>
        <v/>
      </c>
      <c r="AF35" s="171" t="str">
        <f t="shared" si="4"/>
        <v/>
      </c>
      <c r="AG35" s="171" t="str">
        <f t="shared" si="4"/>
        <v/>
      </c>
      <c r="AH35" s="171" t="str">
        <f t="shared" si="4"/>
        <v/>
      </c>
      <c r="AI35" s="171" t="str">
        <f t="shared" si="4"/>
        <v/>
      </c>
      <c r="AJ35" s="171" t="str">
        <f t="shared" si="4"/>
        <v/>
      </c>
      <c r="AK35" s="171" t="str">
        <f t="shared" si="4"/>
        <v/>
      </c>
      <c r="AL35" s="171" t="str">
        <f t="shared" si="4"/>
        <v/>
      </c>
      <c r="AM35" s="171" t="str">
        <f t="shared" si="4"/>
        <v/>
      </c>
      <c r="AN35" s="171" t="str">
        <f t="shared" si="4"/>
        <v/>
      </c>
      <c r="AO35" s="171" t="str">
        <f t="shared" si="4"/>
        <v/>
      </c>
      <c r="AP35" s="171" t="str">
        <f t="shared" si="4"/>
        <v/>
      </c>
      <c r="AQ35" s="171" t="str">
        <f t="shared" si="4"/>
        <v/>
      </c>
      <c r="AR35" s="171" t="str">
        <f t="shared" si="4"/>
        <v/>
      </c>
      <c r="AS35" s="171" t="str">
        <f t="shared" si="4"/>
        <v/>
      </c>
      <c r="AT35" s="171" t="str">
        <f t="shared" si="4"/>
        <v/>
      </c>
      <c r="AU35" s="171" t="str">
        <f t="shared" si="4"/>
        <v/>
      </c>
      <c r="AV35" s="171" t="str">
        <f t="shared" si="4"/>
        <v/>
      </c>
      <c r="AW35" s="171" t="str">
        <f t="shared" si="4"/>
        <v/>
      </c>
      <c r="AX35" s="171" t="str">
        <f t="shared" si="4"/>
        <v/>
      </c>
      <c r="AY35" s="171" t="str">
        <f t="shared" si="4"/>
        <v/>
      </c>
    </row>
    <row r="36" spans="1:51" ht="15" customHeight="1">
      <c r="A36" s="618" t="s">
        <v>184</v>
      </c>
      <c r="B36" s="164" t="s">
        <v>185</v>
      </c>
      <c r="C36" s="165" t="s">
        <v>84</v>
      </c>
      <c r="D36" s="40"/>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row>
    <row r="37" spans="1:51">
      <c r="A37" s="618"/>
      <c r="B37" s="164" t="s">
        <v>186</v>
      </c>
      <c r="C37" s="165" t="s">
        <v>187</v>
      </c>
      <c r="D37" s="40"/>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row>
    <row r="38" spans="1:51">
      <c r="A38" s="618"/>
      <c r="B38" s="164" t="s">
        <v>188</v>
      </c>
      <c r="C38" s="165" t="s">
        <v>86</v>
      </c>
      <c r="D38" s="40"/>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row>
    <row r="39" spans="1:51">
      <c r="A39" s="618"/>
      <c r="B39" s="164" t="s">
        <v>189</v>
      </c>
      <c r="C39" s="165" t="s">
        <v>190</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row>
    <row r="40" spans="1:51">
      <c r="A40" s="618"/>
      <c r="B40" s="166"/>
      <c r="C40" s="167"/>
      <c r="D40" s="171" t="str">
        <f>IF(AND(D36="",D37="",D38="",D39=""),"",AVERAGE(D36:D39))</f>
        <v/>
      </c>
      <c r="E40" s="171" t="str">
        <f t="shared" ref="E40:AY40" si="5">IF(AND(E36="",E37="",E38="",E39=""),"",AVERAGE(E36:E39))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row>
    <row r="41" spans="1:51" ht="15" customHeight="1">
      <c r="A41" s="617" t="s">
        <v>12</v>
      </c>
      <c r="B41" s="164" t="s">
        <v>191</v>
      </c>
      <c r="C41" s="165" t="s">
        <v>88</v>
      </c>
      <c r="D41" s="40"/>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row>
    <row r="42" spans="1:51">
      <c r="A42" s="617"/>
      <c r="B42" s="164" t="s">
        <v>192</v>
      </c>
      <c r="C42" s="165" t="s">
        <v>89</v>
      </c>
      <c r="D42" s="40"/>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row>
    <row r="43" spans="1:51">
      <c r="A43" s="617"/>
      <c r="B43" s="164" t="s">
        <v>193</v>
      </c>
      <c r="C43" s="165" t="s">
        <v>90</v>
      </c>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row>
    <row r="44" spans="1:51">
      <c r="A44" s="617"/>
      <c r="B44" s="164" t="s">
        <v>194</v>
      </c>
      <c r="C44" s="165" t="s">
        <v>195</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row>
    <row r="45" spans="1:51">
      <c r="A45" s="617"/>
      <c r="B45" s="164" t="s">
        <v>196</v>
      </c>
      <c r="C45" s="165" t="s">
        <v>197</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row>
    <row r="46" spans="1:51">
      <c r="A46" s="617"/>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row>
    <row r="47" spans="1:51" ht="15" customHeight="1">
      <c r="A47" s="618" t="s">
        <v>13</v>
      </c>
      <c r="B47" s="164" t="s">
        <v>198</v>
      </c>
      <c r="C47" s="165" t="s">
        <v>93</v>
      </c>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c r="AW47" s="40"/>
      <c r="AX47" s="40"/>
      <c r="AY47" s="40"/>
    </row>
    <row r="48" spans="1:51">
      <c r="A48" s="618"/>
      <c r="B48" s="164" t="s">
        <v>199</v>
      </c>
      <c r="C48" s="165" t="s">
        <v>94</v>
      </c>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row>
    <row r="49" spans="1:51">
      <c r="A49" s="618"/>
      <c r="B49" s="164" t="s">
        <v>200</v>
      </c>
      <c r="C49" s="165" t="s">
        <v>201</v>
      </c>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row>
    <row r="50" spans="1:51">
      <c r="A50" s="618"/>
      <c r="B50" s="164" t="s">
        <v>202</v>
      </c>
      <c r="C50" s="165" t="s">
        <v>203</v>
      </c>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row>
    <row r="51" spans="1:51">
      <c r="A51" s="618"/>
      <c r="B51" s="164" t="s">
        <v>204</v>
      </c>
      <c r="C51" s="165" t="s">
        <v>205</v>
      </c>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row>
    <row r="52" spans="1:51">
      <c r="A52" s="618"/>
      <c r="B52" s="166"/>
      <c r="C52" s="167"/>
      <c r="D52" s="171" t="str">
        <f>IF(AND(D47="",D48="",D49="",D50="",D51=""),"",AVERAGE(D47:D51))</f>
        <v/>
      </c>
      <c r="E52" s="171" t="str">
        <f t="shared" ref="E52:AY52" si="7">IF(AND(E47="",E48="",E49="",E50="",E51=""),"",AVERAGE(E47:E51))</f>
        <v/>
      </c>
      <c r="F52" s="171" t="str">
        <f t="shared" si="7"/>
        <v/>
      </c>
      <c r="G52" s="171" t="str">
        <f t="shared" si="7"/>
        <v/>
      </c>
      <c r="H52" s="171" t="str">
        <f t="shared" si="7"/>
        <v/>
      </c>
      <c r="I52" s="171" t="str">
        <f t="shared" si="7"/>
        <v/>
      </c>
      <c r="J52" s="171" t="str">
        <f t="shared" si="7"/>
        <v/>
      </c>
      <c r="K52" s="171" t="str">
        <f t="shared" si="7"/>
        <v/>
      </c>
      <c r="L52" s="171" t="str">
        <f t="shared" si="7"/>
        <v/>
      </c>
      <c r="M52" s="171" t="str">
        <f t="shared" si="7"/>
        <v/>
      </c>
      <c r="N52" s="171" t="str">
        <f t="shared" si="7"/>
        <v/>
      </c>
      <c r="O52" s="171" t="str">
        <f t="shared" si="7"/>
        <v/>
      </c>
      <c r="P52" s="171" t="str">
        <f t="shared" si="7"/>
        <v/>
      </c>
      <c r="Q52" s="171" t="str">
        <f t="shared" si="7"/>
        <v/>
      </c>
      <c r="R52" s="171" t="str">
        <f t="shared" si="7"/>
        <v/>
      </c>
      <c r="S52" s="171" t="str">
        <f t="shared" si="7"/>
        <v/>
      </c>
      <c r="T52" s="171" t="str">
        <f t="shared" si="7"/>
        <v/>
      </c>
      <c r="U52" s="171" t="str">
        <f t="shared" si="7"/>
        <v/>
      </c>
      <c r="V52" s="171" t="str">
        <f t="shared" si="7"/>
        <v/>
      </c>
      <c r="W52" s="171" t="str">
        <f t="shared" si="7"/>
        <v/>
      </c>
      <c r="X52" s="171" t="str">
        <f t="shared" si="7"/>
        <v/>
      </c>
      <c r="Y52" s="171" t="str">
        <f t="shared" si="7"/>
        <v/>
      </c>
      <c r="Z52" s="171" t="str">
        <f t="shared" si="7"/>
        <v/>
      </c>
      <c r="AA52" s="171" t="str">
        <f t="shared" si="7"/>
        <v/>
      </c>
      <c r="AB52" s="171" t="str">
        <f t="shared" si="7"/>
        <v/>
      </c>
      <c r="AC52" s="171" t="str">
        <f t="shared" si="7"/>
        <v/>
      </c>
      <c r="AD52" s="171" t="str">
        <f t="shared" si="7"/>
        <v/>
      </c>
      <c r="AE52" s="171" t="str">
        <f t="shared" si="7"/>
        <v/>
      </c>
      <c r="AF52" s="171" t="str">
        <f t="shared" si="7"/>
        <v/>
      </c>
      <c r="AG52" s="171" t="str">
        <f t="shared" si="7"/>
        <v/>
      </c>
      <c r="AH52" s="171" t="str">
        <f t="shared" si="7"/>
        <v/>
      </c>
      <c r="AI52" s="171" t="str">
        <f t="shared" si="7"/>
        <v/>
      </c>
      <c r="AJ52" s="171" t="str">
        <f t="shared" si="7"/>
        <v/>
      </c>
      <c r="AK52" s="171" t="str">
        <f t="shared" si="7"/>
        <v/>
      </c>
      <c r="AL52" s="171" t="str">
        <f t="shared" si="7"/>
        <v/>
      </c>
      <c r="AM52" s="171" t="str">
        <f t="shared" si="7"/>
        <v/>
      </c>
      <c r="AN52" s="171" t="str">
        <f t="shared" si="7"/>
        <v/>
      </c>
      <c r="AO52" s="171" t="str">
        <f t="shared" si="7"/>
        <v/>
      </c>
      <c r="AP52" s="171" t="str">
        <f t="shared" si="7"/>
        <v/>
      </c>
      <c r="AQ52" s="171" t="str">
        <f t="shared" si="7"/>
        <v/>
      </c>
      <c r="AR52" s="171" t="str">
        <f t="shared" si="7"/>
        <v/>
      </c>
      <c r="AS52" s="171" t="str">
        <f t="shared" si="7"/>
        <v/>
      </c>
      <c r="AT52" s="171" t="str">
        <f t="shared" si="7"/>
        <v/>
      </c>
      <c r="AU52" s="171" t="str">
        <f t="shared" si="7"/>
        <v/>
      </c>
      <c r="AV52" s="171" t="str">
        <f t="shared" si="7"/>
        <v/>
      </c>
      <c r="AW52" s="171" t="str">
        <f t="shared" si="7"/>
        <v/>
      </c>
      <c r="AX52" s="171" t="str">
        <f t="shared" si="7"/>
        <v/>
      </c>
      <c r="AY52" s="171" t="str">
        <f t="shared" si="7"/>
        <v/>
      </c>
    </row>
    <row r="53" spans="1:51">
      <c r="A53" s="175"/>
      <c r="B53" s="175"/>
      <c r="C53" s="175"/>
      <c r="D53" s="34"/>
      <c r="E53" s="34"/>
      <c r="F53" s="3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row>
    <row r="54" spans="1:51">
      <c r="A54" s="91"/>
      <c r="B54" s="91"/>
      <c r="C54" s="91"/>
      <c r="D54" s="177" t="e">
        <f>AVERAGE(D52,D46,D40,D35,D29,D23,D14,D8)</f>
        <v>#DIV/0!</v>
      </c>
      <c r="E54" s="177" t="e">
        <f t="shared" ref="E54:AY54" si="8">AVERAGE(E52,E46,E40,E35,E29,E23,E14,E8)</f>
        <v>#DIV/0!</v>
      </c>
      <c r="F54" s="177" t="e">
        <f t="shared" si="8"/>
        <v>#DIV/0!</v>
      </c>
      <c r="G54" s="177" t="e">
        <f t="shared" si="8"/>
        <v>#DIV/0!</v>
      </c>
      <c r="H54" s="177" t="e">
        <f t="shared" si="8"/>
        <v>#DIV/0!</v>
      </c>
      <c r="I54" s="177" t="e">
        <f t="shared" si="8"/>
        <v>#DIV/0!</v>
      </c>
      <c r="J54" s="177" t="e">
        <f t="shared" si="8"/>
        <v>#DIV/0!</v>
      </c>
      <c r="K54" s="177" t="e">
        <f t="shared" si="8"/>
        <v>#DIV/0!</v>
      </c>
      <c r="L54" s="177" t="e">
        <f t="shared" si="8"/>
        <v>#DIV/0!</v>
      </c>
      <c r="M54" s="177" t="e">
        <f t="shared" si="8"/>
        <v>#DIV/0!</v>
      </c>
      <c r="N54" s="177" t="e">
        <f t="shared" si="8"/>
        <v>#DIV/0!</v>
      </c>
      <c r="O54" s="177" t="e">
        <f t="shared" si="8"/>
        <v>#DIV/0!</v>
      </c>
      <c r="P54" s="177" t="e">
        <f t="shared" si="8"/>
        <v>#DIV/0!</v>
      </c>
      <c r="Q54" s="177" t="e">
        <f t="shared" si="8"/>
        <v>#DIV/0!</v>
      </c>
      <c r="R54" s="177" t="e">
        <f t="shared" si="8"/>
        <v>#DIV/0!</v>
      </c>
      <c r="S54" s="177" t="e">
        <f t="shared" si="8"/>
        <v>#DIV/0!</v>
      </c>
      <c r="T54" s="177" t="e">
        <f t="shared" si="8"/>
        <v>#DIV/0!</v>
      </c>
      <c r="U54" s="177" t="e">
        <f t="shared" si="8"/>
        <v>#DIV/0!</v>
      </c>
      <c r="V54" s="177" t="e">
        <f t="shared" si="8"/>
        <v>#DIV/0!</v>
      </c>
      <c r="W54" s="177" t="e">
        <f t="shared" si="8"/>
        <v>#DIV/0!</v>
      </c>
      <c r="X54" s="177" t="e">
        <f t="shared" si="8"/>
        <v>#DIV/0!</v>
      </c>
      <c r="Y54" s="177" t="e">
        <f t="shared" si="8"/>
        <v>#DIV/0!</v>
      </c>
      <c r="Z54" s="177" t="e">
        <f t="shared" si="8"/>
        <v>#DIV/0!</v>
      </c>
      <c r="AA54" s="177" t="e">
        <f t="shared" si="8"/>
        <v>#DIV/0!</v>
      </c>
      <c r="AB54" s="177" t="e">
        <f t="shared" si="8"/>
        <v>#DIV/0!</v>
      </c>
      <c r="AC54" s="177" t="e">
        <f t="shared" si="8"/>
        <v>#DIV/0!</v>
      </c>
      <c r="AD54" s="177" t="e">
        <f t="shared" si="8"/>
        <v>#DIV/0!</v>
      </c>
      <c r="AE54" s="177" t="e">
        <f t="shared" si="8"/>
        <v>#DIV/0!</v>
      </c>
      <c r="AF54" s="177" t="e">
        <f t="shared" si="8"/>
        <v>#DIV/0!</v>
      </c>
      <c r="AG54" s="177" t="e">
        <f t="shared" si="8"/>
        <v>#DIV/0!</v>
      </c>
      <c r="AH54" s="177" t="e">
        <f t="shared" si="8"/>
        <v>#DIV/0!</v>
      </c>
      <c r="AI54" s="177" t="e">
        <f t="shared" si="8"/>
        <v>#DIV/0!</v>
      </c>
      <c r="AJ54" s="177" t="e">
        <f t="shared" si="8"/>
        <v>#DIV/0!</v>
      </c>
      <c r="AK54" s="177" t="e">
        <f t="shared" si="8"/>
        <v>#DIV/0!</v>
      </c>
      <c r="AL54" s="177" t="e">
        <f t="shared" si="8"/>
        <v>#DIV/0!</v>
      </c>
      <c r="AM54" s="177" t="e">
        <f t="shared" si="8"/>
        <v>#DIV/0!</v>
      </c>
      <c r="AN54" s="177" t="e">
        <f t="shared" si="8"/>
        <v>#DIV/0!</v>
      </c>
      <c r="AO54" s="177" t="e">
        <f t="shared" si="8"/>
        <v>#DIV/0!</v>
      </c>
      <c r="AP54" s="177" t="e">
        <f t="shared" si="8"/>
        <v>#DIV/0!</v>
      </c>
      <c r="AQ54" s="177" t="e">
        <f t="shared" si="8"/>
        <v>#DIV/0!</v>
      </c>
      <c r="AR54" s="177" t="e">
        <f t="shared" si="8"/>
        <v>#DIV/0!</v>
      </c>
      <c r="AS54" s="177" t="e">
        <f t="shared" si="8"/>
        <v>#DIV/0!</v>
      </c>
      <c r="AT54" s="177" t="e">
        <f t="shared" si="8"/>
        <v>#DIV/0!</v>
      </c>
      <c r="AU54" s="177" t="e">
        <f t="shared" si="8"/>
        <v>#DIV/0!</v>
      </c>
      <c r="AV54" s="177" t="e">
        <f t="shared" si="8"/>
        <v>#DIV/0!</v>
      </c>
      <c r="AW54" s="177" t="e">
        <f t="shared" si="8"/>
        <v>#DIV/0!</v>
      </c>
      <c r="AX54" s="177" t="e">
        <f t="shared" si="8"/>
        <v>#DIV/0!</v>
      </c>
      <c r="AY54" s="177" t="e">
        <f t="shared" si="8"/>
        <v>#DIV/0!</v>
      </c>
    </row>
  </sheetData>
  <sheetProtection password="C718" sheet="1" objects="1" scenarios="1" formatCells="0" formatColumns="0" formatRows="0" insertColumns="0" insertRows="0" insertHyperlinks="0" deleteColumns="0" deleteRows="0" sort="0"/>
  <mergeCells count="8">
    <mergeCell ref="A41:A46"/>
    <mergeCell ref="A47:A52"/>
    <mergeCell ref="A3:A8"/>
    <mergeCell ref="A9:A14"/>
    <mergeCell ref="A15:A23"/>
    <mergeCell ref="A24:A29"/>
    <mergeCell ref="A30:A35"/>
    <mergeCell ref="A36:A40"/>
  </mergeCells>
  <conditionalFormatting sqref="F1:AY1">
    <cfRule type="expression" dxfId="138" priority="160">
      <formula>MOD(COLUMN(),2)=1</formula>
    </cfRule>
  </conditionalFormatting>
  <conditionalFormatting sqref="D1:E2 F2:AY2">
    <cfRule type="expression" dxfId="137" priority="167">
      <formula>MOD(COLUMN(),2)=1</formula>
    </cfRule>
  </conditionalFormatting>
  <conditionalFormatting sqref="B8:C8 B14:C14 B46:C46 B52:C52 B35:C35 B29:C29">
    <cfRule type="cellIs" dxfId="136" priority="166" operator="notEqual">
      <formula>$B$2</formula>
    </cfRule>
  </conditionalFormatting>
  <conditionalFormatting sqref="B23:C23">
    <cfRule type="cellIs" dxfId="135" priority="165" operator="notEqual">
      <formula>$B$2</formula>
    </cfRule>
  </conditionalFormatting>
  <conditionalFormatting sqref="B40:C40">
    <cfRule type="cellIs" dxfId="134" priority="164" operator="notEqual">
      <formula>$B$2</formula>
    </cfRule>
  </conditionalFormatting>
  <conditionalFormatting sqref="D1:E2 F2:AY2">
    <cfRule type="expression" dxfId="133" priority="163">
      <formula>MOD(COLUMN(),2)=1</formula>
    </cfRule>
  </conditionalFormatting>
  <conditionalFormatting sqref="D3:AY7">
    <cfRule type="expression" dxfId="132" priority="133">
      <formula>MOD(COLUMN(),2)=1</formula>
    </cfRule>
  </conditionalFormatting>
  <conditionalFormatting sqref="D3:AY7">
    <cfRule type="expression" dxfId="131" priority="132">
      <formula>MOD(COLUMN(),2)=1</formula>
    </cfRule>
  </conditionalFormatting>
  <conditionalFormatting sqref="D3:AY7">
    <cfRule type="expression" dxfId="130" priority="131">
      <formula>MOD(COLUMN(),2)=1</formula>
    </cfRule>
  </conditionalFormatting>
  <conditionalFormatting sqref="D3:AY7">
    <cfRule type="expression" dxfId="129" priority="130">
      <formula>MOD(COLUMN(),2)=1</formula>
    </cfRule>
  </conditionalFormatting>
  <conditionalFormatting sqref="D12:AY13 D18:AY22 D27:AY28 D33:AY34 D39:AY39 D44:AY45 E47:AY49 E9:AY13 E15:AY22 E24:AY28 E30:AY34 E36:AY39 E41:AY45 D50:AY51">
    <cfRule type="expression" dxfId="128" priority="129">
      <formula>MOD(COLUMN(),2)=1</formula>
    </cfRule>
  </conditionalFormatting>
  <conditionalFormatting sqref="D14:AY14">
    <cfRule type="expression" dxfId="127" priority="128">
      <formula>MOD(COLUMN(),2)=1</formula>
    </cfRule>
  </conditionalFormatting>
  <conditionalFormatting sqref="D14:AY14">
    <cfRule type="cellIs" dxfId="126" priority="127" operator="notEqual">
      <formula>$B$2</formula>
    </cfRule>
  </conditionalFormatting>
  <conditionalFormatting sqref="D14:AY14">
    <cfRule type="expression" dxfId="125" priority="126">
      <formula>MOD(COLUMN(),2)=1</formula>
    </cfRule>
  </conditionalFormatting>
  <conditionalFormatting sqref="D14:AY14">
    <cfRule type="cellIs" dxfId="124" priority="125" operator="notEqual">
      <formula>$B$2</formula>
    </cfRule>
  </conditionalFormatting>
  <conditionalFormatting sqref="D14:AY14">
    <cfRule type="expression" dxfId="123" priority="124">
      <formula>MOD(COLUMN(),2)=1</formula>
    </cfRule>
  </conditionalFormatting>
  <conditionalFormatting sqref="D14:AY14">
    <cfRule type="cellIs" dxfId="122" priority="123" operator="notEqual">
      <formula>$B$2</formula>
    </cfRule>
  </conditionalFormatting>
  <conditionalFormatting sqref="D14:AY14">
    <cfRule type="expression" dxfId="121" priority="122">
      <formula>MOD(COLUMN(),2)=1</formula>
    </cfRule>
  </conditionalFormatting>
  <conditionalFormatting sqref="D14:AY14">
    <cfRule type="cellIs" dxfId="120" priority="121" operator="notEqual">
      <formula>$B$2</formula>
    </cfRule>
  </conditionalFormatting>
  <conditionalFormatting sqref="D23:AY23">
    <cfRule type="expression" dxfId="119" priority="120">
      <formula>MOD(COLUMN(),2)=1</formula>
    </cfRule>
  </conditionalFormatting>
  <conditionalFormatting sqref="D23:AY23">
    <cfRule type="cellIs" dxfId="118" priority="119" operator="notEqual">
      <formula>$B$2</formula>
    </cfRule>
  </conditionalFormatting>
  <conditionalFormatting sqref="D23:AY23">
    <cfRule type="expression" dxfId="117" priority="118">
      <formula>MOD(COLUMN(),2)=1</formula>
    </cfRule>
  </conditionalFormatting>
  <conditionalFormatting sqref="D23:AY23">
    <cfRule type="cellIs" dxfId="116" priority="117" operator="notEqual">
      <formula>$B$2</formula>
    </cfRule>
  </conditionalFormatting>
  <conditionalFormatting sqref="D23:AY23">
    <cfRule type="expression" dxfId="115" priority="116">
      <formula>MOD(COLUMN(),2)=1</formula>
    </cfRule>
  </conditionalFormatting>
  <conditionalFormatting sqref="D23:AY23">
    <cfRule type="cellIs" dxfId="114" priority="115" operator="notEqual">
      <formula>$B$2</formula>
    </cfRule>
  </conditionalFormatting>
  <conditionalFormatting sqref="D23:AY23">
    <cfRule type="expression" dxfId="113" priority="114">
      <formula>MOD(COLUMN(),2)=1</formula>
    </cfRule>
  </conditionalFormatting>
  <conditionalFormatting sqref="D23:AY23">
    <cfRule type="cellIs" dxfId="112" priority="113" operator="notEqual">
      <formula>$B$2</formula>
    </cfRule>
  </conditionalFormatting>
  <conditionalFormatting sqref="D29:AY29">
    <cfRule type="expression" dxfId="111" priority="112">
      <formula>MOD(COLUMN(),2)=1</formula>
    </cfRule>
  </conditionalFormatting>
  <conditionalFormatting sqref="D29:AY29">
    <cfRule type="cellIs" dxfId="110" priority="111" operator="notEqual">
      <formula>$B$2</formula>
    </cfRule>
  </conditionalFormatting>
  <conditionalFormatting sqref="D29:AY29">
    <cfRule type="expression" dxfId="109" priority="110">
      <formula>MOD(COLUMN(),2)=1</formula>
    </cfRule>
  </conditionalFormatting>
  <conditionalFormatting sqref="D29:AY29">
    <cfRule type="cellIs" dxfId="108" priority="109" operator="notEqual">
      <formula>$B$2</formula>
    </cfRule>
  </conditionalFormatting>
  <conditionalFormatting sqref="D29:AY29">
    <cfRule type="expression" dxfId="107" priority="108">
      <formula>MOD(COLUMN(),2)=1</formula>
    </cfRule>
  </conditionalFormatting>
  <conditionalFormatting sqref="D29:AY29">
    <cfRule type="cellIs" dxfId="106" priority="107" operator="notEqual">
      <formula>$B$2</formula>
    </cfRule>
  </conditionalFormatting>
  <conditionalFormatting sqref="D29:AY29">
    <cfRule type="expression" dxfId="105" priority="106">
      <formula>MOD(COLUMN(),2)=1</formula>
    </cfRule>
  </conditionalFormatting>
  <conditionalFormatting sqref="D29:AY29">
    <cfRule type="cellIs" dxfId="104" priority="105" operator="notEqual">
      <formula>$B$2</formula>
    </cfRule>
  </conditionalFormatting>
  <conditionalFormatting sqref="D35:AY35">
    <cfRule type="expression" dxfId="103" priority="104">
      <formula>MOD(COLUMN(),2)=1</formula>
    </cfRule>
  </conditionalFormatting>
  <conditionalFormatting sqref="D35:AY35">
    <cfRule type="cellIs" dxfId="102" priority="103" operator="notEqual">
      <formula>$B$2</formula>
    </cfRule>
  </conditionalFormatting>
  <conditionalFormatting sqref="D35:AY35">
    <cfRule type="expression" dxfId="101" priority="102">
      <formula>MOD(COLUMN(),2)=1</formula>
    </cfRule>
  </conditionalFormatting>
  <conditionalFormatting sqref="D35:AY35">
    <cfRule type="cellIs" dxfId="100" priority="101" operator="notEqual">
      <formula>$B$2</formula>
    </cfRule>
  </conditionalFormatting>
  <conditionalFormatting sqref="D35:AY35">
    <cfRule type="expression" dxfId="99" priority="100">
      <formula>MOD(COLUMN(),2)=1</formula>
    </cfRule>
  </conditionalFormatting>
  <conditionalFormatting sqref="D35:AY35">
    <cfRule type="cellIs" dxfId="98" priority="99" operator="notEqual">
      <formula>$B$2</formula>
    </cfRule>
  </conditionalFormatting>
  <conditionalFormatting sqref="D35:AY35">
    <cfRule type="expression" dxfId="97" priority="98">
      <formula>MOD(COLUMN(),2)=1</formula>
    </cfRule>
  </conditionalFormatting>
  <conditionalFormatting sqref="D35:AY35">
    <cfRule type="cellIs" dxfId="96" priority="97" operator="notEqual">
      <formula>$B$2</formula>
    </cfRule>
  </conditionalFormatting>
  <conditionalFormatting sqref="D40:AY40">
    <cfRule type="expression" dxfId="95" priority="96">
      <formula>MOD(COLUMN(),2)=1</formula>
    </cfRule>
  </conditionalFormatting>
  <conditionalFormatting sqref="D40:AY40">
    <cfRule type="cellIs" dxfId="94" priority="95" operator="notEqual">
      <formula>$B$2</formula>
    </cfRule>
  </conditionalFormatting>
  <conditionalFormatting sqref="D40:AY40">
    <cfRule type="expression" dxfId="93" priority="94">
      <formula>MOD(COLUMN(),2)=1</formula>
    </cfRule>
  </conditionalFormatting>
  <conditionalFormatting sqref="D40:AY40">
    <cfRule type="cellIs" dxfId="92" priority="93" operator="notEqual">
      <formula>$B$2</formula>
    </cfRule>
  </conditionalFormatting>
  <conditionalFormatting sqref="D40:AY40">
    <cfRule type="expression" dxfId="91" priority="92">
      <formula>MOD(COLUMN(),2)=1</formula>
    </cfRule>
  </conditionalFormatting>
  <conditionalFormatting sqref="D40:AY40">
    <cfRule type="cellIs" dxfId="90" priority="91" operator="notEqual">
      <formula>$B$2</formula>
    </cfRule>
  </conditionalFormatting>
  <conditionalFormatting sqref="D40:AY40">
    <cfRule type="expression" dxfId="89" priority="90">
      <formula>MOD(COLUMN(),2)=1</formula>
    </cfRule>
  </conditionalFormatting>
  <conditionalFormatting sqref="D40:AY40">
    <cfRule type="cellIs" dxfId="88" priority="89" operator="notEqual">
      <formula>$B$2</formula>
    </cfRule>
  </conditionalFormatting>
  <conditionalFormatting sqref="D46:AY46">
    <cfRule type="expression" dxfId="87" priority="88">
      <formula>MOD(COLUMN(),2)=1</formula>
    </cfRule>
  </conditionalFormatting>
  <conditionalFormatting sqref="D46:AY46">
    <cfRule type="cellIs" dxfId="86" priority="87" operator="notEqual">
      <formula>$B$2</formula>
    </cfRule>
  </conditionalFormatting>
  <conditionalFormatting sqref="D46:AY46">
    <cfRule type="expression" dxfId="85" priority="86">
      <formula>MOD(COLUMN(),2)=1</formula>
    </cfRule>
  </conditionalFormatting>
  <conditionalFormatting sqref="D46:AY46">
    <cfRule type="cellIs" dxfId="84" priority="85" operator="notEqual">
      <formula>$B$2</formula>
    </cfRule>
  </conditionalFormatting>
  <conditionalFormatting sqref="D46:AY46">
    <cfRule type="expression" dxfId="83" priority="84">
      <formula>MOD(COLUMN(),2)=1</formula>
    </cfRule>
  </conditionalFormatting>
  <conditionalFormatting sqref="D46:AY46">
    <cfRule type="cellIs" dxfId="82" priority="83" operator="notEqual">
      <formula>$B$2</formula>
    </cfRule>
  </conditionalFormatting>
  <conditionalFormatting sqref="D46:AY46">
    <cfRule type="expression" dxfId="81" priority="82">
      <formula>MOD(COLUMN(),2)=1</formula>
    </cfRule>
  </conditionalFormatting>
  <conditionalFormatting sqref="D46:AY46">
    <cfRule type="cellIs" dxfId="80" priority="81" operator="notEqual">
      <formula>$B$2</formula>
    </cfRule>
  </conditionalFormatting>
  <conditionalFormatting sqref="D52:AY52">
    <cfRule type="expression" dxfId="79" priority="80">
      <formula>MOD(COLUMN(),2)=1</formula>
    </cfRule>
  </conditionalFormatting>
  <conditionalFormatting sqref="D52:AY52">
    <cfRule type="cellIs" dxfId="78" priority="79" operator="notEqual">
      <formula>$B$2</formula>
    </cfRule>
  </conditionalFormatting>
  <conditionalFormatting sqref="D52:AY52">
    <cfRule type="expression" dxfId="77" priority="78">
      <formula>MOD(COLUMN(),2)=1</formula>
    </cfRule>
  </conditionalFormatting>
  <conditionalFormatting sqref="D52:AY52">
    <cfRule type="cellIs" dxfId="76" priority="77" operator="notEqual">
      <formula>$B$2</formula>
    </cfRule>
  </conditionalFormatting>
  <conditionalFormatting sqref="D52:AY52">
    <cfRule type="expression" dxfId="75" priority="76">
      <formula>MOD(COLUMN(),2)=1</formula>
    </cfRule>
  </conditionalFormatting>
  <conditionalFormatting sqref="D52:AY52">
    <cfRule type="cellIs" dxfId="74" priority="75" operator="notEqual">
      <formula>$B$2</formula>
    </cfRule>
  </conditionalFormatting>
  <conditionalFormatting sqref="D52:AY52">
    <cfRule type="expression" dxfId="73" priority="74">
      <formula>MOD(COLUMN(),2)=1</formula>
    </cfRule>
  </conditionalFormatting>
  <conditionalFormatting sqref="D52:AY52">
    <cfRule type="cellIs" dxfId="72" priority="73" operator="notEqual">
      <formula>$B$2</formula>
    </cfRule>
  </conditionalFormatting>
  <conditionalFormatting sqref="D8:AY8">
    <cfRule type="expression" dxfId="71" priority="72">
      <formula>MOD(COLUMN(),2)=1</formula>
    </cfRule>
  </conditionalFormatting>
  <conditionalFormatting sqref="D8:AY8">
    <cfRule type="cellIs" dxfId="70" priority="71" operator="notEqual">
      <formula>$B$2</formula>
    </cfRule>
  </conditionalFormatting>
  <conditionalFormatting sqref="D8:AY8">
    <cfRule type="expression" dxfId="69" priority="70">
      <formula>MOD(COLUMN(),2)=1</formula>
    </cfRule>
  </conditionalFormatting>
  <conditionalFormatting sqref="D8:AY8">
    <cfRule type="cellIs" dxfId="68" priority="69" operator="notEqual">
      <formula>$B$2</formula>
    </cfRule>
  </conditionalFormatting>
  <conditionalFormatting sqref="D8:AY8">
    <cfRule type="expression" dxfId="67" priority="68">
      <formula>MOD(COLUMN(),2)=1</formula>
    </cfRule>
  </conditionalFormatting>
  <conditionalFormatting sqref="D8:AY8">
    <cfRule type="cellIs" dxfId="66" priority="67" operator="notEqual">
      <formula>$B$2</formula>
    </cfRule>
  </conditionalFormatting>
  <conditionalFormatting sqref="D8:AY8">
    <cfRule type="expression" dxfId="65" priority="66">
      <formula>MOD(COLUMN(),2)=1</formula>
    </cfRule>
  </conditionalFormatting>
  <conditionalFormatting sqref="D8:AY8">
    <cfRule type="cellIs" dxfId="64" priority="65" operator="notEqual">
      <formula>$B$2</formula>
    </cfRule>
  </conditionalFormatting>
  <conditionalFormatting sqref="D9:D11">
    <cfRule type="expression" dxfId="63" priority="64">
      <formula>MOD(COLUMN(),2)=1</formula>
    </cfRule>
  </conditionalFormatting>
  <conditionalFormatting sqref="D9:D11">
    <cfRule type="expression" dxfId="62" priority="63">
      <formula>MOD(COLUMN(),2)=1</formula>
    </cfRule>
  </conditionalFormatting>
  <conditionalFormatting sqref="D9:D11">
    <cfRule type="expression" dxfId="61" priority="62">
      <formula>MOD(COLUMN(),2)=1</formula>
    </cfRule>
  </conditionalFormatting>
  <conditionalFormatting sqref="D9:D11">
    <cfRule type="expression" dxfId="60" priority="61">
      <formula>MOD(COLUMN(),2)=1</formula>
    </cfRule>
  </conditionalFormatting>
  <conditionalFormatting sqref="D15:D17">
    <cfRule type="expression" dxfId="59" priority="60">
      <formula>MOD(COLUMN(),2)=1</formula>
    </cfRule>
  </conditionalFormatting>
  <conditionalFormatting sqref="D15:D17">
    <cfRule type="expression" dxfId="58" priority="59">
      <formula>MOD(COLUMN(),2)=1</formula>
    </cfRule>
  </conditionalFormatting>
  <conditionalFormatting sqref="D15:D17">
    <cfRule type="expression" dxfId="57" priority="58">
      <formula>MOD(COLUMN(),2)=1</formula>
    </cfRule>
  </conditionalFormatting>
  <conditionalFormatting sqref="D15:D17">
    <cfRule type="expression" dxfId="56" priority="57">
      <formula>MOD(COLUMN(),2)=1</formula>
    </cfRule>
  </conditionalFormatting>
  <conditionalFormatting sqref="D24:D26">
    <cfRule type="expression" dxfId="55" priority="56">
      <formula>MOD(COLUMN(),2)=1</formula>
    </cfRule>
  </conditionalFormatting>
  <conditionalFormatting sqref="D24:D26">
    <cfRule type="expression" dxfId="54" priority="55">
      <formula>MOD(COLUMN(),2)=1</formula>
    </cfRule>
  </conditionalFormatting>
  <conditionalFormatting sqref="D24:D26">
    <cfRule type="expression" dxfId="53" priority="54">
      <formula>MOD(COLUMN(),2)=1</formula>
    </cfRule>
  </conditionalFormatting>
  <conditionalFormatting sqref="D24:D26">
    <cfRule type="expression" dxfId="52" priority="53">
      <formula>MOD(COLUMN(),2)=1</formula>
    </cfRule>
  </conditionalFormatting>
  <conditionalFormatting sqref="D30:D32">
    <cfRule type="expression" dxfId="51" priority="52">
      <formula>MOD(COLUMN(),2)=1</formula>
    </cfRule>
  </conditionalFormatting>
  <conditionalFormatting sqref="D30:D32">
    <cfRule type="expression" dxfId="50" priority="51">
      <formula>MOD(COLUMN(),2)=1</formula>
    </cfRule>
  </conditionalFormatting>
  <conditionalFormatting sqref="D30:D32">
    <cfRule type="expression" dxfId="49" priority="50">
      <formula>MOD(COLUMN(),2)=1</formula>
    </cfRule>
  </conditionalFormatting>
  <conditionalFormatting sqref="D30:D32">
    <cfRule type="expression" dxfId="48" priority="49">
      <formula>MOD(COLUMN(),2)=1</formula>
    </cfRule>
  </conditionalFormatting>
  <conditionalFormatting sqref="D36:D38">
    <cfRule type="expression" dxfId="47" priority="48">
      <formula>MOD(COLUMN(),2)=1</formula>
    </cfRule>
  </conditionalFormatting>
  <conditionalFormatting sqref="D36:D38">
    <cfRule type="expression" dxfId="46" priority="47">
      <formula>MOD(COLUMN(),2)=1</formula>
    </cfRule>
  </conditionalFormatting>
  <conditionalFormatting sqref="D36:D38">
    <cfRule type="expression" dxfId="45" priority="46">
      <formula>MOD(COLUMN(),2)=1</formula>
    </cfRule>
  </conditionalFormatting>
  <conditionalFormatting sqref="D36:D38">
    <cfRule type="expression" dxfId="44" priority="45">
      <formula>MOD(COLUMN(),2)=1</formula>
    </cfRule>
  </conditionalFormatting>
  <conditionalFormatting sqref="D41:D43">
    <cfRule type="expression" dxfId="43" priority="44">
      <formula>MOD(COLUMN(),2)=1</formula>
    </cfRule>
  </conditionalFormatting>
  <conditionalFormatting sqref="D41:D43">
    <cfRule type="expression" dxfId="42" priority="43">
      <formula>MOD(COLUMN(),2)=1</formula>
    </cfRule>
  </conditionalFormatting>
  <conditionalFormatting sqref="D41:D43">
    <cfRule type="expression" dxfId="41" priority="42">
      <formula>MOD(COLUMN(),2)=1</formula>
    </cfRule>
  </conditionalFormatting>
  <conditionalFormatting sqref="D41:D43">
    <cfRule type="expression" dxfId="40" priority="41">
      <formula>MOD(COLUMN(),2)=1</formula>
    </cfRule>
  </conditionalFormatting>
  <conditionalFormatting sqref="D47:D49">
    <cfRule type="expression" dxfId="39" priority="40">
      <formula>MOD(COLUMN(),2)=1</formula>
    </cfRule>
  </conditionalFormatting>
  <conditionalFormatting sqref="D47:D49">
    <cfRule type="expression" dxfId="38" priority="39">
      <formula>MOD(COLUMN(),2)=1</formula>
    </cfRule>
  </conditionalFormatting>
  <conditionalFormatting sqref="D47:D49">
    <cfRule type="expression" dxfId="37" priority="38">
      <formula>MOD(COLUMN(),2)=1</formula>
    </cfRule>
  </conditionalFormatting>
  <conditionalFormatting sqref="D47:D49">
    <cfRule type="expression" dxfId="36" priority="37">
      <formula>MOD(COLUMN(),2)=1</formula>
    </cfRule>
  </conditionalFormatting>
  <conditionalFormatting sqref="E9:E13">
    <cfRule type="expression" dxfId="35" priority="36">
      <formula>MOD(COLUMN(),2)=1</formula>
    </cfRule>
  </conditionalFormatting>
  <conditionalFormatting sqref="E9:E13">
    <cfRule type="expression" dxfId="34" priority="35">
      <formula>MOD(COLUMN(),2)=1</formula>
    </cfRule>
  </conditionalFormatting>
  <conditionalFormatting sqref="E9:E13">
    <cfRule type="expression" dxfId="33" priority="34">
      <formula>MOD(COLUMN(),2)=1</formula>
    </cfRule>
  </conditionalFormatting>
  <conditionalFormatting sqref="E9:E13">
    <cfRule type="expression" dxfId="32" priority="33">
      <formula>MOD(COLUMN(),2)=1</formula>
    </cfRule>
  </conditionalFormatting>
  <conditionalFormatting sqref="E9:AY11">
    <cfRule type="expression" dxfId="31" priority="32">
      <formula>MOD(COLUMN(),2)=1</formula>
    </cfRule>
  </conditionalFormatting>
  <conditionalFormatting sqref="E9:AY11">
    <cfRule type="expression" dxfId="30" priority="31">
      <formula>MOD(COLUMN(),2)=1</formula>
    </cfRule>
  </conditionalFormatting>
  <conditionalFormatting sqref="E9:AY11">
    <cfRule type="expression" dxfId="29" priority="30">
      <formula>MOD(COLUMN(),2)=1</formula>
    </cfRule>
  </conditionalFormatting>
  <conditionalFormatting sqref="E9:AY11">
    <cfRule type="expression" dxfId="28" priority="29">
      <formula>MOD(COLUMN(),2)=1</formula>
    </cfRule>
  </conditionalFormatting>
  <conditionalFormatting sqref="E15:AY17">
    <cfRule type="expression" dxfId="27" priority="28">
      <formula>MOD(COLUMN(),2)=1</formula>
    </cfRule>
  </conditionalFormatting>
  <conditionalFormatting sqref="E15:AY17">
    <cfRule type="expression" dxfId="26" priority="27">
      <formula>MOD(COLUMN(),2)=1</formula>
    </cfRule>
  </conditionalFormatting>
  <conditionalFormatting sqref="E15:AY17">
    <cfRule type="expression" dxfId="25" priority="26">
      <formula>MOD(COLUMN(),2)=1</formula>
    </cfRule>
  </conditionalFormatting>
  <conditionalFormatting sqref="E15:AY17">
    <cfRule type="expression" dxfId="24" priority="25">
      <formula>MOD(COLUMN(),2)=1</formula>
    </cfRule>
  </conditionalFormatting>
  <conditionalFormatting sqref="E24:AY26">
    <cfRule type="expression" dxfId="23" priority="24">
      <formula>MOD(COLUMN(),2)=1</formula>
    </cfRule>
  </conditionalFormatting>
  <conditionalFormatting sqref="E24:AY26">
    <cfRule type="expression" dxfId="22" priority="23">
      <formula>MOD(COLUMN(),2)=1</formula>
    </cfRule>
  </conditionalFormatting>
  <conditionalFormatting sqref="E24:AY26">
    <cfRule type="expression" dxfId="21" priority="22">
      <formula>MOD(COLUMN(),2)=1</formula>
    </cfRule>
  </conditionalFormatting>
  <conditionalFormatting sqref="E24:AY26">
    <cfRule type="expression" dxfId="20" priority="21">
      <formula>MOD(COLUMN(),2)=1</formula>
    </cfRule>
  </conditionalFormatting>
  <conditionalFormatting sqref="E30:AY32">
    <cfRule type="expression" dxfId="19" priority="20">
      <formula>MOD(COLUMN(),2)=1</formula>
    </cfRule>
  </conditionalFormatting>
  <conditionalFormatting sqref="E30:AY32">
    <cfRule type="expression" dxfId="18" priority="19">
      <formula>MOD(COLUMN(),2)=1</formula>
    </cfRule>
  </conditionalFormatting>
  <conditionalFormatting sqref="E30:AY32">
    <cfRule type="expression" dxfId="17" priority="18">
      <formula>MOD(COLUMN(),2)=1</formula>
    </cfRule>
  </conditionalFormatting>
  <conditionalFormatting sqref="E30:AY32">
    <cfRule type="expression" dxfId="16" priority="17">
      <formula>MOD(COLUMN(),2)=1</formula>
    </cfRule>
  </conditionalFormatting>
  <conditionalFormatting sqref="E36:AY38">
    <cfRule type="expression" dxfId="15" priority="16">
      <formula>MOD(COLUMN(),2)=1</formula>
    </cfRule>
  </conditionalFormatting>
  <conditionalFormatting sqref="E36:AY38">
    <cfRule type="expression" dxfId="14" priority="15">
      <formula>MOD(COLUMN(),2)=1</formula>
    </cfRule>
  </conditionalFormatting>
  <conditionalFormatting sqref="E36:AY38">
    <cfRule type="expression" dxfId="13" priority="14">
      <formula>MOD(COLUMN(),2)=1</formula>
    </cfRule>
  </conditionalFormatting>
  <conditionalFormatting sqref="E36:AY38">
    <cfRule type="expression" dxfId="12" priority="13">
      <formula>MOD(COLUMN(),2)=1</formula>
    </cfRule>
  </conditionalFormatting>
  <conditionalFormatting sqref="E41:AY43">
    <cfRule type="expression" dxfId="11" priority="12">
      <formula>MOD(COLUMN(),2)=1</formula>
    </cfRule>
  </conditionalFormatting>
  <conditionalFormatting sqref="E41:AY43">
    <cfRule type="expression" dxfId="10" priority="11">
      <formula>MOD(COLUMN(),2)=1</formula>
    </cfRule>
  </conditionalFormatting>
  <conditionalFormatting sqref="E41:AY43">
    <cfRule type="expression" dxfId="9" priority="10">
      <formula>MOD(COLUMN(),2)=1</formula>
    </cfRule>
  </conditionalFormatting>
  <conditionalFormatting sqref="E41:AY43">
    <cfRule type="expression" dxfId="8" priority="9">
      <formula>MOD(COLUMN(),2)=1</formula>
    </cfRule>
  </conditionalFormatting>
  <conditionalFormatting sqref="D47:D49">
    <cfRule type="expression" dxfId="7" priority="8">
      <formula>MOD(COLUMN(),2)=1</formula>
    </cfRule>
  </conditionalFormatting>
  <conditionalFormatting sqref="D47:D49">
    <cfRule type="expression" dxfId="6" priority="7">
      <formula>MOD(COLUMN(),2)=1</formula>
    </cfRule>
  </conditionalFormatting>
  <conditionalFormatting sqref="D47:D49">
    <cfRule type="expression" dxfId="5" priority="6">
      <formula>MOD(COLUMN(),2)=1</formula>
    </cfRule>
  </conditionalFormatting>
  <conditionalFormatting sqref="D47:D49">
    <cfRule type="expression" dxfId="4" priority="5">
      <formula>MOD(COLUMN(),2)=1</formula>
    </cfRule>
  </conditionalFormatting>
  <conditionalFormatting sqref="E47:AY49">
    <cfRule type="expression" dxfId="3" priority="4">
      <formula>MOD(COLUMN(),2)=1</formula>
    </cfRule>
  </conditionalFormatting>
  <conditionalFormatting sqref="E47:AY49">
    <cfRule type="expression" dxfId="2" priority="3">
      <formula>MOD(COLUMN(),2)=1</formula>
    </cfRule>
  </conditionalFormatting>
  <conditionalFormatting sqref="E47:AY49">
    <cfRule type="expression" dxfId="1" priority="2">
      <formula>MOD(COLUMN(),2)=1</formula>
    </cfRule>
  </conditionalFormatting>
  <conditionalFormatting sqref="E47:AY49">
    <cfRule type="expression" dxfId="0" priority="1">
      <formula>MOD(COLUMN(),2)=1</formula>
    </cfRule>
  </conditionalFormatting>
  <dataValidations count="1">
    <dataValidation type="whole" allowBlank="1" showInputMessage="1" showErrorMessage="1" errorTitle="STOP" error="ANGKA YANG DIMASUKAN MELEBIHI 4" prompt="4 =  Selalu&#10;3 = Sering&#10;2 = Kadang2&#10;1 = Tidak Pernah" sqref="D3:AY7 D47:AY51 D41:AY45 D36:AY39 D30:AY34 D24:AY28 D15:AY22 D9:AY13">
      <formula1>1</formula1>
      <formula2>4</formula2>
    </dataValidation>
  </dataValidation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sheetPr codeName="Sheet18"/>
  <dimension ref="A1:I52"/>
  <sheetViews>
    <sheetView workbookViewId="0">
      <pane xSplit="5" ySplit="4" topLeftCell="F5" activePane="bottomRight" state="frozen"/>
      <selection pane="topRight" activeCell="F1" sqref="F1"/>
      <selection pane="bottomLeft" activeCell="A5" sqref="A5"/>
      <selection pane="bottomRight" sqref="A1:A3"/>
    </sheetView>
  </sheetViews>
  <sheetFormatPr defaultRowHeight="15"/>
  <cols>
    <col min="1" max="1" width="4.85546875" style="95" customWidth="1"/>
    <col min="2" max="2" width="7.140625" style="95" customWidth="1"/>
    <col min="3" max="3" width="32.5703125" style="95" customWidth="1"/>
    <col min="4" max="5" width="5.28515625" style="95" customWidth="1"/>
    <col min="6" max="6" width="8.85546875" style="95" customWidth="1"/>
    <col min="7" max="7" width="47.140625" style="95" customWidth="1"/>
    <col min="8" max="8" width="20.5703125" style="95" customWidth="1"/>
    <col min="9" max="9" width="15.28515625" style="95" customWidth="1"/>
    <col min="10" max="16384" width="9.140625" style="95"/>
  </cols>
  <sheetData>
    <row r="1" spans="1:9" ht="15" customHeight="1">
      <c r="A1" s="494" t="s">
        <v>15</v>
      </c>
      <c r="B1" s="494" t="s">
        <v>16</v>
      </c>
      <c r="C1" s="497" t="s">
        <v>0</v>
      </c>
      <c r="D1" s="498" t="s">
        <v>1</v>
      </c>
      <c r="E1" s="644" t="s">
        <v>17</v>
      </c>
      <c r="F1" s="643" t="s">
        <v>469</v>
      </c>
      <c r="G1" s="643"/>
      <c r="H1" s="643"/>
      <c r="I1" s="643"/>
    </row>
    <row r="2" spans="1:9" ht="15" customHeight="1">
      <c r="A2" s="495"/>
      <c r="B2" s="495"/>
      <c r="C2" s="497"/>
      <c r="D2" s="498"/>
      <c r="E2" s="645"/>
      <c r="F2" s="643"/>
      <c r="G2" s="643"/>
      <c r="H2" s="643"/>
      <c r="I2" s="643"/>
    </row>
    <row r="3" spans="1:9" s="98" customFormat="1" ht="63.75" customHeight="1">
      <c r="A3" s="496"/>
      <c r="B3" s="496"/>
      <c r="C3" s="497"/>
      <c r="D3" s="498"/>
      <c r="E3" s="646"/>
      <c r="F3" s="331" t="s">
        <v>470</v>
      </c>
      <c r="G3" s="331" t="s">
        <v>466</v>
      </c>
      <c r="H3" s="331" t="s">
        <v>467</v>
      </c>
      <c r="I3" s="331" t="s">
        <v>468</v>
      </c>
    </row>
    <row r="4" spans="1:9">
      <c r="A4" s="99">
        <v>1</v>
      </c>
      <c r="B4" s="99">
        <v>2</v>
      </c>
      <c r="C4" s="99">
        <v>3</v>
      </c>
      <c r="D4" s="99">
        <v>4</v>
      </c>
      <c r="E4" s="156">
        <v>5</v>
      </c>
      <c r="F4" s="99">
        <v>6</v>
      </c>
      <c r="G4" s="99">
        <v>7</v>
      </c>
      <c r="H4" s="99">
        <v>8</v>
      </c>
      <c r="I4" s="99">
        <v>9</v>
      </c>
    </row>
    <row r="5" spans="1:9" ht="17.25" customHeight="1">
      <c r="A5" s="107">
        <f>'DATA SISWA'!A5</f>
        <v>1</v>
      </c>
      <c r="B5" s="107" t="str">
        <f>'DATA SISWA'!B5</f>
        <v>7643</v>
      </c>
      <c r="C5" s="116" t="str">
        <f>'DATA SISWA'!C5</f>
        <v>ABD MANNAN</v>
      </c>
      <c r="D5" s="107" t="str">
        <f>'DATA SISWA'!D5</f>
        <v>L</v>
      </c>
      <c r="E5" s="330" t="str">
        <f>'DATA SISWA'!E5</f>
        <v>VII-J</v>
      </c>
      <c r="F5" s="129"/>
      <c r="G5" s="129"/>
      <c r="H5" s="101"/>
      <c r="I5" s="101"/>
    </row>
    <row r="6" spans="1:9" ht="18" customHeight="1">
      <c r="A6" s="107">
        <f>'DATA SISWA'!A6</f>
        <v>2</v>
      </c>
      <c r="B6" s="107">
        <f>'DATA SISWA'!B6</f>
        <v>0</v>
      </c>
      <c r="C6" s="116">
        <f>'DATA SISWA'!C6</f>
        <v>0</v>
      </c>
      <c r="D6" s="107">
        <f>'DATA SISWA'!D6</f>
        <v>0</v>
      </c>
      <c r="E6" s="330" t="str">
        <f>'DATA SISWA'!E6</f>
        <v>VII-J</v>
      </c>
      <c r="F6" s="129"/>
      <c r="G6" s="129"/>
      <c r="H6" s="101"/>
      <c r="I6" s="101"/>
    </row>
    <row r="7" spans="1:9">
      <c r="A7" s="107">
        <f>'DATA SISWA'!A7</f>
        <v>3</v>
      </c>
      <c r="B7" s="107" t="str">
        <f>'DATA SISWA'!B7</f>
        <v>7645</v>
      </c>
      <c r="C7" s="116" t="str">
        <f>'DATA SISWA'!C7</f>
        <v>ACHMAD ALFARESI</v>
      </c>
      <c r="D7" s="107" t="str">
        <f>'DATA SISWA'!D7</f>
        <v>L</v>
      </c>
      <c r="E7" s="330" t="str">
        <f>'DATA SISWA'!E7</f>
        <v>VII-J</v>
      </c>
      <c r="F7" s="129"/>
      <c r="G7" s="129"/>
      <c r="H7" s="101"/>
      <c r="I7" s="101"/>
    </row>
    <row r="8" spans="1:9">
      <c r="A8" s="107">
        <f>'DATA SISWA'!A8</f>
        <v>4</v>
      </c>
      <c r="B8" s="107" t="str">
        <f>'DATA SISWA'!B8</f>
        <v>7674</v>
      </c>
      <c r="C8" s="116" t="str">
        <f>'DATA SISWA'!C8</f>
        <v>AGITA ZAHRAH MUFIDAH</v>
      </c>
      <c r="D8" s="107" t="str">
        <f>'DATA SISWA'!D8</f>
        <v>P</v>
      </c>
      <c r="E8" s="330" t="str">
        <f>'DATA SISWA'!E8</f>
        <v>VII-J</v>
      </c>
      <c r="F8" s="129"/>
      <c r="G8" s="129"/>
      <c r="H8" s="101"/>
      <c r="I8" s="101"/>
    </row>
    <row r="9" spans="1:9">
      <c r="A9" s="107">
        <f>'DATA SISWA'!A9</f>
        <v>5</v>
      </c>
      <c r="B9" s="107" t="str">
        <f>'DATA SISWA'!B9</f>
        <v>7646</v>
      </c>
      <c r="C9" s="116" t="str">
        <f>'DATA SISWA'!C9</f>
        <v>AHMAD HAMBALI</v>
      </c>
      <c r="D9" s="107" t="str">
        <f>'DATA SISWA'!D9</f>
        <v>L</v>
      </c>
      <c r="E9" s="330" t="str">
        <f>'DATA SISWA'!E9</f>
        <v>VII-J</v>
      </c>
      <c r="F9" s="129"/>
      <c r="G9" s="129"/>
      <c r="H9" s="101"/>
      <c r="I9" s="101"/>
    </row>
    <row r="10" spans="1:9">
      <c r="A10" s="107">
        <f>'DATA SISWA'!A10</f>
        <v>6</v>
      </c>
      <c r="B10" s="107" t="str">
        <f>'DATA SISWA'!B10</f>
        <v>7647</v>
      </c>
      <c r="C10" s="116" t="str">
        <f>'DATA SISWA'!C10</f>
        <v>AHMADI</v>
      </c>
      <c r="D10" s="107" t="str">
        <f>'DATA SISWA'!D10</f>
        <v>L</v>
      </c>
      <c r="E10" s="330" t="str">
        <f>'DATA SISWA'!E10</f>
        <v>VII-J</v>
      </c>
      <c r="F10" s="129"/>
      <c r="G10" s="129"/>
      <c r="H10" s="101"/>
      <c r="I10" s="101"/>
    </row>
    <row r="11" spans="1:9">
      <c r="A11" s="107">
        <f>'DATA SISWA'!A11</f>
        <v>7</v>
      </c>
      <c r="B11" s="107" t="str">
        <f>'DATA SISWA'!B11</f>
        <v>7648</v>
      </c>
      <c r="C11" s="116" t="str">
        <f>'DATA SISWA'!C11</f>
        <v xml:space="preserve">AINUR ROFIK </v>
      </c>
      <c r="D11" s="107" t="str">
        <f>'DATA SISWA'!D11</f>
        <v>L</v>
      </c>
      <c r="E11" s="330" t="str">
        <f>'DATA SISWA'!E11</f>
        <v>VII-J</v>
      </c>
      <c r="F11" s="129"/>
      <c r="G11" s="129"/>
      <c r="H11" s="101"/>
      <c r="I11" s="101"/>
    </row>
    <row r="12" spans="1:9">
      <c r="A12" s="107">
        <f>'DATA SISWA'!A12</f>
        <v>8</v>
      </c>
      <c r="B12" s="107" t="str">
        <f>'DATA SISWA'!B12</f>
        <v>7377</v>
      </c>
      <c r="C12" s="116" t="str">
        <f>'DATA SISWA'!C12</f>
        <v>AT-THORIQ BINTANG PRAJA</v>
      </c>
      <c r="D12" s="107" t="str">
        <f>'DATA SISWA'!D12</f>
        <v>L</v>
      </c>
      <c r="E12" s="330" t="str">
        <f>'DATA SISWA'!E12</f>
        <v>VII-J</v>
      </c>
      <c r="F12" s="129"/>
      <c r="G12" s="129"/>
      <c r="H12" s="101"/>
      <c r="I12" s="101"/>
    </row>
    <row r="13" spans="1:9">
      <c r="A13" s="107">
        <f>'DATA SISWA'!A13</f>
        <v>9</v>
      </c>
      <c r="B13" s="107" t="str">
        <f>'DATA SISWA'!B13</f>
        <v>7649</v>
      </c>
      <c r="C13" s="116" t="str">
        <f>'DATA SISWA'!C13</f>
        <v>DEWI WULANDARI</v>
      </c>
      <c r="D13" s="107" t="str">
        <f>'DATA SISWA'!D13</f>
        <v>P</v>
      </c>
      <c r="E13" s="330" t="str">
        <f>'DATA SISWA'!E13</f>
        <v>VII-J</v>
      </c>
      <c r="F13" s="129"/>
      <c r="G13" s="129"/>
      <c r="H13" s="101"/>
      <c r="I13" s="101"/>
    </row>
    <row r="14" spans="1:9">
      <c r="A14" s="107">
        <f>'DATA SISWA'!A14</f>
        <v>10</v>
      </c>
      <c r="B14" s="107" t="str">
        <f>'DATA SISWA'!B14</f>
        <v>7650</v>
      </c>
      <c r="C14" s="116" t="str">
        <f>'DATA SISWA'!C14</f>
        <v>ENI UMAMAH</v>
      </c>
      <c r="D14" s="107" t="str">
        <f>'DATA SISWA'!D14</f>
        <v>P</v>
      </c>
      <c r="E14" s="330" t="str">
        <f>'DATA SISWA'!E14</f>
        <v>VII-J</v>
      </c>
      <c r="F14" s="129"/>
      <c r="G14" s="129"/>
      <c r="H14" s="101"/>
      <c r="I14" s="101"/>
    </row>
    <row r="15" spans="1:9">
      <c r="A15" s="107">
        <f>'DATA SISWA'!A15</f>
        <v>11</v>
      </c>
      <c r="B15" s="107" t="str">
        <f>'DATA SISWA'!B15</f>
        <v>7651</v>
      </c>
      <c r="C15" s="116" t="str">
        <f>'DATA SISWA'!C15</f>
        <v>FADIA FASSA</v>
      </c>
      <c r="D15" s="107" t="str">
        <f>'DATA SISWA'!D15</f>
        <v>P</v>
      </c>
      <c r="E15" s="330" t="str">
        <f>'DATA SISWA'!E15</f>
        <v>VII-J</v>
      </c>
      <c r="F15" s="129"/>
      <c r="G15" s="129"/>
      <c r="H15" s="101"/>
      <c r="I15" s="101"/>
    </row>
    <row r="16" spans="1:9">
      <c r="A16" s="107">
        <f>'DATA SISWA'!A16</f>
        <v>12</v>
      </c>
      <c r="B16" s="107" t="str">
        <f>'DATA SISWA'!B16</f>
        <v>7652</v>
      </c>
      <c r="C16" s="116" t="str">
        <f>'DATA SISWA'!C16</f>
        <v>FATIMATUZ  ZAHROH</v>
      </c>
      <c r="D16" s="107" t="str">
        <f>'DATA SISWA'!D16</f>
        <v>P</v>
      </c>
      <c r="E16" s="330" t="str">
        <f>'DATA SISWA'!E16</f>
        <v>VII-J</v>
      </c>
      <c r="F16" s="129"/>
      <c r="G16" s="129"/>
      <c r="H16" s="101"/>
      <c r="I16" s="101"/>
    </row>
    <row r="17" spans="1:9">
      <c r="A17" s="107">
        <f>'DATA SISWA'!A17</f>
        <v>13</v>
      </c>
      <c r="B17" s="107" t="str">
        <f>'DATA SISWA'!B17</f>
        <v>7653</v>
      </c>
      <c r="C17" s="116" t="str">
        <f>'DATA SISWA'!C17</f>
        <v>IMAM FATONI</v>
      </c>
      <c r="D17" s="107" t="str">
        <f>'DATA SISWA'!D17</f>
        <v>L</v>
      </c>
      <c r="E17" s="330" t="str">
        <f>'DATA SISWA'!E17</f>
        <v>VII-J</v>
      </c>
      <c r="F17" s="129"/>
      <c r="G17" s="129"/>
      <c r="H17" s="101"/>
      <c r="I17" s="101"/>
    </row>
    <row r="18" spans="1:9">
      <c r="A18" s="107">
        <f>'DATA SISWA'!A18</f>
        <v>14</v>
      </c>
      <c r="B18" s="107" t="str">
        <f>'DATA SISWA'!B18</f>
        <v>7654</v>
      </c>
      <c r="C18" s="116" t="str">
        <f>'DATA SISWA'!C18</f>
        <v>ISMA SRI WAHYUNI</v>
      </c>
      <c r="D18" s="107" t="str">
        <f>'DATA SISWA'!D18</f>
        <v>P</v>
      </c>
      <c r="E18" s="330" t="str">
        <f>'DATA SISWA'!E18</f>
        <v>VII-J</v>
      </c>
      <c r="F18" s="129"/>
      <c r="G18" s="129"/>
      <c r="H18" s="101"/>
      <c r="I18" s="101"/>
    </row>
    <row r="19" spans="1:9">
      <c r="A19" s="107">
        <f>'DATA SISWA'!A19</f>
        <v>15</v>
      </c>
      <c r="B19" s="107" t="str">
        <f>'DATA SISWA'!B19</f>
        <v>7655</v>
      </c>
      <c r="C19" s="116" t="str">
        <f>'DATA SISWA'!C19</f>
        <v>JAKFAR SODIK ROMADHONI</v>
      </c>
      <c r="D19" s="107" t="str">
        <f>'DATA SISWA'!D19</f>
        <v>L</v>
      </c>
      <c r="E19" s="330" t="str">
        <f>'DATA SISWA'!E19</f>
        <v>VII-J</v>
      </c>
      <c r="F19" s="129"/>
      <c r="G19" s="129"/>
      <c r="H19" s="101"/>
      <c r="I19" s="101"/>
    </row>
    <row r="20" spans="1:9">
      <c r="A20" s="107">
        <f>'DATA SISWA'!A20</f>
        <v>16</v>
      </c>
      <c r="B20" s="107" t="str">
        <f>'DATA SISWA'!B20</f>
        <v>7656</v>
      </c>
      <c r="C20" s="116" t="str">
        <f>'DATA SISWA'!C20</f>
        <v>KHOIRIL NISA'</v>
      </c>
      <c r="D20" s="107" t="str">
        <f>'DATA SISWA'!D20</f>
        <v>P</v>
      </c>
      <c r="E20" s="330" t="str">
        <f>'DATA SISWA'!E20</f>
        <v>VII-J</v>
      </c>
      <c r="F20" s="129"/>
      <c r="G20" s="129"/>
      <c r="H20" s="101"/>
      <c r="I20" s="101"/>
    </row>
    <row r="21" spans="1:9">
      <c r="A21" s="107">
        <f>'DATA SISWA'!A21</f>
        <v>17</v>
      </c>
      <c r="B21" s="107" t="str">
        <f>'DATA SISWA'!B21</f>
        <v>7657</v>
      </c>
      <c r="C21" s="116" t="str">
        <f>'DATA SISWA'!C21</f>
        <v>LATIFA MAHARANI</v>
      </c>
      <c r="D21" s="107" t="str">
        <f>'DATA SISWA'!D21</f>
        <v>P</v>
      </c>
      <c r="E21" s="330" t="str">
        <f>'DATA SISWA'!E21</f>
        <v>VII-J</v>
      </c>
      <c r="F21" s="129"/>
      <c r="G21" s="129"/>
      <c r="H21" s="101"/>
      <c r="I21" s="101"/>
    </row>
    <row r="22" spans="1:9">
      <c r="A22" s="107">
        <f>'DATA SISWA'!A22</f>
        <v>18</v>
      </c>
      <c r="B22" s="107" t="str">
        <f>'DATA SISWA'!B22</f>
        <v>7658</v>
      </c>
      <c r="C22" s="116" t="str">
        <f>'DATA SISWA'!C22</f>
        <v>LUQMANUL FIKRI SYAIFULLAH</v>
      </c>
      <c r="D22" s="107" t="str">
        <f>'DATA SISWA'!D22</f>
        <v>L</v>
      </c>
      <c r="E22" s="330" t="str">
        <f>'DATA SISWA'!E22</f>
        <v>VII-J</v>
      </c>
      <c r="F22" s="129"/>
      <c r="G22" s="129"/>
      <c r="H22" s="101"/>
      <c r="I22" s="101"/>
    </row>
    <row r="23" spans="1:9">
      <c r="A23" s="107">
        <f>'DATA SISWA'!A23</f>
        <v>19</v>
      </c>
      <c r="B23" s="107" t="str">
        <f>'DATA SISWA'!B23</f>
        <v>7659</v>
      </c>
      <c r="C23" s="116" t="str">
        <f>'DATA SISWA'!C23</f>
        <v>MAR'ATUS SOLEHAH</v>
      </c>
      <c r="D23" s="107" t="str">
        <f>'DATA SISWA'!D23</f>
        <v>P</v>
      </c>
      <c r="E23" s="330" t="str">
        <f>'DATA SISWA'!E23</f>
        <v>VII-J</v>
      </c>
      <c r="F23" s="129"/>
      <c r="G23" s="129"/>
      <c r="H23" s="101"/>
      <c r="I23" s="101"/>
    </row>
    <row r="24" spans="1:9">
      <c r="A24" s="107">
        <f>'DATA SISWA'!A24</f>
        <v>20</v>
      </c>
      <c r="B24" s="107" t="str">
        <f>'DATA SISWA'!B24</f>
        <v>7660</v>
      </c>
      <c r="C24" s="116" t="str">
        <f>'DATA SISWA'!C24</f>
        <v>MOCH.  SHOLEH W. H</v>
      </c>
      <c r="D24" s="107" t="str">
        <f>'DATA SISWA'!D24</f>
        <v>L</v>
      </c>
      <c r="E24" s="330" t="str">
        <f>'DATA SISWA'!E24</f>
        <v>VII-J</v>
      </c>
      <c r="F24" s="129"/>
      <c r="G24" s="129"/>
      <c r="H24" s="101"/>
      <c r="I24" s="101"/>
    </row>
    <row r="25" spans="1:9">
      <c r="A25" s="107">
        <f>'DATA SISWA'!A25</f>
        <v>21</v>
      </c>
      <c r="B25" s="107" t="str">
        <f>'DATA SISWA'!B25</f>
        <v>7661</v>
      </c>
      <c r="C25" s="116" t="str">
        <f>'DATA SISWA'!C25</f>
        <v>MOCH. FAWES</v>
      </c>
      <c r="D25" s="107" t="str">
        <f>'DATA SISWA'!D25</f>
        <v>L</v>
      </c>
      <c r="E25" s="330" t="str">
        <f>'DATA SISWA'!E25</f>
        <v>VII-J</v>
      </c>
      <c r="F25" s="129"/>
      <c r="G25" s="129"/>
      <c r="H25" s="101"/>
      <c r="I25" s="101"/>
    </row>
    <row r="26" spans="1:9">
      <c r="A26" s="107">
        <f>'DATA SISWA'!A26</f>
        <v>22</v>
      </c>
      <c r="B26" s="107" t="str">
        <f>'DATA SISWA'!B26</f>
        <v>7662</v>
      </c>
      <c r="C26" s="116" t="str">
        <f>'DATA SISWA'!C26</f>
        <v>MOH SAHRUL RAMADON</v>
      </c>
      <c r="D26" s="107" t="str">
        <f>'DATA SISWA'!D26</f>
        <v>L</v>
      </c>
      <c r="E26" s="330" t="str">
        <f>'DATA SISWA'!E26</f>
        <v>VII-J</v>
      </c>
      <c r="F26" s="129"/>
      <c r="G26" s="129"/>
      <c r="H26" s="101"/>
      <c r="I26" s="101"/>
    </row>
    <row r="27" spans="1:9">
      <c r="A27" s="107">
        <f>'DATA SISWA'!A27</f>
        <v>23</v>
      </c>
      <c r="B27" s="107" t="str">
        <f>'DATA SISWA'!B27</f>
        <v>7664</v>
      </c>
      <c r="C27" s="116" t="str">
        <f>'DATA SISWA'!C27</f>
        <v>MOHAMMAD RAMADAN PURNOMO</v>
      </c>
      <c r="D27" s="107" t="str">
        <f>'DATA SISWA'!D27</f>
        <v>L</v>
      </c>
      <c r="E27" s="330" t="str">
        <f>'DATA SISWA'!E27</f>
        <v>VII-J</v>
      </c>
      <c r="F27" s="129"/>
      <c r="G27" s="129"/>
      <c r="H27" s="101"/>
      <c r="I27" s="101"/>
    </row>
    <row r="28" spans="1:9">
      <c r="A28" s="107">
        <f>'DATA SISWA'!A28</f>
        <v>24</v>
      </c>
      <c r="B28" s="107" t="str">
        <f>'DATA SISWA'!B28</f>
        <v>7665</v>
      </c>
      <c r="C28" s="116" t="str">
        <f>'DATA SISWA'!C28</f>
        <v>MOHAMMAD ROFI'I</v>
      </c>
      <c r="D28" s="107" t="str">
        <f>'DATA SISWA'!D28</f>
        <v>L</v>
      </c>
      <c r="E28" s="330" t="str">
        <f>'DATA SISWA'!E28</f>
        <v>VII-J</v>
      </c>
      <c r="F28" s="129"/>
      <c r="G28" s="129"/>
      <c r="H28" s="101"/>
      <c r="I28" s="101"/>
    </row>
    <row r="29" spans="1:9">
      <c r="A29" s="107">
        <f>'DATA SISWA'!A29</f>
        <v>25</v>
      </c>
      <c r="B29" s="107" t="str">
        <f>'DATA SISWA'!B29</f>
        <v>7666</v>
      </c>
      <c r="C29" s="116" t="str">
        <f>'DATA SISWA'!C29</f>
        <v>NI'MATUS SHOLIHA</v>
      </c>
      <c r="D29" s="107" t="str">
        <f>'DATA SISWA'!D29</f>
        <v>P</v>
      </c>
      <c r="E29" s="330" t="str">
        <f>'DATA SISWA'!E29</f>
        <v>VII-J</v>
      </c>
      <c r="F29" s="129"/>
      <c r="G29" s="129"/>
      <c r="H29" s="101"/>
      <c r="I29" s="101"/>
    </row>
    <row r="30" spans="1:9">
      <c r="A30" s="107">
        <f>'DATA SISWA'!A30</f>
        <v>26</v>
      </c>
      <c r="B30" s="107" t="str">
        <f>'DATA SISWA'!B30</f>
        <v>7676</v>
      </c>
      <c r="C30" s="116" t="str">
        <f>'DATA SISWA'!C30</f>
        <v>PANJI FIKRI ISLAMI</v>
      </c>
      <c r="D30" s="107" t="str">
        <f>'DATA SISWA'!D30</f>
        <v>L</v>
      </c>
      <c r="E30" s="330" t="str">
        <f>'DATA SISWA'!E30</f>
        <v>VII-J</v>
      </c>
      <c r="F30" s="129"/>
      <c r="G30" s="129"/>
      <c r="H30" s="101"/>
      <c r="I30" s="101"/>
    </row>
    <row r="31" spans="1:9">
      <c r="A31" s="107">
        <f>'DATA SISWA'!A31</f>
        <v>27</v>
      </c>
      <c r="B31" s="107" t="str">
        <f>'DATA SISWA'!B31</f>
        <v>7667</v>
      </c>
      <c r="C31" s="116" t="str">
        <f>'DATA SISWA'!C31</f>
        <v>RACMAT MAULIDI ABDANY</v>
      </c>
      <c r="D31" s="107" t="str">
        <f>'DATA SISWA'!D31</f>
        <v>L</v>
      </c>
      <c r="E31" s="330" t="str">
        <f>'DATA SISWA'!E31</f>
        <v>VII-J</v>
      </c>
      <c r="F31" s="129"/>
      <c r="G31" s="129"/>
      <c r="H31" s="101"/>
      <c r="I31" s="101"/>
    </row>
    <row r="32" spans="1:9">
      <c r="A32" s="107">
        <f>'DATA SISWA'!A32</f>
        <v>28</v>
      </c>
      <c r="B32" s="107" t="str">
        <f>'DATA SISWA'!B32</f>
        <v>7668</v>
      </c>
      <c r="C32" s="116" t="str">
        <f>'DATA SISWA'!C32</f>
        <v>RAIHAN</v>
      </c>
      <c r="D32" s="107" t="str">
        <f>'DATA SISWA'!D32</f>
        <v>L</v>
      </c>
      <c r="E32" s="330" t="str">
        <f>'DATA SISWA'!E32</f>
        <v>VII-J</v>
      </c>
      <c r="F32" s="129"/>
      <c r="G32" s="129"/>
      <c r="H32" s="101"/>
      <c r="I32" s="101"/>
    </row>
    <row r="33" spans="1:9">
      <c r="A33" s="107">
        <f>'DATA SISWA'!A33</f>
        <v>29</v>
      </c>
      <c r="B33" s="107" t="str">
        <f>'DATA SISWA'!B33</f>
        <v>7669</v>
      </c>
      <c r="C33" s="116" t="str">
        <f>'DATA SISWA'!C33</f>
        <v>REFITA ANNASTASYA</v>
      </c>
      <c r="D33" s="107" t="str">
        <f>'DATA SISWA'!D33</f>
        <v>P</v>
      </c>
      <c r="E33" s="330" t="str">
        <f>'DATA SISWA'!E33</f>
        <v>VII-J</v>
      </c>
      <c r="F33" s="129"/>
      <c r="G33" s="129"/>
      <c r="H33" s="101"/>
      <c r="I33" s="101"/>
    </row>
    <row r="34" spans="1:9">
      <c r="A34" s="107">
        <f>'DATA SISWA'!A34</f>
        <v>30</v>
      </c>
      <c r="B34" s="107" t="str">
        <f>'DATA SISWA'!B34</f>
        <v>7670</v>
      </c>
      <c r="C34" s="116" t="str">
        <f>'DATA SISWA'!C34</f>
        <v>RISKIYAH</v>
      </c>
      <c r="D34" s="107" t="str">
        <f>'DATA SISWA'!D34</f>
        <v>P</v>
      </c>
      <c r="E34" s="330" t="str">
        <f>'DATA SISWA'!E34</f>
        <v>VII-J</v>
      </c>
      <c r="F34" s="129"/>
      <c r="G34" s="129"/>
      <c r="H34" s="101"/>
      <c r="I34" s="101"/>
    </row>
    <row r="35" spans="1:9">
      <c r="A35" s="107">
        <f>'DATA SISWA'!A35</f>
        <v>31</v>
      </c>
      <c r="B35" s="107" t="str">
        <f>'DATA SISWA'!B35</f>
        <v>7671</v>
      </c>
      <c r="C35" s="116" t="str">
        <f>'DATA SISWA'!C35</f>
        <v>SALILATUL HUSNA</v>
      </c>
      <c r="D35" s="107" t="str">
        <f>'DATA SISWA'!D35</f>
        <v>P</v>
      </c>
      <c r="E35" s="330" t="str">
        <f>'DATA SISWA'!E35</f>
        <v>VII-J</v>
      </c>
      <c r="F35" s="129"/>
      <c r="G35" s="129"/>
      <c r="H35" s="101"/>
      <c r="I35" s="101"/>
    </row>
    <row r="36" spans="1:9">
      <c r="A36" s="107">
        <f>'DATA SISWA'!A36</f>
        <v>32</v>
      </c>
      <c r="B36" s="107" t="str">
        <f>'DATA SISWA'!B36</f>
        <v>7672</v>
      </c>
      <c r="C36" s="116" t="str">
        <f>'DATA SISWA'!C36</f>
        <v>SALMA NABILA</v>
      </c>
      <c r="D36" s="107" t="str">
        <f>'DATA SISWA'!D36</f>
        <v>P</v>
      </c>
      <c r="E36" s="330" t="str">
        <f>'DATA SISWA'!E36</f>
        <v>VII-J</v>
      </c>
      <c r="F36" s="129"/>
      <c r="G36" s="129"/>
      <c r="H36" s="101"/>
      <c r="I36" s="101"/>
    </row>
    <row r="37" spans="1:9">
      <c r="A37" s="107">
        <f>'DATA SISWA'!A37</f>
        <v>33</v>
      </c>
      <c r="B37" s="107" t="str">
        <f>'DATA SISWA'!B37</f>
        <v>7673</v>
      </c>
      <c r="C37" s="116" t="str">
        <f>'DATA SISWA'!C37</f>
        <v>SITI AINUR ROHIMAH</v>
      </c>
      <c r="D37" s="107" t="str">
        <f>'DATA SISWA'!D37</f>
        <v>P</v>
      </c>
      <c r="E37" s="330" t="str">
        <f>'DATA SISWA'!E37</f>
        <v>VII-J</v>
      </c>
      <c r="F37" s="129"/>
      <c r="G37" s="129"/>
      <c r="H37" s="101"/>
      <c r="I37" s="101"/>
    </row>
    <row r="38" spans="1:9">
      <c r="A38" s="107">
        <f>'DATA SISWA'!A38</f>
        <v>34</v>
      </c>
      <c r="B38" s="107" t="str">
        <f>'DATA SISWA'!B38</f>
        <v>7675</v>
      </c>
      <c r="C38" s="116" t="str">
        <f>'DATA SISWA'!C38</f>
        <v>SYARIF HIDAYATULLOH</v>
      </c>
      <c r="D38" s="107" t="str">
        <f>'DATA SISWA'!D38</f>
        <v>L</v>
      </c>
      <c r="E38" s="330" t="str">
        <f>'DATA SISWA'!E38</f>
        <v>VII-J</v>
      </c>
      <c r="F38" s="129"/>
      <c r="G38" s="129"/>
      <c r="H38" s="101"/>
      <c r="I38" s="101"/>
    </row>
    <row r="39" spans="1:9">
      <c r="A39" s="107">
        <f>'DATA SISWA'!A39</f>
        <v>35</v>
      </c>
      <c r="B39" s="107" t="str">
        <f>'DATA SISWA'!B39</f>
        <v>7444</v>
      </c>
      <c r="C39" s="116" t="str">
        <f>'DATA SISWA'!C39</f>
        <v>URVIA ZAHNA ROHANDY</v>
      </c>
      <c r="D39" s="107" t="str">
        <f>'DATA SISWA'!D39</f>
        <v>P</v>
      </c>
      <c r="E39" s="330" t="str">
        <f>'DATA SISWA'!E39</f>
        <v>VII-J</v>
      </c>
      <c r="F39" s="129"/>
      <c r="G39" s="129"/>
      <c r="H39" s="101"/>
      <c r="I39" s="101"/>
    </row>
    <row r="40" spans="1:9">
      <c r="A40" s="107">
        <f>'DATA SISWA'!A40</f>
        <v>36</v>
      </c>
      <c r="B40" s="107">
        <f>'DATA SISWA'!B40</f>
        <v>0</v>
      </c>
      <c r="C40" s="116">
        <f>'DATA SISWA'!C40</f>
        <v>0</v>
      </c>
      <c r="D40" s="107">
        <f>'DATA SISWA'!D40</f>
        <v>0</v>
      </c>
      <c r="E40" s="330" t="str">
        <f>'DATA SISWA'!E40</f>
        <v>VII-J</v>
      </c>
      <c r="F40" s="129"/>
      <c r="G40" s="129"/>
      <c r="H40" s="101"/>
      <c r="I40" s="101"/>
    </row>
    <row r="41" spans="1:9">
      <c r="A41" s="107">
        <f>'DATA SISWA'!A41</f>
        <v>37</v>
      </c>
      <c r="B41" s="107">
        <f>'DATA SISWA'!B41</f>
        <v>0</v>
      </c>
      <c r="C41" s="116">
        <f>'DATA SISWA'!C41</f>
        <v>0</v>
      </c>
      <c r="D41" s="107">
        <f>'DATA SISWA'!D41</f>
        <v>0</v>
      </c>
      <c r="E41" s="330" t="str">
        <f>'DATA SISWA'!E41</f>
        <v>VII-J</v>
      </c>
      <c r="F41" s="129"/>
      <c r="G41" s="129"/>
      <c r="H41" s="101"/>
      <c r="I41" s="101"/>
    </row>
    <row r="42" spans="1:9">
      <c r="A42" s="107">
        <f>'DATA SISWA'!A42</f>
        <v>38</v>
      </c>
      <c r="B42" s="107">
        <f>'DATA SISWA'!B42</f>
        <v>0</v>
      </c>
      <c r="C42" s="116">
        <f>'DATA SISWA'!C42</f>
        <v>0</v>
      </c>
      <c r="D42" s="107">
        <f>'DATA SISWA'!D42</f>
        <v>0</v>
      </c>
      <c r="E42" s="330" t="str">
        <f>'DATA SISWA'!E42</f>
        <v>VII-J</v>
      </c>
      <c r="F42" s="129"/>
      <c r="G42" s="129"/>
      <c r="H42" s="101"/>
      <c r="I42" s="101"/>
    </row>
    <row r="43" spans="1:9">
      <c r="A43" s="107">
        <f>'DATA SISWA'!A43</f>
        <v>39</v>
      </c>
      <c r="B43" s="107">
        <f>'DATA SISWA'!B43</f>
        <v>0</v>
      </c>
      <c r="C43" s="116">
        <f>'DATA SISWA'!C43</f>
        <v>0</v>
      </c>
      <c r="D43" s="107">
        <f>'DATA SISWA'!D43</f>
        <v>0</v>
      </c>
      <c r="E43" s="330" t="str">
        <f>'DATA SISWA'!E43</f>
        <v>VII-J</v>
      </c>
      <c r="F43" s="129"/>
      <c r="G43" s="129"/>
      <c r="H43" s="101"/>
      <c r="I43" s="101"/>
    </row>
    <row r="44" spans="1:9">
      <c r="A44" s="107">
        <f>'DATA SISWA'!A44</f>
        <v>40</v>
      </c>
      <c r="B44" s="107">
        <f>'DATA SISWA'!B44</f>
        <v>0</v>
      </c>
      <c r="C44" s="116">
        <f>'DATA SISWA'!C44</f>
        <v>0</v>
      </c>
      <c r="D44" s="107">
        <f>'DATA SISWA'!D44</f>
        <v>0</v>
      </c>
      <c r="E44" s="330" t="str">
        <f>'DATA SISWA'!E44</f>
        <v>VII-J</v>
      </c>
      <c r="F44" s="129"/>
      <c r="G44" s="129"/>
      <c r="H44" s="101"/>
      <c r="I44" s="101"/>
    </row>
    <row r="45" spans="1:9">
      <c r="A45" s="107">
        <f>'DATA SISWA'!A45</f>
        <v>41</v>
      </c>
      <c r="B45" s="107">
        <f>'DATA SISWA'!B45</f>
        <v>0</v>
      </c>
      <c r="C45" s="116">
        <f>'DATA SISWA'!C45</f>
        <v>0</v>
      </c>
      <c r="D45" s="107">
        <f>'DATA SISWA'!D45</f>
        <v>0</v>
      </c>
      <c r="E45" s="330" t="str">
        <f>'DATA SISWA'!E45</f>
        <v>VII-J</v>
      </c>
      <c r="F45" s="129"/>
      <c r="G45" s="129"/>
      <c r="H45" s="101"/>
      <c r="I45" s="101"/>
    </row>
    <row r="46" spans="1:9">
      <c r="A46" s="107">
        <f>'DATA SISWA'!A46</f>
        <v>42</v>
      </c>
      <c r="B46" s="107">
        <f>'DATA SISWA'!B46</f>
        <v>0</v>
      </c>
      <c r="C46" s="116">
        <f>'DATA SISWA'!C46</f>
        <v>0</v>
      </c>
      <c r="D46" s="107">
        <f>'DATA SISWA'!D46</f>
        <v>0</v>
      </c>
      <c r="E46" s="330" t="str">
        <f>'DATA SISWA'!E46</f>
        <v>VII-J</v>
      </c>
      <c r="F46" s="129"/>
      <c r="G46" s="129"/>
      <c r="H46" s="101"/>
      <c r="I46" s="101"/>
    </row>
    <row r="47" spans="1:9">
      <c r="A47" s="107">
        <f>'DATA SISWA'!A47</f>
        <v>43</v>
      </c>
      <c r="B47" s="107">
        <f>'DATA SISWA'!B47</f>
        <v>0</v>
      </c>
      <c r="C47" s="116">
        <f>'DATA SISWA'!C47</f>
        <v>0</v>
      </c>
      <c r="D47" s="107">
        <f>'DATA SISWA'!D47</f>
        <v>0</v>
      </c>
      <c r="E47" s="330" t="str">
        <f>'DATA SISWA'!E47</f>
        <v>VII-J</v>
      </c>
      <c r="F47" s="129"/>
      <c r="G47" s="129"/>
      <c r="H47" s="101"/>
      <c r="I47" s="101"/>
    </row>
    <row r="48" spans="1:9">
      <c r="A48" s="107">
        <f>'DATA SISWA'!A48</f>
        <v>44</v>
      </c>
      <c r="B48" s="107">
        <f>'DATA SISWA'!B48</f>
        <v>0</v>
      </c>
      <c r="C48" s="116">
        <f>'DATA SISWA'!C48</f>
        <v>0</v>
      </c>
      <c r="D48" s="107">
        <f>'DATA SISWA'!D48</f>
        <v>0</v>
      </c>
      <c r="E48" s="330" t="str">
        <f>'DATA SISWA'!E48</f>
        <v>VII-J</v>
      </c>
      <c r="F48" s="129"/>
      <c r="G48" s="129"/>
      <c r="H48" s="101"/>
      <c r="I48" s="101"/>
    </row>
    <row r="49" spans="1:9">
      <c r="A49" s="107">
        <f>'DATA SISWA'!A49</f>
        <v>45</v>
      </c>
      <c r="B49" s="107">
        <f>'DATA SISWA'!B49</f>
        <v>0</v>
      </c>
      <c r="C49" s="116">
        <f>'DATA SISWA'!C49</f>
        <v>0</v>
      </c>
      <c r="D49" s="107">
        <f>'DATA SISWA'!D49</f>
        <v>0</v>
      </c>
      <c r="E49" s="330" t="str">
        <f>'DATA SISWA'!E49</f>
        <v>VII-J</v>
      </c>
      <c r="F49" s="129"/>
      <c r="G49" s="129"/>
      <c r="H49" s="101"/>
      <c r="I49" s="101"/>
    </row>
    <row r="50" spans="1:9">
      <c r="A50" s="107">
        <f>'DATA SISWA'!A50</f>
        <v>46</v>
      </c>
      <c r="B50" s="107">
        <f>'DATA SISWA'!B50</f>
        <v>0</v>
      </c>
      <c r="C50" s="116">
        <f>'DATA SISWA'!C50</f>
        <v>0</v>
      </c>
      <c r="D50" s="107">
        <f>'DATA SISWA'!D50</f>
        <v>0</v>
      </c>
      <c r="E50" s="330" t="str">
        <f>'DATA SISWA'!E50</f>
        <v>VII-J</v>
      </c>
      <c r="F50" s="129"/>
      <c r="G50" s="129"/>
      <c r="H50" s="101"/>
      <c r="I50" s="101"/>
    </row>
    <row r="51" spans="1:9">
      <c r="A51" s="107">
        <f>'DATA SISWA'!A51</f>
        <v>47</v>
      </c>
      <c r="B51" s="107">
        <f>'DATA SISWA'!B51</f>
        <v>0</v>
      </c>
      <c r="C51" s="116">
        <f>'DATA SISWA'!C51</f>
        <v>0</v>
      </c>
      <c r="D51" s="107">
        <f>'DATA SISWA'!D51</f>
        <v>0</v>
      </c>
      <c r="E51" s="330" t="str">
        <f>'DATA SISWA'!E51</f>
        <v>VII-J</v>
      </c>
      <c r="F51" s="129"/>
      <c r="G51" s="129"/>
      <c r="H51" s="101"/>
      <c r="I51" s="101"/>
    </row>
    <row r="52" spans="1:9">
      <c r="A52" s="107">
        <f>'DATA SISWA'!A52</f>
        <v>48</v>
      </c>
      <c r="B52" s="107">
        <f>'DATA SISWA'!B52</f>
        <v>0</v>
      </c>
      <c r="C52" s="116">
        <f>'DATA SISWA'!C52</f>
        <v>0</v>
      </c>
      <c r="D52" s="107">
        <f>'DATA SISWA'!D52</f>
        <v>0</v>
      </c>
      <c r="E52" s="330" t="str">
        <f>'DATA SISWA'!E52</f>
        <v>VII-J</v>
      </c>
      <c r="F52" s="129"/>
      <c r="G52" s="129"/>
      <c r="H52" s="101"/>
      <c r="I52" s="101"/>
    </row>
  </sheetData>
  <sheetProtection formatCells="0" formatColumns="0" formatRows="0" insertColumns="0" insertRows="0" insertHyperlinks="0" deleteColumns="0" deleteRows="0"/>
  <mergeCells count="6">
    <mergeCell ref="F1:I2"/>
    <mergeCell ref="A1:A3"/>
    <mergeCell ref="B1:B3"/>
    <mergeCell ref="C1:C3"/>
    <mergeCell ref="D1:D3"/>
    <mergeCell ref="E1:E3"/>
  </mergeCells>
  <pageMargins left="0.70866141732283472" right="0.70866141732283472" top="0.74803149606299213" bottom="0.74803149606299213" header="0.31496062992125984" footer="0.31496062992125984"/>
  <pageSetup paperSize="14" orientation="landscape" horizontalDpi="4294967292" verticalDpi="0" r:id="rId1"/>
  <drawing r:id="rId2"/>
  <legacyDrawing r:id="rId3"/>
</worksheet>
</file>

<file path=xl/worksheets/sheet28.xml><?xml version="1.0" encoding="utf-8"?>
<worksheet xmlns="http://schemas.openxmlformats.org/spreadsheetml/2006/main" xmlns:r="http://schemas.openxmlformats.org/officeDocument/2006/relationships">
  <sheetPr codeName="Sheet19"/>
  <dimension ref="A1:DR74"/>
  <sheetViews>
    <sheetView workbookViewId="0">
      <pane xSplit="2" ySplit="16" topLeftCell="C17" activePane="bottomRight" state="frozen"/>
      <selection pane="topRight" activeCell="C1" sqref="C1"/>
      <selection pane="bottomLeft" activeCell="A17" sqref="A17"/>
      <selection pane="bottomRight"/>
    </sheetView>
  </sheetViews>
  <sheetFormatPr defaultRowHeight="15"/>
  <cols>
    <col min="1" max="1" width="4.5703125" style="85" bestFit="1" customWidth="1"/>
    <col min="2" max="2" width="27.42578125" style="85" customWidth="1"/>
    <col min="3" max="10" width="5.28515625" style="85" customWidth="1"/>
    <col min="11" max="12" width="6.42578125" style="85" customWidth="1"/>
    <col min="13" max="13" width="8.85546875" style="85" customWidth="1"/>
    <col min="14" max="14" width="16.5703125" style="85" customWidth="1"/>
    <col min="15" max="22" width="5.28515625" style="85" customWidth="1"/>
    <col min="23" max="24" width="6.42578125" style="85" customWidth="1"/>
    <col min="25" max="25" width="8.85546875" style="85" customWidth="1"/>
    <col min="26" max="26" width="16.5703125" style="85" customWidth="1"/>
    <col min="27" max="34" width="5.28515625" style="85" customWidth="1"/>
    <col min="35" max="36" width="6.42578125" style="85" customWidth="1"/>
    <col min="37" max="37" width="8.85546875" style="85" customWidth="1"/>
    <col min="38" max="38" width="16.5703125" style="85" customWidth="1"/>
    <col min="39" max="46" width="5.28515625" style="85" customWidth="1"/>
    <col min="47" max="48" width="6.42578125" style="85" customWidth="1"/>
    <col min="49" max="49" width="8.85546875" style="85" customWidth="1"/>
    <col min="50" max="50" width="16.5703125" style="85" customWidth="1"/>
    <col min="51" max="58" width="5.28515625" style="85" customWidth="1"/>
    <col min="59" max="60" width="6.42578125" style="85" customWidth="1"/>
    <col min="61" max="61" width="8.85546875" style="85" customWidth="1"/>
    <col min="62" max="62" width="16.5703125" style="85" customWidth="1"/>
    <col min="63" max="70" width="5.28515625" style="85" customWidth="1"/>
    <col min="71" max="72" width="6.42578125" style="85" customWidth="1"/>
    <col min="73" max="73" width="8.85546875" style="85" customWidth="1"/>
    <col min="74" max="74" width="16.5703125" style="85" customWidth="1"/>
    <col min="75" max="82" width="5.28515625" style="85" customWidth="1"/>
    <col min="83" max="84" width="6.42578125" style="85" customWidth="1"/>
    <col min="85" max="85" width="8.85546875" style="85" customWidth="1"/>
    <col min="86" max="86" width="16.5703125" style="85" customWidth="1"/>
    <col min="87" max="94" width="5.28515625" style="85" customWidth="1"/>
    <col min="95" max="96" width="6.42578125" style="85" customWidth="1"/>
    <col min="97" max="97" width="8.85546875" style="85" customWidth="1"/>
    <col min="98" max="98" width="16.5703125" style="85" customWidth="1"/>
    <col min="99" max="106" width="5.28515625" style="85" customWidth="1"/>
    <col min="107" max="108" width="6.42578125" style="85" customWidth="1"/>
    <col min="109" max="109" width="8.85546875" style="85" customWidth="1"/>
    <col min="110" max="110" width="16.5703125" style="85" customWidth="1"/>
    <col min="111" max="118" width="5.28515625" style="85" customWidth="1"/>
    <col min="119" max="120" width="6.42578125" style="85" customWidth="1"/>
    <col min="121" max="121" width="8.85546875" style="85" customWidth="1"/>
    <col min="122" max="122" width="16.5703125" style="85" customWidth="1"/>
    <col min="123" max="16384" width="9.140625" style="85"/>
  </cols>
  <sheetData>
    <row r="1" spans="1:122" ht="16.5">
      <c r="A1" s="132"/>
      <c r="B1" s="133" t="s">
        <v>245</v>
      </c>
      <c r="C1" s="647">
        <f>menu!E13</f>
        <v>0</v>
      </c>
      <c r="D1" s="647"/>
      <c r="E1" s="647"/>
      <c r="F1" s="647"/>
      <c r="G1" s="648" t="s">
        <v>246</v>
      </c>
      <c r="H1" s="648"/>
      <c r="I1" s="649">
        <f>menu!D15</f>
        <v>2</v>
      </c>
      <c r="J1" s="649"/>
      <c r="K1" s="650" t="s">
        <v>247</v>
      </c>
      <c r="L1" s="651"/>
      <c r="M1" s="46">
        <f>menu!D19</f>
        <v>0</v>
      </c>
      <c r="N1" s="134"/>
    </row>
    <row r="2" spans="1:122" ht="16.5">
      <c r="A2" s="132"/>
      <c r="B2" s="133" t="s">
        <v>248</v>
      </c>
      <c r="C2" s="652" t="str">
        <f>menu!D14</f>
        <v>VII-J</v>
      </c>
      <c r="D2" s="652"/>
      <c r="E2" s="135"/>
      <c r="F2" s="648" t="s">
        <v>249</v>
      </c>
      <c r="G2" s="648"/>
      <c r="H2" s="648"/>
      <c r="I2" s="653" t="str">
        <f>menu!D16</f>
        <v>2016-2017</v>
      </c>
      <c r="J2" s="653"/>
      <c r="K2" s="650" t="s">
        <v>250</v>
      </c>
      <c r="L2" s="650"/>
      <c r="M2" s="654"/>
      <c r="N2" s="654"/>
    </row>
    <row r="3" spans="1:122">
      <c r="A3" s="132"/>
      <c r="B3" s="192" t="s">
        <v>251</v>
      </c>
      <c r="C3" s="657" t="s">
        <v>252</v>
      </c>
      <c r="D3" s="657"/>
      <c r="E3" s="657"/>
      <c r="F3" s="657"/>
      <c r="G3" s="657"/>
      <c r="H3" s="657"/>
      <c r="I3" s="657"/>
      <c r="J3" s="132"/>
      <c r="K3" s="132"/>
      <c r="L3" s="132"/>
      <c r="M3" s="132"/>
      <c r="N3" s="132"/>
    </row>
    <row r="4" spans="1:122">
      <c r="A4" s="132"/>
      <c r="B4" s="192"/>
      <c r="C4" s="136"/>
      <c r="D4" s="136"/>
      <c r="E4" s="136"/>
      <c r="F4" s="136"/>
      <c r="G4" s="137"/>
      <c r="H4" s="132"/>
      <c r="I4" s="132"/>
      <c r="J4" s="132"/>
      <c r="K4" s="132"/>
      <c r="L4" s="132"/>
      <c r="M4" s="132" t="s">
        <v>328</v>
      </c>
      <c r="N4" s="132"/>
    </row>
    <row r="5" spans="1:122">
      <c r="A5" s="132"/>
      <c r="B5" s="138"/>
      <c r="C5" s="658" t="s">
        <v>253</v>
      </c>
      <c r="D5" s="659"/>
      <c r="E5" s="659"/>
      <c r="F5" s="659"/>
      <c r="G5" s="659"/>
      <c r="H5" s="659"/>
      <c r="I5" s="659"/>
      <c r="J5" s="660"/>
      <c r="K5" s="139" t="s">
        <v>254</v>
      </c>
      <c r="L5" s="139"/>
      <c r="M5" s="139"/>
      <c r="N5" s="140"/>
      <c r="O5" s="658" t="s">
        <v>253</v>
      </c>
      <c r="P5" s="659"/>
      <c r="Q5" s="659"/>
      <c r="R5" s="659"/>
      <c r="S5" s="659"/>
      <c r="T5" s="659"/>
      <c r="U5" s="659"/>
      <c r="V5" s="660"/>
      <c r="W5" s="139" t="s">
        <v>254</v>
      </c>
      <c r="X5" s="139"/>
      <c r="Y5" s="139"/>
      <c r="Z5" s="140"/>
      <c r="AA5" s="658" t="s">
        <v>253</v>
      </c>
      <c r="AB5" s="659"/>
      <c r="AC5" s="659"/>
      <c r="AD5" s="659"/>
      <c r="AE5" s="659"/>
      <c r="AF5" s="659"/>
      <c r="AG5" s="659"/>
      <c r="AH5" s="660"/>
      <c r="AI5" s="139" t="s">
        <v>254</v>
      </c>
      <c r="AJ5" s="139"/>
      <c r="AK5" s="139"/>
      <c r="AL5" s="140"/>
      <c r="AM5" s="658" t="s">
        <v>253</v>
      </c>
      <c r="AN5" s="659"/>
      <c r="AO5" s="659"/>
      <c r="AP5" s="659"/>
      <c r="AQ5" s="659"/>
      <c r="AR5" s="659"/>
      <c r="AS5" s="659"/>
      <c r="AT5" s="660"/>
      <c r="AU5" s="139" t="s">
        <v>254</v>
      </c>
      <c r="AV5" s="139"/>
      <c r="AW5" s="139"/>
      <c r="AX5" s="140"/>
      <c r="AY5" s="658" t="s">
        <v>253</v>
      </c>
      <c r="AZ5" s="659"/>
      <c r="BA5" s="659"/>
      <c r="BB5" s="659"/>
      <c r="BC5" s="659"/>
      <c r="BD5" s="659"/>
      <c r="BE5" s="659"/>
      <c r="BF5" s="660"/>
      <c r="BG5" s="139" t="s">
        <v>254</v>
      </c>
      <c r="BH5" s="139"/>
      <c r="BI5" s="139"/>
      <c r="BJ5" s="140"/>
      <c r="BK5" s="658" t="s">
        <v>253</v>
      </c>
      <c r="BL5" s="659"/>
      <c r="BM5" s="659"/>
      <c r="BN5" s="659"/>
      <c r="BO5" s="659"/>
      <c r="BP5" s="659"/>
      <c r="BQ5" s="659"/>
      <c r="BR5" s="660"/>
      <c r="BS5" s="139" t="s">
        <v>254</v>
      </c>
      <c r="BT5" s="139"/>
      <c r="BU5" s="139"/>
      <c r="BV5" s="140"/>
      <c r="BW5" s="658" t="s">
        <v>253</v>
      </c>
      <c r="BX5" s="659"/>
      <c r="BY5" s="659"/>
      <c r="BZ5" s="659"/>
      <c r="CA5" s="659"/>
      <c r="CB5" s="659"/>
      <c r="CC5" s="659"/>
      <c r="CD5" s="660"/>
      <c r="CE5" s="139" t="s">
        <v>254</v>
      </c>
      <c r="CF5" s="139"/>
      <c r="CG5" s="139"/>
      <c r="CH5" s="140"/>
      <c r="CI5" s="658" t="s">
        <v>253</v>
      </c>
      <c r="CJ5" s="659"/>
      <c r="CK5" s="659"/>
      <c r="CL5" s="659"/>
      <c r="CM5" s="659"/>
      <c r="CN5" s="659"/>
      <c r="CO5" s="659"/>
      <c r="CP5" s="660"/>
      <c r="CQ5" s="139" t="s">
        <v>254</v>
      </c>
      <c r="CR5" s="139"/>
      <c r="CS5" s="139"/>
      <c r="CT5" s="140"/>
      <c r="CU5" s="658" t="s">
        <v>253</v>
      </c>
      <c r="CV5" s="659"/>
      <c r="CW5" s="659"/>
      <c r="CX5" s="659"/>
      <c r="CY5" s="659"/>
      <c r="CZ5" s="659"/>
      <c r="DA5" s="659"/>
      <c r="DB5" s="660"/>
      <c r="DC5" s="139" t="s">
        <v>254</v>
      </c>
      <c r="DD5" s="139"/>
      <c r="DE5" s="139"/>
      <c r="DF5" s="140"/>
      <c r="DG5" s="658" t="s">
        <v>253</v>
      </c>
      <c r="DH5" s="659"/>
      <c r="DI5" s="659"/>
      <c r="DJ5" s="659"/>
      <c r="DK5" s="659"/>
      <c r="DL5" s="659"/>
      <c r="DM5" s="659"/>
      <c r="DN5" s="660"/>
      <c r="DO5" s="139" t="s">
        <v>254</v>
      </c>
      <c r="DP5" s="139"/>
      <c r="DQ5" s="139"/>
      <c r="DR5" s="140"/>
    </row>
    <row r="6" spans="1:122">
      <c r="A6" s="132"/>
      <c r="B6" s="141" t="s">
        <v>255</v>
      </c>
      <c r="C6" s="661"/>
      <c r="D6" s="662"/>
      <c r="E6" s="662"/>
      <c r="F6" s="662"/>
      <c r="G6" s="662"/>
      <c r="H6" s="662"/>
      <c r="I6" s="662"/>
      <c r="J6" s="663"/>
      <c r="K6" s="142" t="s">
        <v>255</v>
      </c>
      <c r="L6" s="78"/>
      <c r="M6" s="78"/>
      <c r="N6" s="79"/>
      <c r="O6" s="661"/>
      <c r="P6" s="662"/>
      <c r="Q6" s="662"/>
      <c r="R6" s="662"/>
      <c r="S6" s="662"/>
      <c r="T6" s="662"/>
      <c r="U6" s="662"/>
      <c r="V6" s="663"/>
      <c r="W6" s="142" t="s">
        <v>255</v>
      </c>
      <c r="X6" s="78"/>
      <c r="Y6" s="78"/>
      <c r="Z6" s="79"/>
      <c r="AA6" s="661"/>
      <c r="AB6" s="662"/>
      <c r="AC6" s="662"/>
      <c r="AD6" s="662"/>
      <c r="AE6" s="662"/>
      <c r="AF6" s="662"/>
      <c r="AG6" s="662"/>
      <c r="AH6" s="663"/>
      <c r="AI6" s="142" t="s">
        <v>255</v>
      </c>
      <c r="AJ6" s="78"/>
      <c r="AK6" s="78"/>
      <c r="AL6" s="79"/>
      <c r="AM6" s="661"/>
      <c r="AN6" s="662"/>
      <c r="AO6" s="662"/>
      <c r="AP6" s="662"/>
      <c r="AQ6" s="662"/>
      <c r="AR6" s="662"/>
      <c r="AS6" s="662"/>
      <c r="AT6" s="663"/>
      <c r="AU6" s="142" t="s">
        <v>255</v>
      </c>
      <c r="AV6" s="78"/>
      <c r="AW6" s="78"/>
      <c r="AX6" s="79"/>
      <c r="AY6" s="661"/>
      <c r="AZ6" s="662"/>
      <c r="BA6" s="662"/>
      <c r="BB6" s="662"/>
      <c r="BC6" s="662"/>
      <c r="BD6" s="662"/>
      <c r="BE6" s="662"/>
      <c r="BF6" s="663"/>
      <c r="BG6" s="142" t="s">
        <v>255</v>
      </c>
      <c r="BH6" s="78"/>
      <c r="BI6" s="78"/>
      <c r="BJ6" s="79"/>
      <c r="BK6" s="661"/>
      <c r="BL6" s="662"/>
      <c r="BM6" s="662"/>
      <c r="BN6" s="662"/>
      <c r="BO6" s="662"/>
      <c r="BP6" s="662"/>
      <c r="BQ6" s="662"/>
      <c r="BR6" s="663"/>
      <c r="BS6" s="142" t="s">
        <v>255</v>
      </c>
      <c r="BT6" s="78"/>
      <c r="BU6" s="78"/>
      <c r="BV6" s="79"/>
      <c r="BW6" s="661"/>
      <c r="BX6" s="662"/>
      <c r="BY6" s="662"/>
      <c r="BZ6" s="662"/>
      <c r="CA6" s="662"/>
      <c r="CB6" s="662"/>
      <c r="CC6" s="662"/>
      <c r="CD6" s="663"/>
      <c r="CE6" s="142" t="s">
        <v>255</v>
      </c>
      <c r="CF6" s="78"/>
      <c r="CG6" s="78"/>
      <c r="CH6" s="79"/>
      <c r="CI6" s="661"/>
      <c r="CJ6" s="662"/>
      <c r="CK6" s="662"/>
      <c r="CL6" s="662"/>
      <c r="CM6" s="662"/>
      <c r="CN6" s="662"/>
      <c r="CO6" s="662"/>
      <c r="CP6" s="663"/>
      <c r="CQ6" s="142" t="s">
        <v>255</v>
      </c>
      <c r="CR6" s="78"/>
      <c r="CS6" s="78"/>
      <c r="CT6" s="79"/>
      <c r="CU6" s="661"/>
      <c r="CV6" s="662"/>
      <c r="CW6" s="662"/>
      <c r="CX6" s="662"/>
      <c r="CY6" s="662"/>
      <c r="CZ6" s="662"/>
      <c r="DA6" s="662"/>
      <c r="DB6" s="663"/>
      <c r="DC6" s="142" t="s">
        <v>255</v>
      </c>
      <c r="DD6" s="78"/>
      <c r="DE6" s="78"/>
      <c r="DF6" s="79"/>
      <c r="DG6" s="661"/>
      <c r="DH6" s="662"/>
      <c r="DI6" s="662"/>
      <c r="DJ6" s="662"/>
      <c r="DK6" s="662"/>
      <c r="DL6" s="662"/>
      <c r="DM6" s="662"/>
      <c r="DN6" s="663"/>
      <c r="DO6" s="142" t="s">
        <v>255</v>
      </c>
      <c r="DP6" s="78"/>
      <c r="DQ6" s="78"/>
      <c r="DR6" s="79"/>
    </row>
    <row r="7" spans="1:122">
      <c r="A7" s="132"/>
      <c r="B7" s="141" t="s">
        <v>256</v>
      </c>
      <c r="C7" s="664"/>
      <c r="D7" s="665"/>
      <c r="E7" s="665"/>
      <c r="F7" s="665"/>
      <c r="G7" s="665"/>
      <c r="H7" s="665"/>
      <c r="I7" s="665"/>
      <c r="J7" s="666"/>
      <c r="K7" s="142" t="s">
        <v>256</v>
      </c>
      <c r="L7" s="80"/>
      <c r="M7" s="80"/>
      <c r="N7" s="81"/>
      <c r="O7" s="664"/>
      <c r="P7" s="665"/>
      <c r="Q7" s="665"/>
      <c r="R7" s="665"/>
      <c r="S7" s="665"/>
      <c r="T7" s="665"/>
      <c r="U7" s="665"/>
      <c r="V7" s="666"/>
      <c r="W7" s="142" t="s">
        <v>256</v>
      </c>
      <c r="X7" s="80"/>
      <c r="Y7" s="80"/>
      <c r="Z7" s="81"/>
      <c r="AA7" s="664"/>
      <c r="AB7" s="665"/>
      <c r="AC7" s="665"/>
      <c r="AD7" s="665"/>
      <c r="AE7" s="665"/>
      <c r="AF7" s="665"/>
      <c r="AG7" s="665"/>
      <c r="AH7" s="666"/>
      <c r="AI7" s="142" t="s">
        <v>256</v>
      </c>
      <c r="AJ7" s="80"/>
      <c r="AK7" s="80"/>
      <c r="AL7" s="81"/>
      <c r="AM7" s="664"/>
      <c r="AN7" s="665"/>
      <c r="AO7" s="665"/>
      <c r="AP7" s="665"/>
      <c r="AQ7" s="665"/>
      <c r="AR7" s="665"/>
      <c r="AS7" s="665"/>
      <c r="AT7" s="666"/>
      <c r="AU7" s="142" t="s">
        <v>256</v>
      </c>
      <c r="AV7" s="80"/>
      <c r="AW7" s="80"/>
      <c r="AX7" s="81"/>
      <c r="AY7" s="664"/>
      <c r="AZ7" s="665"/>
      <c r="BA7" s="665"/>
      <c r="BB7" s="665"/>
      <c r="BC7" s="665"/>
      <c r="BD7" s="665"/>
      <c r="BE7" s="665"/>
      <c r="BF7" s="666"/>
      <c r="BG7" s="142" t="s">
        <v>256</v>
      </c>
      <c r="BH7" s="80"/>
      <c r="BI7" s="80"/>
      <c r="BJ7" s="81"/>
      <c r="BK7" s="664"/>
      <c r="BL7" s="665"/>
      <c r="BM7" s="665"/>
      <c r="BN7" s="665"/>
      <c r="BO7" s="665"/>
      <c r="BP7" s="665"/>
      <c r="BQ7" s="665"/>
      <c r="BR7" s="666"/>
      <c r="BS7" s="142" t="s">
        <v>256</v>
      </c>
      <c r="BT7" s="80"/>
      <c r="BU7" s="80"/>
      <c r="BV7" s="81"/>
      <c r="BW7" s="664"/>
      <c r="BX7" s="665"/>
      <c r="BY7" s="665"/>
      <c r="BZ7" s="665"/>
      <c r="CA7" s="665"/>
      <c r="CB7" s="665"/>
      <c r="CC7" s="665"/>
      <c r="CD7" s="666"/>
      <c r="CE7" s="142" t="s">
        <v>256</v>
      </c>
      <c r="CF7" s="80"/>
      <c r="CG7" s="80"/>
      <c r="CH7" s="81"/>
      <c r="CI7" s="664"/>
      <c r="CJ7" s="665"/>
      <c r="CK7" s="665"/>
      <c r="CL7" s="665"/>
      <c r="CM7" s="665"/>
      <c r="CN7" s="665"/>
      <c r="CO7" s="665"/>
      <c r="CP7" s="666"/>
      <c r="CQ7" s="142" t="s">
        <v>256</v>
      </c>
      <c r="CR7" s="80"/>
      <c r="CS7" s="80"/>
      <c r="CT7" s="81"/>
      <c r="CU7" s="664"/>
      <c r="CV7" s="665"/>
      <c r="CW7" s="665"/>
      <c r="CX7" s="665"/>
      <c r="CY7" s="665"/>
      <c r="CZ7" s="665"/>
      <c r="DA7" s="665"/>
      <c r="DB7" s="666"/>
      <c r="DC7" s="142" t="s">
        <v>256</v>
      </c>
      <c r="DD7" s="80"/>
      <c r="DE7" s="80"/>
      <c r="DF7" s="81"/>
      <c r="DG7" s="664"/>
      <c r="DH7" s="665"/>
      <c r="DI7" s="665"/>
      <c r="DJ7" s="665"/>
      <c r="DK7" s="665"/>
      <c r="DL7" s="665"/>
      <c r="DM7" s="665"/>
      <c r="DN7" s="666"/>
      <c r="DO7" s="142" t="s">
        <v>256</v>
      </c>
      <c r="DP7" s="80"/>
      <c r="DQ7" s="80"/>
      <c r="DR7" s="81"/>
    </row>
    <row r="8" spans="1:122">
      <c r="A8" s="132"/>
      <c r="B8" s="141" t="s">
        <v>257</v>
      </c>
      <c r="C8" s="661"/>
      <c r="D8" s="662"/>
      <c r="E8" s="662"/>
      <c r="F8" s="662"/>
      <c r="G8" s="662"/>
      <c r="H8" s="662"/>
      <c r="I8" s="662"/>
      <c r="J8" s="663"/>
      <c r="K8" s="142" t="s">
        <v>257</v>
      </c>
      <c r="L8" s="78"/>
      <c r="M8" s="78"/>
      <c r="N8" s="79"/>
      <c r="O8" s="661"/>
      <c r="P8" s="662"/>
      <c r="Q8" s="662"/>
      <c r="R8" s="662"/>
      <c r="S8" s="662"/>
      <c r="T8" s="662"/>
      <c r="U8" s="662"/>
      <c r="V8" s="663"/>
      <c r="W8" s="142" t="s">
        <v>257</v>
      </c>
      <c r="X8" s="78"/>
      <c r="Y8" s="78"/>
      <c r="Z8" s="79"/>
      <c r="AA8" s="661"/>
      <c r="AB8" s="662"/>
      <c r="AC8" s="662"/>
      <c r="AD8" s="662"/>
      <c r="AE8" s="662"/>
      <c r="AF8" s="662"/>
      <c r="AG8" s="662"/>
      <c r="AH8" s="663"/>
      <c r="AI8" s="142" t="s">
        <v>257</v>
      </c>
      <c r="AJ8" s="78"/>
      <c r="AK8" s="78"/>
      <c r="AL8" s="79"/>
      <c r="AM8" s="661"/>
      <c r="AN8" s="662"/>
      <c r="AO8" s="662"/>
      <c r="AP8" s="662"/>
      <c r="AQ8" s="662"/>
      <c r="AR8" s="662"/>
      <c r="AS8" s="662"/>
      <c r="AT8" s="663"/>
      <c r="AU8" s="142" t="s">
        <v>257</v>
      </c>
      <c r="AV8" s="78"/>
      <c r="AW8" s="78"/>
      <c r="AX8" s="79"/>
      <c r="AY8" s="661"/>
      <c r="AZ8" s="662"/>
      <c r="BA8" s="662"/>
      <c r="BB8" s="662"/>
      <c r="BC8" s="662"/>
      <c r="BD8" s="662"/>
      <c r="BE8" s="662"/>
      <c r="BF8" s="663"/>
      <c r="BG8" s="142" t="s">
        <v>257</v>
      </c>
      <c r="BH8" s="78"/>
      <c r="BI8" s="78"/>
      <c r="BJ8" s="79"/>
      <c r="BK8" s="661"/>
      <c r="BL8" s="662"/>
      <c r="BM8" s="662"/>
      <c r="BN8" s="662"/>
      <c r="BO8" s="662"/>
      <c r="BP8" s="662"/>
      <c r="BQ8" s="662"/>
      <c r="BR8" s="663"/>
      <c r="BS8" s="142" t="s">
        <v>257</v>
      </c>
      <c r="BT8" s="78"/>
      <c r="BU8" s="78"/>
      <c r="BV8" s="79"/>
      <c r="BW8" s="661"/>
      <c r="BX8" s="662"/>
      <c r="BY8" s="662"/>
      <c r="BZ8" s="662"/>
      <c r="CA8" s="662"/>
      <c r="CB8" s="662"/>
      <c r="CC8" s="662"/>
      <c r="CD8" s="663"/>
      <c r="CE8" s="142" t="s">
        <v>257</v>
      </c>
      <c r="CF8" s="78"/>
      <c r="CG8" s="78"/>
      <c r="CH8" s="79"/>
      <c r="CI8" s="661"/>
      <c r="CJ8" s="662"/>
      <c r="CK8" s="662"/>
      <c r="CL8" s="662"/>
      <c r="CM8" s="662"/>
      <c r="CN8" s="662"/>
      <c r="CO8" s="662"/>
      <c r="CP8" s="663"/>
      <c r="CQ8" s="142" t="s">
        <v>257</v>
      </c>
      <c r="CR8" s="78"/>
      <c r="CS8" s="78"/>
      <c r="CT8" s="79"/>
      <c r="CU8" s="661"/>
      <c r="CV8" s="662"/>
      <c r="CW8" s="662"/>
      <c r="CX8" s="662"/>
      <c r="CY8" s="662"/>
      <c r="CZ8" s="662"/>
      <c r="DA8" s="662"/>
      <c r="DB8" s="663"/>
      <c r="DC8" s="142" t="s">
        <v>257</v>
      </c>
      <c r="DD8" s="78"/>
      <c r="DE8" s="78"/>
      <c r="DF8" s="79"/>
      <c r="DG8" s="661"/>
      <c r="DH8" s="662"/>
      <c r="DI8" s="662"/>
      <c r="DJ8" s="662"/>
      <c r="DK8" s="662"/>
      <c r="DL8" s="662"/>
      <c r="DM8" s="662"/>
      <c r="DN8" s="663"/>
      <c r="DO8" s="142" t="s">
        <v>257</v>
      </c>
      <c r="DP8" s="78"/>
      <c r="DQ8" s="78"/>
      <c r="DR8" s="79"/>
    </row>
    <row r="9" spans="1:122">
      <c r="A9" s="132"/>
      <c r="B9" s="141" t="s">
        <v>258</v>
      </c>
      <c r="C9" s="664"/>
      <c r="D9" s="665"/>
      <c r="E9" s="665"/>
      <c r="F9" s="665"/>
      <c r="G9" s="665"/>
      <c r="H9" s="665"/>
      <c r="I9" s="665"/>
      <c r="J9" s="666"/>
      <c r="K9" s="143" t="s">
        <v>258</v>
      </c>
      <c r="L9" s="82"/>
      <c r="M9" s="82"/>
      <c r="N9" s="83"/>
      <c r="O9" s="664"/>
      <c r="P9" s="665"/>
      <c r="Q9" s="665"/>
      <c r="R9" s="665"/>
      <c r="S9" s="665"/>
      <c r="T9" s="665"/>
      <c r="U9" s="665"/>
      <c r="V9" s="666"/>
      <c r="W9" s="143" t="s">
        <v>258</v>
      </c>
      <c r="X9" s="82"/>
      <c r="Y9" s="82"/>
      <c r="Z9" s="83"/>
      <c r="AA9" s="664"/>
      <c r="AB9" s="665"/>
      <c r="AC9" s="665"/>
      <c r="AD9" s="665"/>
      <c r="AE9" s="665"/>
      <c r="AF9" s="665"/>
      <c r="AG9" s="665"/>
      <c r="AH9" s="666"/>
      <c r="AI9" s="143" t="s">
        <v>258</v>
      </c>
      <c r="AJ9" s="82"/>
      <c r="AK9" s="82"/>
      <c r="AL9" s="83"/>
      <c r="AM9" s="664"/>
      <c r="AN9" s="665"/>
      <c r="AO9" s="665"/>
      <c r="AP9" s="665"/>
      <c r="AQ9" s="665"/>
      <c r="AR9" s="665"/>
      <c r="AS9" s="665"/>
      <c r="AT9" s="666"/>
      <c r="AU9" s="143" t="s">
        <v>258</v>
      </c>
      <c r="AV9" s="82"/>
      <c r="AW9" s="82"/>
      <c r="AX9" s="83"/>
      <c r="AY9" s="664"/>
      <c r="AZ9" s="665"/>
      <c r="BA9" s="665"/>
      <c r="BB9" s="665"/>
      <c r="BC9" s="665"/>
      <c r="BD9" s="665"/>
      <c r="BE9" s="665"/>
      <c r="BF9" s="666"/>
      <c r="BG9" s="143" t="s">
        <v>258</v>
      </c>
      <c r="BH9" s="82"/>
      <c r="BI9" s="82"/>
      <c r="BJ9" s="83"/>
      <c r="BK9" s="664"/>
      <c r="BL9" s="665"/>
      <c r="BM9" s="665"/>
      <c r="BN9" s="665"/>
      <c r="BO9" s="665"/>
      <c r="BP9" s="665"/>
      <c r="BQ9" s="665"/>
      <c r="BR9" s="666"/>
      <c r="BS9" s="143" t="s">
        <v>258</v>
      </c>
      <c r="BT9" s="82"/>
      <c r="BU9" s="82"/>
      <c r="BV9" s="83"/>
      <c r="BW9" s="664"/>
      <c r="BX9" s="665"/>
      <c r="BY9" s="665"/>
      <c r="BZ9" s="665"/>
      <c r="CA9" s="665"/>
      <c r="CB9" s="665"/>
      <c r="CC9" s="665"/>
      <c r="CD9" s="666"/>
      <c r="CE9" s="143" t="s">
        <v>258</v>
      </c>
      <c r="CF9" s="82"/>
      <c r="CG9" s="82"/>
      <c r="CH9" s="83"/>
      <c r="CI9" s="664"/>
      <c r="CJ9" s="665"/>
      <c r="CK9" s="665"/>
      <c r="CL9" s="665"/>
      <c r="CM9" s="665"/>
      <c r="CN9" s="665"/>
      <c r="CO9" s="665"/>
      <c r="CP9" s="666"/>
      <c r="CQ9" s="143" t="s">
        <v>258</v>
      </c>
      <c r="CR9" s="82"/>
      <c r="CS9" s="82"/>
      <c r="CT9" s="83"/>
      <c r="CU9" s="664"/>
      <c r="CV9" s="665"/>
      <c r="CW9" s="665"/>
      <c r="CX9" s="665"/>
      <c r="CY9" s="665"/>
      <c r="CZ9" s="665"/>
      <c r="DA9" s="665"/>
      <c r="DB9" s="666"/>
      <c r="DC9" s="143" t="s">
        <v>258</v>
      </c>
      <c r="DD9" s="82"/>
      <c r="DE9" s="82"/>
      <c r="DF9" s="83"/>
      <c r="DG9" s="664"/>
      <c r="DH9" s="665"/>
      <c r="DI9" s="665"/>
      <c r="DJ9" s="665"/>
      <c r="DK9" s="665"/>
      <c r="DL9" s="665"/>
      <c r="DM9" s="665"/>
      <c r="DN9" s="666"/>
      <c r="DO9" s="143" t="s">
        <v>258</v>
      </c>
      <c r="DP9" s="82"/>
      <c r="DQ9" s="82"/>
      <c r="DR9" s="83"/>
    </row>
    <row r="10" spans="1:122">
      <c r="A10" s="132"/>
      <c r="B10" s="141" t="s">
        <v>259</v>
      </c>
      <c r="C10" s="661"/>
      <c r="D10" s="662"/>
      <c r="E10" s="662"/>
      <c r="F10" s="662"/>
      <c r="G10" s="662"/>
      <c r="H10" s="662"/>
      <c r="I10" s="662"/>
      <c r="J10" s="663"/>
      <c r="K10" s="132"/>
      <c r="L10" s="188"/>
      <c r="M10" s="144"/>
      <c r="N10" s="144"/>
      <c r="O10" s="661"/>
      <c r="P10" s="662"/>
      <c r="Q10" s="662"/>
      <c r="R10" s="662"/>
      <c r="S10" s="662"/>
      <c r="T10" s="662"/>
      <c r="U10" s="662"/>
      <c r="V10" s="663"/>
      <c r="W10" s="132"/>
      <c r="X10" s="188"/>
      <c r="Y10" s="144"/>
      <c r="Z10" s="144"/>
      <c r="AA10" s="661"/>
      <c r="AB10" s="662"/>
      <c r="AC10" s="662"/>
      <c r="AD10" s="662"/>
      <c r="AE10" s="662"/>
      <c r="AF10" s="662"/>
      <c r="AG10" s="662"/>
      <c r="AH10" s="663"/>
      <c r="AI10" s="132"/>
      <c r="AJ10" s="188"/>
      <c r="AK10" s="144"/>
      <c r="AL10" s="144"/>
      <c r="AM10" s="661"/>
      <c r="AN10" s="662"/>
      <c r="AO10" s="662"/>
      <c r="AP10" s="662"/>
      <c r="AQ10" s="662"/>
      <c r="AR10" s="662"/>
      <c r="AS10" s="662"/>
      <c r="AT10" s="663"/>
      <c r="AU10" s="132"/>
      <c r="AV10" s="188"/>
      <c r="AW10" s="144"/>
      <c r="AX10" s="144"/>
      <c r="AY10" s="661"/>
      <c r="AZ10" s="662"/>
      <c r="BA10" s="662"/>
      <c r="BB10" s="662"/>
      <c r="BC10" s="662"/>
      <c r="BD10" s="662"/>
      <c r="BE10" s="662"/>
      <c r="BF10" s="663"/>
      <c r="BG10" s="132"/>
      <c r="BH10" s="188"/>
      <c r="BI10" s="144"/>
      <c r="BJ10" s="144"/>
      <c r="BK10" s="661"/>
      <c r="BL10" s="662"/>
      <c r="BM10" s="662"/>
      <c r="BN10" s="662"/>
      <c r="BO10" s="662"/>
      <c r="BP10" s="662"/>
      <c r="BQ10" s="662"/>
      <c r="BR10" s="663"/>
      <c r="BS10" s="132"/>
      <c r="BT10" s="188"/>
      <c r="BU10" s="144"/>
      <c r="BV10" s="144"/>
      <c r="BW10" s="661"/>
      <c r="BX10" s="662"/>
      <c r="BY10" s="662"/>
      <c r="BZ10" s="662"/>
      <c r="CA10" s="662"/>
      <c r="CB10" s="662"/>
      <c r="CC10" s="662"/>
      <c r="CD10" s="663"/>
      <c r="CE10" s="132"/>
      <c r="CF10" s="188"/>
      <c r="CG10" s="144"/>
      <c r="CH10" s="144"/>
      <c r="CI10" s="661"/>
      <c r="CJ10" s="662"/>
      <c r="CK10" s="662"/>
      <c r="CL10" s="662"/>
      <c r="CM10" s="662"/>
      <c r="CN10" s="662"/>
      <c r="CO10" s="662"/>
      <c r="CP10" s="663"/>
      <c r="CQ10" s="132"/>
      <c r="CR10" s="188"/>
      <c r="CS10" s="144"/>
      <c r="CT10" s="144"/>
      <c r="CU10" s="661"/>
      <c r="CV10" s="662"/>
      <c r="CW10" s="662"/>
      <c r="CX10" s="662"/>
      <c r="CY10" s="662"/>
      <c r="CZ10" s="662"/>
      <c r="DA10" s="662"/>
      <c r="DB10" s="663"/>
      <c r="DC10" s="132"/>
      <c r="DD10" s="188"/>
      <c r="DE10" s="144"/>
      <c r="DF10" s="144"/>
      <c r="DG10" s="661"/>
      <c r="DH10" s="662"/>
      <c r="DI10" s="662"/>
      <c r="DJ10" s="662"/>
      <c r="DK10" s="662"/>
      <c r="DL10" s="662"/>
      <c r="DM10" s="662"/>
      <c r="DN10" s="663"/>
      <c r="DO10" s="132"/>
      <c r="DP10" s="188"/>
      <c r="DQ10" s="144"/>
      <c r="DR10" s="144"/>
    </row>
    <row r="11" spans="1:122">
      <c r="A11" s="132"/>
      <c r="B11" s="141" t="s">
        <v>260</v>
      </c>
      <c r="C11" s="664"/>
      <c r="D11" s="665"/>
      <c r="E11" s="665"/>
      <c r="F11" s="665"/>
      <c r="G11" s="665"/>
      <c r="H11" s="665"/>
      <c r="I11" s="665"/>
      <c r="J11" s="666"/>
      <c r="K11" s="132"/>
      <c r="L11" s="188"/>
      <c r="M11" s="144"/>
      <c r="N11" s="144"/>
      <c r="O11" s="664"/>
      <c r="P11" s="665"/>
      <c r="Q11" s="665"/>
      <c r="R11" s="665"/>
      <c r="S11" s="665"/>
      <c r="T11" s="665"/>
      <c r="U11" s="665"/>
      <c r="V11" s="666"/>
      <c r="W11" s="132"/>
      <c r="X11" s="188"/>
      <c r="Y11" s="144"/>
      <c r="Z11" s="144"/>
      <c r="AA11" s="664"/>
      <c r="AB11" s="665"/>
      <c r="AC11" s="665"/>
      <c r="AD11" s="665"/>
      <c r="AE11" s="665"/>
      <c r="AF11" s="665"/>
      <c r="AG11" s="665"/>
      <c r="AH11" s="666"/>
      <c r="AI11" s="132"/>
      <c r="AJ11" s="188"/>
      <c r="AK11" s="144"/>
      <c r="AL11" s="144"/>
      <c r="AM11" s="664"/>
      <c r="AN11" s="665"/>
      <c r="AO11" s="665"/>
      <c r="AP11" s="665"/>
      <c r="AQ11" s="665"/>
      <c r="AR11" s="665"/>
      <c r="AS11" s="665"/>
      <c r="AT11" s="666"/>
      <c r="AU11" s="132"/>
      <c r="AV11" s="188"/>
      <c r="AW11" s="144"/>
      <c r="AX11" s="144"/>
      <c r="AY11" s="664"/>
      <c r="AZ11" s="665"/>
      <c r="BA11" s="665"/>
      <c r="BB11" s="665"/>
      <c r="BC11" s="665"/>
      <c r="BD11" s="665"/>
      <c r="BE11" s="665"/>
      <c r="BF11" s="666"/>
      <c r="BG11" s="132"/>
      <c r="BH11" s="188"/>
      <c r="BI11" s="144"/>
      <c r="BJ11" s="144"/>
      <c r="BK11" s="664"/>
      <c r="BL11" s="665"/>
      <c r="BM11" s="665"/>
      <c r="BN11" s="665"/>
      <c r="BO11" s="665"/>
      <c r="BP11" s="665"/>
      <c r="BQ11" s="665"/>
      <c r="BR11" s="666"/>
      <c r="BS11" s="132"/>
      <c r="BT11" s="188"/>
      <c r="BU11" s="144"/>
      <c r="BV11" s="144"/>
      <c r="BW11" s="664"/>
      <c r="BX11" s="665"/>
      <c r="BY11" s="665"/>
      <c r="BZ11" s="665"/>
      <c r="CA11" s="665"/>
      <c r="CB11" s="665"/>
      <c r="CC11" s="665"/>
      <c r="CD11" s="666"/>
      <c r="CE11" s="132"/>
      <c r="CF11" s="188"/>
      <c r="CG11" s="144"/>
      <c r="CH11" s="144"/>
      <c r="CI11" s="664"/>
      <c r="CJ11" s="665"/>
      <c r="CK11" s="665"/>
      <c r="CL11" s="665"/>
      <c r="CM11" s="665"/>
      <c r="CN11" s="665"/>
      <c r="CO11" s="665"/>
      <c r="CP11" s="666"/>
      <c r="CQ11" s="132"/>
      <c r="CR11" s="188"/>
      <c r="CS11" s="144"/>
      <c r="CT11" s="144"/>
      <c r="CU11" s="664"/>
      <c r="CV11" s="665"/>
      <c r="CW11" s="665"/>
      <c r="CX11" s="665"/>
      <c r="CY11" s="665"/>
      <c r="CZ11" s="665"/>
      <c r="DA11" s="665"/>
      <c r="DB11" s="666"/>
      <c r="DC11" s="132"/>
      <c r="DD11" s="188"/>
      <c r="DE11" s="144"/>
      <c r="DF11" s="144"/>
      <c r="DG11" s="664"/>
      <c r="DH11" s="665"/>
      <c r="DI11" s="665"/>
      <c r="DJ11" s="665"/>
      <c r="DK11" s="665"/>
      <c r="DL11" s="665"/>
      <c r="DM11" s="665"/>
      <c r="DN11" s="666"/>
      <c r="DO11" s="132"/>
      <c r="DP11" s="188"/>
      <c r="DQ11" s="144"/>
      <c r="DR11" s="144"/>
    </row>
    <row r="12" spans="1:122">
      <c r="A12" s="132"/>
      <c r="B12" s="141" t="s">
        <v>261</v>
      </c>
      <c r="C12" s="661"/>
      <c r="D12" s="662"/>
      <c r="E12" s="662"/>
      <c r="F12" s="662"/>
      <c r="G12" s="662"/>
      <c r="H12" s="662"/>
      <c r="I12" s="662"/>
      <c r="J12" s="663"/>
      <c r="K12" s="132"/>
      <c r="L12" s="655"/>
      <c r="M12" s="655"/>
      <c r="N12" s="144"/>
      <c r="O12" s="661"/>
      <c r="P12" s="662"/>
      <c r="Q12" s="662"/>
      <c r="R12" s="662"/>
      <c r="S12" s="662"/>
      <c r="T12" s="662"/>
      <c r="U12" s="662"/>
      <c r="V12" s="663"/>
      <c r="W12" s="132"/>
      <c r="X12" s="655"/>
      <c r="Y12" s="655"/>
      <c r="Z12" s="144"/>
      <c r="AA12" s="661"/>
      <c r="AB12" s="662"/>
      <c r="AC12" s="662"/>
      <c r="AD12" s="662"/>
      <c r="AE12" s="662"/>
      <c r="AF12" s="662"/>
      <c r="AG12" s="662"/>
      <c r="AH12" s="663"/>
      <c r="AI12" s="132"/>
      <c r="AJ12" s="655"/>
      <c r="AK12" s="655"/>
      <c r="AL12" s="144"/>
      <c r="AM12" s="661"/>
      <c r="AN12" s="662"/>
      <c r="AO12" s="662"/>
      <c r="AP12" s="662"/>
      <c r="AQ12" s="662"/>
      <c r="AR12" s="662"/>
      <c r="AS12" s="662"/>
      <c r="AT12" s="663"/>
      <c r="AU12" s="132"/>
      <c r="AV12" s="655"/>
      <c r="AW12" s="655"/>
      <c r="AX12" s="144"/>
      <c r="AY12" s="661"/>
      <c r="AZ12" s="662"/>
      <c r="BA12" s="662"/>
      <c r="BB12" s="662"/>
      <c r="BC12" s="662"/>
      <c r="BD12" s="662"/>
      <c r="BE12" s="662"/>
      <c r="BF12" s="663"/>
      <c r="BG12" s="132"/>
      <c r="BH12" s="655"/>
      <c r="BI12" s="655"/>
      <c r="BJ12" s="144"/>
      <c r="BK12" s="661"/>
      <c r="BL12" s="662"/>
      <c r="BM12" s="662"/>
      <c r="BN12" s="662"/>
      <c r="BO12" s="662"/>
      <c r="BP12" s="662"/>
      <c r="BQ12" s="662"/>
      <c r="BR12" s="663"/>
      <c r="BS12" s="132"/>
      <c r="BT12" s="655"/>
      <c r="BU12" s="655"/>
      <c r="BV12" s="144"/>
      <c r="BW12" s="661"/>
      <c r="BX12" s="662"/>
      <c r="BY12" s="662"/>
      <c r="BZ12" s="662"/>
      <c r="CA12" s="662"/>
      <c r="CB12" s="662"/>
      <c r="CC12" s="662"/>
      <c r="CD12" s="663"/>
      <c r="CE12" s="132"/>
      <c r="CF12" s="655"/>
      <c r="CG12" s="655"/>
      <c r="CH12" s="144"/>
      <c r="CI12" s="661"/>
      <c r="CJ12" s="662"/>
      <c r="CK12" s="662"/>
      <c r="CL12" s="662"/>
      <c r="CM12" s="662"/>
      <c r="CN12" s="662"/>
      <c r="CO12" s="662"/>
      <c r="CP12" s="663"/>
      <c r="CQ12" s="132"/>
      <c r="CR12" s="655"/>
      <c r="CS12" s="655"/>
      <c r="CT12" s="144"/>
      <c r="CU12" s="661"/>
      <c r="CV12" s="662"/>
      <c r="CW12" s="662"/>
      <c r="CX12" s="662"/>
      <c r="CY12" s="662"/>
      <c r="CZ12" s="662"/>
      <c r="DA12" s="662"/>
      <c r="DB12" s="663"/>
      <c r="DC12" s="132"/>
      <c r="DD12" s="655"/>
      <c r="DE12" s="655"/>
      <c r="DF12" s="144"/>
      <c r="DG12" s="661"/>
      <c r="DH12" s="662"/>
      <c r="DI12" s="662"/>
      <c r="DJ12" s="662"/>
      <c r="DK12" s="662"/>
      <c r="DL12" s="662"/>
      <c r="DM12" s="662"/>
      <c r="DN12" s="663"/>
      <c r="DO12" s="132"/>
      <c r="DP12" s="655"/>
      <c r="DQ12" s="655"/>
      <c r="DR12" s="144"/>
    </row>
    <row r="13" spans="1:122" ht="15.75" thickBot="1">
      <c r="A13" s="132"/>
      <c r="B13" s="192"/>
      <c r="C13" s="656"/>
      <c r="D13" s="656"/>
      <c r="E13" s="656"/>
      <c r="F13" s="656"/>
      <c r="G13" s="656"/>
      <c r="H13" s="656"/>
      <c r="I13" s="656"/>
      <c r="J13" s="656"/>
      <c r="K13" s="132"/>
      <c r="L13" s="655"/>
      <c r="M13" s="655"/>
      <c r="N13" s="145"/>
      <c r="O13" s="656"/>
      <c r="P13" s="656"/>
      <c r="Q13" s="656"/>
      <c r="R13" s="656"/>
      <c r="S13" s="656"/>
      <c r="T13" s="656"/>
      <c r="U13" s="656"/>
      <c r="V13" s="656"/>
      <c r="W13" s="132"/>
      <c r="X13" s="655"/>
      <c r="Y13" s="655"/>
      <c r="Z13" s="145"/>
      <c r="AA13" s="656"/>
      <c r="AB13" s="656"/>
      <c r="AC13" s="656"/>
      <c r="AD13" s="656"/>
      <c r="AE13" s="656"/>
      <c r="AF13" s="656"/>
      <c r="AG13" s="656"/>
      <c r="AH13" s="656"/>
      <c r="AI13" s="132"/>
      <c r="AJ13" s="655"/>
      <c r="AK13" s="655"/>
      <c r="AL13" s="145"/>
      <c r="AM13" s="656"/>
      <c r="AN13" s="656"/>
      <c r="AO13" s="656"/>
      <c r="AP13" s="656"/>
      <c r="AQ13" s="656"/>
      <c r="AR13" s="656"/>
      <c r="AS13" s="656"/>
      <c r="AT13" s="656"/>
      <c r="AU13" s="132"/>
      <c r="AV13" s="655"/>
      <c r="AW13" s="655"/>
      <c r="AX13" s="145"/>
      <c r="AY13" s="656"/>
      <c r="AZ13" s="656"/>
      <c r="BA13" s="656"/>
      <c r="BB13" s="656"/>
      <c r="BC13" s="656"/>
      <c r="BD13" s="656"/>
      <c r="BE13" s="656"/>
      <c r="BF13" s="656"/>
      <c r="BG13" s="132"/>
      <c r="BH13" s="655"/>
      <c r="BI13" s="655"/>
      <c r="BJ13" s="145"/>
      <c r="BK13" s="656"/>
      <c r="BL13" s="656"/>
      <c r="BM13" s="656"/>
      <c r="BN13" s="656"/>
      <c r="BO13" s="656"/>
      <c r="BP13" s="656"/>
      <c r="BQ13" s="656"/>
      <c r="BR13" s="656"/>
      <c r="BS13" s="132"/>
      <c r="BT13" s="655"/>
      <c r="BU13" s="655"/>
      <c r="BV13" s="145"/>
      <c r="BW13" s="656"/>
      <c r="BX13" s="656"/>
      <c r="BY13" s="656"/>
      <c r="BZ13" s="656"/>
      <c r="CA13" s="656"/>
      <c r="CB13" s="656"/>
      <c r="CC13" s="656"/>
      <c r="CD13" s="656"/>
      <c r="CE13" s="132"/>
      <c r="CF13" s="655"/>
      <c r="CG13" s="655"/>
      <c r="CH13" s="145"/>
      <c r="CI13" s="656"/>
      <c r="CJ13" s="656"/>
      <c r="CK13" s="656"/>
      <c r="CL13" s="656"/>
      <c r="CM13" s="656"/>
      <c r="CN13" s="656"/>
      <c r="CO13" s="656"/>
      <c r="CP13" s="656"/>
      <c r="CQ13" s="132"/>
      <c r="CR13" s="655"/>
      <c r="CS13" s="655"/>
      <c r="CT13" s="145"/>
      <c r="CU13" s="656"/>
      <c r="CV13" s="656"/>
      <c r="CW13" s="656"/>
      <c r="CX13" s="656"/>
      <c r="CY13" s="656"/>
      <c r="CZ13" s="656"/>
      <c r="DA13" s="656"/>
      <c r="DB13" s="656"/>
      <c r="DC13" s="132"/>
      <c r="DD13" s="655"/>
      <c r="DE13" s="655"/>
      <c r="DF13" s="145"/>
      <c r="DG13" s="656"/>
      <c r="DH13" s="656"/>
      <c r="DI13" s="656"/>
      <c r="DJ13" s="656"/>
      <c r="DK13" s="656"/>
      <c r="DL13" s="656"/>
      <c r="DM13" s="656"/>
      <c r="DN13" s="656"/>
      <c r="DO13" s="132"/>
      <c r="DP13" s="655"/>
      <c r="DQ13" s="655"/>
      <c r="DR13" s="145"/>
    </row>
    <row r="14" spans="1:122" ht="15.75" thickBot="1">
      <c r="A14" s="132"/>
      <c r="B14" s="132"/>
      <c r="C14" s="676">
        <f>IF('Input Nilai Ketrampilan'!F2="","",'Input Nilai Ketrampilan'!F2)</f>
        <v>41</v>
      </c>
      <c r="D14" s="677"/>
      <c r="E14" s="677"/>
      <c r="F14" s="677"/>
      <c r="G14" s="677"/>
      <c r="H14" s="677"/>
      <c r="I14" s="677"/>
      <c r="J14" s="677"/>
      <c r="K14" s="677"/>
      <c r="L14" s="677"/>
      <c r="M14" s="677"/>
      <c r="N14" s="678"/>
      <c r="O14" s="676">
        <f>IF('Input Nilai Ketrampilan'!K2="","",'Input Nilai Ketrampilan'!K2)</f>
        <v>42</v>
      </c>
      <c r="P14" s="677"/>
      <c r="Q14" s="677"/>
      <c r="R14" s="677"/>
      <c r="S14" s="677"/>
      <c r="T14" s="677"/>
      <c r="U14" s="677"/>
      <c r="V14" s="677"/>
      <c r="W14" s="677"/>
      <c r="X14" s="677"/>
      <c r="Y14" s="677"/>
      <c r="Z14" s="678"/>
      <c r="AA14" s="676">
        <f>IF('Input Nilai Ketrampilan'!P2="","",'Input Nilai Ketrampilan'!P2)</f>
        <v>43</v>
      </c>
      <c r="AB14" s="677"/>
      <c r="AC14" s="677"/>
      <c r="AD14" s="677"/>
      <c r="AE14" s="677"/>
      <c r="AF14" s="677"/>
      <c r="AG14" s="677"/>
      <c r="AH14" s="677"/>
      <c r="AI14" s="677"/>
      <c r="AJ14" s="677"/>
      <c r="AK14" s="677"/>
      <c r="AL14" s="678"/>
      <c r="AM14" s="676">
        <f>IF('Input Nilai Ketrampilan'!U2="","",'Input Nilai Ketrampilan'!U2)</f>
        <v>44</v>
      </c>
      <c r="AN14" s="677"/>
      <c r="AO14" s="677"/>
      <c r="AP14" s="677"/>
      <c r="AQ14" s="677"/>
      <c r="AR14" s="677"/>
      <c r="AS14" s="677"/>
      <c r="AT14" s="677"/>
      <c r="AU14" s="677"/>
      <c r="AV14" s="677"/>
      <c r="AW14" s="677"/>
      <c r="AX14" s="678"/>
      <c r="AY14" s="676">
        <f>IF('Input Nilai Ketrampilan'!Z2="","",'Input Nilai Ketrampilan'!Z2)</f>
        <v>45</v>
      </c>
      <c r="AZ14" s="677"/>
      <c r="BA14" s="677"/>
      <c r="BB14" s="677"/>
      <c r="BC14" s="677"/>
      <c r="BD14" s="677"/>
      <c r="BE14" s="677"/>
      <c r="BF14" s="677"/>
      <c r="BG14" s="677"/>
      <c r="BH14" s="677"/>
      <c r="BI14" s="677"/>
      <c r="BJ14" s="678"/>
      <c r="BK14" s="676">
        <f>IF('Input Nilai Ketrampilan'!AE2="","",'Input Nilai Ketrampilan'!AE2)</f>
        <v>46</v>
      </c>
      <c r="BL14" s="677"/>
      <c r="BM14" s="677"/>
      <c r="BN14" s="677"/>
      <c r="BO14" s="677"/>
      <c r="BP14" s="677"/>
      <c r="BQ14" s="677"/>
      <c r="BR14" s="677"/>
      <c r="BS14" s="677"/>
      <c r="BT14" s="677"/>
      <c r="BU14" s="677"/>
      <c r="BV14" s="678"/>
      <c r="BW14" s="676">
        <f>IF('Input Nilai Ketrampilan'!AJ2="","",'Input Nilai Ketrampilan'!AJ2)</f>
        <v>47</v>
      </c>
      <c r="BX14" s="677"/>
      <c r="BY14" s="677"/>
      <c r="BZ14" s="677"/>
      <c r="CA14" s="677"/>
      <c r="CB14" s="677"/>
      <c r="CC14" s="677"/>
      <c r="CD14" s="677"/>
      <c r="CE14" s="677"/>
      <c r="CF14" s="677"/>
      <c r="CG14" s="677"/>
      <c r="CH14" s="678"/>
      <c r="CI14" s="676">
        <f>IF('Input Nilai Ketrampilan'!AO2="","",'Input Nilai Ketrampilan'!AO2)</f>
        <v>48</v>
      </c>
      <c r="CJ14" s="677"/>
      <c r="CK14" s="677"/>
      <c r="CL14" s="677"/>
      <c r="CM14" s="677"/>
      <c r="CN14" s="677"/>
      <c r="CO14" s="677"/>
      <c r="CP14" s="677"/>
      <c r="CQ14" s="677"/>
      <c r="CR14" s="677"/>
      <c r="CS14" s="677"/>
      <c r="CT14" s="678"/>
      <c r="CU14" s="676">
        <f>IF('Input Nilai Ketrampilan'!AT2="","",'Input Nilai Ketrampilan'!AT2)</f>
        <v>49</v>
      </c>
      <c r="CV14" s="677"/>
      <c r="CW14" s="677"/>
      <c r="CX14" s="677"/>
      <c r="CY14" s="677"/>
      <c r="CZ14" s="677"/>
      <c r="DA14" s="677"/>
      <c r="DB14" s="677"/>
      <c r="DC14" s="677"/>
      <c r="DD14" s="677"/>
      <c r="DE14" s="677"/>
      <c r="DF14" s="678"/>
      <c r="DG14" s="676" t="e">
        <f>IF('Input Nilai Ketrampilan'!#REF!="","",'Input Nilai Ketrampilan'!#REF!)</f>
        <v>#REF!</v>
      </c>
      <c r="DH14" s="677"/>
      <c r="DI14" s="677"/>
      <c r="DJ14" s="677"/>
      <c r="DK14" s="677"/>
      <c r="DL14" s="677"/>
      <c r="DM14" s="677"/>
      <c r="DN14" s="677"/>
      <c r="DO14" s="677"/>
      <c r="DP14" s="677"/>
      <c r="DQ14" s="677"/>
      <c r="DR14" s="678"/>
    </row>
    <row r="15" spans="1:122">
      <c r="A15" s="667" t="s">
        <v>262</v>
      </c>
      <c r="B15" s="146" t="s">
        <v>263</v>
      </c>
      <c r="C15" s="670" t="s">
        <v>264</v>
      </c>
      <c r="D15" s="672" t="s">
        <v>265</v>
      </c>
      <c r="E15" s="670" t="s">
        <v>266</v>
      </c>
      <c r="F15" s="670" t="s">
        <v>267</v>
      </c>
      <c r="G15" s="670" t="s">
        <v>268</v>
      </c>
      <c r="H15" s="670" t="s">
        <v>269</v>
      </c>
      <c r="I15" s="672" t="s">
        <v>270</v>
      </c>
      <c r="J15" s="679" t="s">
        <v>271</v>
      </c>
      <c r="K15" s="681" t="s">
        <v>272</v>
      </c>
      <c r="L15" s="681" t="s">
        <v>273</v>
      </c>
      <c r="M15" s="674" t="s">
        <v>274</v>
      </c>
      <c r="N15" s="674" t="s">
        <v>104</v>
      </c>
      <c r="O15" s="670" t="s">
        <v>264</v>
      </c>
      <c r="P15" s="672" t="s">
        <v>265</v>
      </c>
      <c r="Q15" s="670" t="s">
        <v>266</v>
      </c>
      <c r="R15" s="670" t="s">
        <v>267</v>
      </c>
      <c r="S15" s="670" t="s">
        <v>268</v>
      </c>
      <c r="T15" s="670" t="s">
        <v>269</v>
      </c>
      <c r="U15" s="672" t="s">
        <v>270</v>
      </c>
      <c r="V15" s="679" t="s">
        <v>271</v>
      </c>
      <c r="W15" s="681" t="s">
        <v>272</v>
      </c>
      <c r="X15" s="681" t="s">
        <v>273</v>
      </c>
      <c r="Y15" s="674" t="s">
        <v>274</v>
      </c>
      <c r="Z15" s="674" t="s">
        <v>104</v>
      </c>
      <c r="AA15" s="670" t="s">
        <v>264</v>
      </c>
      <c r="AB15" s="672" t="s">
        <v>265</v>
      </c>
      <c r="AC15" s="670" t="s">
        <v>266</v>
      </c>
      <c r="AD15" s="670" t="s">
        <v>267</v>
      </c>
      <c r="AE15" s="670" t="s">
        <v>268</v>
      </c>
      <c r="AF15" s="670" t="s">
        <v>269</v>
      </c>
      <c r="AG15" s="672" t="s">
        <v>270</v>
      </c>
      <c r="AH15" s="679" t="s">
        <v>271</v>
      </c>
      <c r="AI15" s="681" t="s">
        <v>272</v>
      </c>
      <c r="AJ15" s="681" t="s">
        <v>273</v>
      </c>
      <c r="AK15" s="674" t="s">
        <v>274</v>
      </c>
      <c r="AL15" s="674" t="s">
        <v>104</v>
      </c>
      <c r="AM15" s="670" t="s">
        <v>264</v>
      </c>
      <c r="AN15" s="672" t="s">
        <v>265</v>
      </c>
      <c r="AO15" s="670" t="s">
        <v>266</v>
      </c>
      <c r="AP15" s="670" t="s">
        <v>267</v>
      </c>
      <c r="AQ15" s="670" t="s">
        <v>268</v>
      </c>
      <c r="AR15" s="670" t="s">
        <v>269</v>
      </c>
      <c r="AS15" s="672" t="s">
        <v>270</v>
      </c>
      <c r="AT15" s="679" t="s">
        <v>271</v>
      </c>
      <c r="AU15" s="681" t="s">
        <v>272</v>
      </c>
      <c r="AV15" s="681" t="s">
        <v>273</v>
      </c>
      <c r="AW15" s="674" t="s">
        <v>274</v>
      </c>
      <c r="AX15" s="674" t="s">
        <v>104</v>
      </c>
      <c r="AY15" s="670" t="s">
        <v>264</v>
      </c>
      <c r="AZ15" s="672" t="s">
        <v>265</v>
      </c>
      <c r="BA15" s="670" t="s">
        <v>266</v>
      </c>
      <c r="BB15" s="670" t="s">
        <v>267</v>
      </c>
      <c r="BC15" s="670" t="s">
        <v>268</v>
      </c>
      <c r="BD15" s="670" t="s">
        <v>269</v>
      </c>
      <c r="BE15" s="672" t="s">
        <v>270</v>
      </c>
      <c r="BF15" s="679" t="s">
        <v>271</v>
      </c>
      <c r="BG15" s="681" t="s">
        <v>272</v>
      </c>
      <c r="BH15" s="681" t="s">
        <v>273</v>
      </c>
      <c r="BI15" s="674" t="s">
        <v>274</v>
      </c>
      <c r="BJ15" s="674" t="s">
        <v>104</v>
      </c>
      <c r="BK15" s="670" t="s">
        <v>264</v>
      </c>
      <c r="BL15" s="672" t="s">
        <v>265</v>
      </c>
      <c r="BM15" s="670" t="s">
        <v>266</v>
      </c>
      <c r="BN15" s="670" t="s">
        <v>267</v>
      </c>
      <c r="BO15" s="670" t="s">
        <v>268</v>
      </c>
      <c r="BP15" s="670" t="s">
        <v>269</v>
      </c>
      <c r="BQ15" s="672" t="s">
        <v>270</v>
      </c>
      <c r="BR15" s="679" t="s">
        <v>271</v>
      </c>
      <c r="BS15" s="681" t="s">
        <v>272</v>
      </c>
      <c r="BT15" s="681" t="s">
        <v>273</v>
      </c>
      <c r="BU15" s="674" t="s">
        <v>274</v>
      </c>
      <c r="BV15" s="674" t="s">
        <v>104</v>
      </c>
      <c r="BW15" s="670" t="s">
        <v>264</v>
      </c>
      <c r="BX15" s="672" t="s">
        <v>265</v>
      </c>
      <c r="BY15" s="670" t="s">
        <v>266</v>
      </c>
      <c r="BZ15" s="670" t="s">
        <v>267</v>
      </c>
      <c r="CA15" s="670" t="s">
        <v>268</v>
      </c>
      <c r="CB15" s="670" t="s">
        <v>269</v>
      </c>
      <c r="CC15" s="672" t="s">
        <v>270</v>
      </c>
      <c r="CD15" s="679" t="s">
        <v>271</v>
      </c>
      <c r="CE15" s="681" t="s">
        <v>272</v>
      </c>
      <c r="CF15" s="681" t="s">
        <v>273</v>
      </c>
      <c r="CG15" s="674" t="s">
        <v>274</v>
      </c>
      <c r="CH15" s="674" t="s">
        <v>104</v>
      </c>
      <c r="CI15" s="670" t="s">
        <v>264</v>
      </c>
      <c r="CJ15" s="672" t="s">
        <v>265</v>
      </c>
      <c r="CK15" s="670" t="s">
        <v>266</v>
      </c>
      <c r="CL15" s="670" t="s">
        <v>267</v>
      </c>
      <c r="CM15" s="670" t="s">
        <v>268</v>
      </c>
      <c r="CN15" s="670" t="s">
        <v>269</v>
      </c>
      <c r="CO15" s="672" t="s">
        <v>270</v>
      </c>
      <c r="CP15" s="679" t="s">
        <v>271</v>
      </c>
      <c r="CQ15" s="681" t="s">
        <v>272</v>
      </c>
      <c r="CR15" s="681" t="s">
        <v>273</v>
      </c>
      <c r="CS15" s="674" t="s">
        <v>274</v>
      </c>
      <c r="CT15" s="674" t="s">
        <v>104</v>
      </c>
      <c r="CU15" s="670" t="s">
        <v>264</v>
      </c>
      <c r="CV15" s="672" t="s">
        <v>265</v>
      </c>
      <c r="CW15" s="670" t="s">
        <v>266</v>
      </c>
      <c r="CX15" s="670" t="s">
        <v>267</v>
      </c>
      <c r="CY15" s="670" t="s">
        <v>268</v>
      </c>
      <c r="CZ15" s="670" t="s">
        <v>269</v>
      </c>
      <c r="DA15" s="672" t="s">
        <v>270</v>
      </c>
      <c r="DB15" s="679" t="s">
        <v>271</v>
      </c>
      <c r="DC15" s="681" t="s">
        <v>272</v>
      </c>
      <c r="DD15" s="681" t="s">
        <v>273</v>
      </c>
      <c r="DE15" s="674" t="s">
        <v>274</v>
      </c>
      <c r="DF15" s="674" t="s">
        <v>104</v>
      </c>
      <c r="DG15" s="670" t="s">
        <v>264</v>
      </c>
      <c r="DH15" s="672" t="s">
        <v>265</v>
      </c>
      <c r="DI15" s="670" t="s">
        <v>266</v>
      </c>
      <c r="DJ15" s="670" t="s">
        <v>267</v>
      </c>
      <c r="DK15" s="670" t="s">
        <v>268</v>
      </c>
      <c r="DL15" s="670" t="s">
        <v>269</v>
      </c>
      <c r="DM15" s="672" t="s">
        <v>270</v>
      </c>
      <c r="DN15" s="679" t="s">
        <v>271</v>
      </c>
      <c r="DO15" s="681" t="s">
        <v>272</v>
      </c>
      <c r="DP15" s="681" t="s">
        <v>273</v>
      </c>
      <c r="DQ15" s="674" t="s">
        <v>274</v>
      </c>
      <c r="DR15" s="674" t="s">
        <v>104</v>
      </c>
    </row>
    <row r="16" spans="1:122" ht="24.75" customHeight="1">
      <c r="A16" s="668"/>
      <c r="C16" s="671"/>
      <c r="D16" s="670"/>
      <c r="E16" s="673"/>
      <c r="F16" s="671"/>
      <c r="G16" s="671"/>
      <c r="H16" s="671"/>
      <c r="I16" s="670"/>
      <c r="J16" s="680"/>
      <c r="K16" s="682"/>
      <c r="L16" s="683"/>
      <c r="M16" s="675"/>
      <c r="N16" s="675"/>
      <c r="O16" s="671"/>
      <c r="P16" s="670"/>
      <c r="Q16" s="673"/>
      <c r="R16" s="671"/>
      <c r="S16" s="671"/>
      <c r="T16" s="671"/>
      <c r="U16" s="670"/>
      <c r="V16" s="680"/>
      <c r="W16" s="682"/>
      <c r="X16" s="683"/>
      <c r="Y16" s="675"/>
      <c r="Z16" s="675"/>
      <c r="AA16" s="671"/>
      <c r="AB16" s="670"/>
      <c r="AC16" s="673"/>
      <c r="AD16" s="671"/>
      <c r="AE16" s="671"/>
      <c r="AF16" s="671"/>
      <c r="AG16" s="670"/>
      <c r="AH16" s="680"/>
      <c r="AI16" s="682"/>
      <c r="AJ16" s="683"/>
      <c r="AK16" s="675"/>
      <c r="AL16" s="675"/>
      <c r="AM16" s="671"/>
      <c r="AN16" s="670"/>
      <c r="AO16" s="673"/>
      <c r="AP16" s="671"/>
      <c r="AQ16" s="671"/>
      <c r="AR16" s="671"/>
      <c r="AS16" s="670"/>
      <c r="AT16" s="680"/>
      <c r="AU16" s="682"/>
      <c r="AV16" s="683"/>
      <c r="AW16" s="675"/>
      <c r="AX16" s="675"/>
      <c r="AY16" s="671"/>
      <c r="AZ16" s="670"/>
      <c r="BA16" s="673"/>
      <c r="BB16" s="671"/>
      <c r="BC16" s="671"/>
      <c r="BD16" s="671"/>
      <c r="BE16" s="670"/>
      <c r="BF16" s="680"/>
      <c r="BG16" s="682"/>
      <c r="BH16" s="683"/>
      <c r="BI16" s="675"/>
      <c r="BJ16" s="675"/>
      <c r="BK16" s="671"/>
      <c r="BL16" s="670"/>
      <c r="BM16" s="673"/>
      <c r="BN16" s="671"/>
      <c r="BO16" s="671"/>
      <c r="BP16" s="671"/>
      <c r="BQ16" s="670"/>
      <c r="BR16" s="680"/>
      <c r="BS16" s="682"/>
      <c r="BT16" s="683"/>
      <c r="BU16" s="675"/>
      <c r="BV16" s="675"/>
      <c r="BW16" s="671"/>
      <c r="BX16" s="670"/>
      <c r="BY16" s="673"/>
      <c r="BZ16" s="671"/>
      <c r="CA16" s="671"/>
      <c r="CB16" s="671"/>
      <c r="CC16" s="670"/>
      <c r="CD16" s="680"/>
      <c r="CE16" s="682"/>
      <c r="CF16" s="683"/>
      <c r="CG16" s="675"/>
      <c r="CH16" s="675"/>
      <c r="CI16" s="671"/>
      <c r="CJ16" s="670"/>
      <c r="CK16" s="673"/>
      <c r="CL16" s="671"/>
      <c r="CM16" s="671"/>
      <c r="CN16" s="671"/>
      <c r="CO16" s="670"/>
      <c r="CP16" s="680"/>
      <c r="CQ16" s="682"/>
      <c r="CR16" s="683"/>
      <c r="CS16" s="675"/>
      <c r="CT16" s="675"/>
      <c r="CU16" s="671"/>
      <c r="CV16" s="670"/>
      <c r="CW16" s="673"/>
      <c r="CX16" s="671"/>
      <c r="CY16" s="671"/>
      <c r="CZ16" s="671"/>
      <c r="DA16" s="670"/>
      <c r="DB16" s="680"/>
      <c r="DC16" s="682"/>
      <c r="DD16" s="683"/>
      <c r="DE16" s="675"/>
      <c r="DF16" s="675"/>
      <c r="DG16" s="671"/>
      <c r="DH16" s="670"/>
      <c r="DI16" s="673"/>
      <c r="DJ16" s="671"/>
      <c r="DK16" s="671"/>
      <c r="DL16" s="671"/>
      <c r="DM16" s="670"/>
      <c r="DN16" s="680"/>
      <c r="DO16" s="682"/>
      <c r="DP16" s="683"/>
      <c r="DQ16" s="675"/>
      <c r="DR16" s="675"/>
    </row>
    <row r="17" spans="1:122" ht="15.75">
      <c r="A17" s="669"/>
      <c r="B17" s="192" t="s">
        <v>275</v>
      </c>
      <c r="C17" s="58">
        <v>4</v>
      </c>
      <c r="D17" s="58"/>
      <c r="E17" s="58"/>
      <c r="F17" s="58"/>
      <c r="G17" s="58"/>
      <c r="H17" s="58"/>
      <c r="I17" s="58"/>
      <c r="J17" s="59">
        <f>SUM(C17:I17)</f>
        <v>4</v>
      </c>
      <c r="K17" s="147"/>
      <c r="L17" s="189"/>
      <c r="M17" s="190"/>
      <c r="N17" s="190"/>
      <c r="O17" s="58">
        <v>4</v>
      </c>
      <c r="P17" s="58"/>
      <c r="Q17" s="58"/>
      <c r="R17" s="58"/>
      <c r="S17" s="58"/>
      <c r="T17" s="58"/>
      <c r="U17" s="58"/>
      <c r="V17" s="59">
        <f>SUM(O17:U17)</f>
        <v>4</v>
      </c>
      <c r="W17" s="147"/>
      <c r="X17" s="189"/>
      <c r="Y17" s="190"/>
      <c r="Z17" s="190"/>
      <c r="AA17" s="58">
        <v>4</v>
      </c>
      <c r="AB17" s="58"/>
      <c r="AC17" s="58"/>
      <c r="AD17" s="58"/>
      <c r="AE17" s="58"/>
      <c r="AF17" s="58"/>
      <c r="AG17" s="58"/>
      <c r="AH17" s="59">
        <f>SUM(AA17:AG17)</f>
        <v>4</v>
      </c>
      <c r="AI17" s="147"/>
      <c r="AJ17" s="189"/>
      <c r="AK17" s="190"/>
      <c r="AL17" s="190"/>
      <c r="AM17" s="58">
        <v>4</v>
      </c>
      <c r="AN17" s="58"/>
      <c r="AO17" s="58"/>
      <c r="AP17" s="58"/>
      <c r="AQ17" s="58"/>
      <c r="AR17" s="58"/>
      <c r="AS17" s="58"/>
      <c r="AT17" s="59">
        <f>SUM(AM17:AS17)</f>
        <v>4</v>
      </c>
      <c r="AU17" s="147"/>
      <c r="AV17" s="189"/>
      <c r="AW17" s="190"/>
      <c r="AX17" s="190"/>
      <c r="AY17" s="58">
        <v>4</v>
      </c>
      <c r="AZ17" s="58"/>
      <c r="BA17" s="58"/>
      <c r="BB17" s="58"/>
      <c r="BC17" s="58"/>
      <c r="BD17" s="58"/>
      <c r="BE17" s="58"/>
      <c r="BF17" s="59">
        <f>SUM(AY17:BE17)</f>
        <v>4</v>
      </c>
      <c r="BG17" s="147"/>
      <c r="BH17" s="189"/>
      <c r="BI17" s="190"/>
      <c r="BJ17" s="190"/>
      <c r="BK17" s="58">
        <v>4</v>
      </c>
      <c r="BL17" s="58"/>
      <c r="BM17" s="58"/>
      <c r="BN17" s="58"/>
      <c r="BO17" s="58"/>
      <c r="BP17" s="58"/>
      <c r="BQ17" s="58"/>
      <c r="BR17" s="59">
        <f>SUM(BK17:BQ17)</f>
        <v>4</v>
      </c>
      <c r="BS17" s="147"/>
      <c r="BT17" s="189"/>
      <c r="BU17" s="190"/>
      <c r="BV17" s="190"/>
      <c r="BW17" s="58">
        <v>4</v>
      </c>
      <c r="BX17" s="58"/>
      <c r="BY17" s="58"/>
      <c r="BZ17" s="58"/>
      <c r="CA17" s="58"/>
      <c r="CB17" s="58"/>
      <c r="CC17" s="58"/>
      <c r="CD17" s="59">
        <f>SUM(BW17:CC17)</f>
        <v>4</v>
      </c>
      <c r="CE17" s="147"/>
      <c r="CF17" s="189"/>
      <c r="CG17" s="190"/>
      <c r="CH17" s="190"/>
      <c r="CI17" s="58">
        <v>4</v>
      </c>
      <c r="CJ17" s="58"/>
      <c r="CK17" s="58"/>
      <c r="CL17" s="58"/>
      <c r="CM17" s="58"/>
      <c r="CN17" s="58"/>
      <c r="CO17" s="58"/>
      <c r="CP17" s="59">
        <f>SUM(CI17:CO17)</f>
        <v>4</v>
      </c>
      <c r="CQ17" s="147"/>
      <c r="CR17" s="189"/>
      <c r="CS17" s="190"/>
      <c r="CT17" s="190"/>
      <c r="CU17" s="58">
        <v>4</v>
      </c>
      <c r="CV17" s="58"/>
      <c r="CW17" s="58"/>
      <c r="CX17" s="58"/>
      <c r="CY17" s="58"/>
      <c r="CZ17" s="58"/>
      <c r="DA17" s="58"/>
      <c r="DB17" s="59">
        <f>SUM(CU17:DA17)</f>
        <v>4</v>
      </c>
      <c r="DC17" s="147"/>
      <c r="DD17" s="189"/>
      <c r="DE17" s="190"/>
      <c r="DF17" s="190"/>
      <c r="DG17" s="58">
        <v>4</v>
      </c>
      <c r="DH17" s="58"/>
      <c r="DI17" s="58"/>
      <c r="DJ17" s="58"/>
      <c r="DK17" s="58"/>
      <c r="DL17" s="58"/>
      <c r="DM17" s="58"/>
      <c r="DN17" s="59">
        <f>SUM(DG17:DM17)</f>
        <v>4</v>
      </c>
      <c r="DO17" s="147"/>
      <c r="DP17" s="189"/>
      <c r="DQ17" s="190"/>
      <c r="DR17" s="190"/>
    </row>
    <row r="18" spans="1:122" ht="15.75">
      <c r="A18" s="148"/>
      <c r="B18" s="148" t="s">
        <v>239</v>
      </c>
      <c r="C18" s="149"/>
      <c r="D18" s="150"/>
      <c r="E18" s="151"/>
      <c r="F18" s="149"/>
      <c r="G18" s="149"/>
      <c r="H18" s="149"/>
      <c r="I18" s="150"/>
      <c r="J18" s="150"/>
      <c r="K18" s="150"/>
      <c r="L18" s="189"/>
      <c r="M18" s="190"/>
      <c r="N18" s="190"/>
      <c r="O18" s="149"/>
      <c r="P18" s="150"/>
      <c r="Q18" s="151"/>
      <c r="R18" s="149"/>
      <c r="S18" s="149"/>
      <c r="T18" s="149"/>
      <c r="U18" s="150"/>
      <c r="V18" s="150"/>
      <c r="W18" s="150"/>
      <c r="X18" s="189"/>
      <c r="Y18" s="190"/>
      <c r="Z18" s="190"/>
      <c r="AA18" s="149"/>
      <c r="AB18" s="150"/>
      <c r="AC18" s="151"/>
      <c r="AD18" s="149"/>
      <c r="AE18" s="149"/>
      <c r="AF18" s="149"/>
      <c r="AG18" s="150"/>
      <c r="AH18" s="150"/>
      <c r="AI18" s="150"/>
      <c r="AJ18" s="189"/>
      <c r="AK18" s="190"/>
      <c r="AL18" s="190"/>
      <c r="AM18" s="149"/>
      <c r="AN18" s="150"/>
      <c r="AO18" s="151"/>
      <c r="AP18" s="149"/>
      <c r="AQ18" s="149"/>
      <c r="AR18" s="149"/>
      <c r="AS18" s="150"/>
      <c r="AT18" s="150"/>
      <c r="AU18" s="150"/>
      <c r="AV18" s="189"/>
      <c r="AW18" s="190"/>
      <c r="AX18" s="190"/>
      <c r="AY18" s="149"/>
      <c r="AZ18" s="150"/>
      <c r="BA18" s="151"/>
      <c r="BB18" s="149"/>
      <c r="BC18" s="149"/>
      <c r="BD18" s="149"/>
      <c r="BE18" s="150"/>
      <c r="BF18" s="150"/>
      <c r="BG18" s="150"/>
      <c r="BH18" s="189"/>
      <c r="BI18" s="190"/>
      <c r="BJ18" s="190"/>
      <c r="BK18" s="149"/>
      <c r="BL18" s="150"/>
      <c r="BM18" s="151"/>
      <c r="BN18" s="149"/>
      <c r="BO18" s="149"/>
      <c r="BP18" s="149"/>
      <c r="BQ18" s="150"/>
      <c r="BR18" s="150"/>
      <c r="BS18" s="150"/>
      <c r="BT18" s="189"/>
      <c r="BU18" s="190"/>
      <c r="BV18" s="190"/>
      <c r="BW18" s="149"/>
      <c r="BX18" s="150"/>
      <c r="BY18" s="151"/>
      <c r="BZ18" s="149"/>
      <c r="CA18" s="149"/>
      <c r="CB18" s="149"/>
      <c r="CC18" s="150"/>
      <c r="CD18" s="150"/>
      <c r="CE18" s="150"/>
      <c r="CF18" s="189"/>
      <c r="CG18" s="190"/>
      <c r="CH18" s="190"/>
      <c r="CI18" s="149"/>
      <c r="CJ18" s="150"/>
      <c r="CK18" s="151"/>
      <c r="CL18" s="149"/>
      <c r="CM18" s="149"/>
      <c r="CN18" s="149"/>
      <c r="CO18" s="150"/>
      <c r="CP18" s="150"/>
      <c r="CQ18" s="150"/>
      <c r="CR18" s="189"/>
      <c r="CS18" s="190"/>
      <c r="CT18" s="190"/>
      <c r="CU18" s="149"/>
      <c r="CV18" s="150"/>
      <c r="CW18" s="151"/>
      <c r="CX18" s="149"/>
      <c r="CY18" s="149"/>
      <c r="CZ18" s="149"/>
      <c r="DA18" s="150"/>
      <c r="DB18" s="150"/>
      <c r="DC18" s="150"/>
      <c r="DD18" s="189"/>
      <c r="DE18" s="190"/>
      <c r="DF18" s="190"/>
      <c r="DG18" s="149"/>
      <c r="DH18" s="150"/>
      <c r="DI18" s="151"/>
      <c r="DJ18" s="149"/>
      <c r="DK18" s="149"/>
      <c r="DL18" s="149"/>
      <c r="DM18" s="150"/>
      <c r="DN18" s="150"/>
      <c r="DO18" s="150"/>
      <c r="DP18" s="189"/>
      <c r="DQ18" s="190"/>
      <c r="DR18" s="190"/>
    </row>
    <row r="19" spans="1:122">
      <c r="A19" s="64">
        <f>'DATA SISWA'!A5</f>
        <v>1</v>
      </c>
      <c r="B19" s="76" t="str">
        <f>'DATA SISWA'!C5</f>
        <v>ABD MANNAN</v>
      </c>
      <c r="C19" s="65"/>
      <c r="D19" s="65"/>
      <c r="E19" s="65"/>
      <c r="F19" s="66"/>
      <c r="G19" s="65"/>
      <c r="H19" s="65"/>
      <c r="I19" s="65"/>
      <c r="J19" s="67">
        <f>SUM(C19:I19)</f>
        <v>0</v>
      </c>
      <c r="K19" s="68">
        <f>IFERROR((J19/$J$17)*100," ")</f>
        <v>0</v>
      </c>
      <c r="L19" s="68">
        <f>IFERROR((K19/100)*4,"  ")</f>
        <v>0</v>
      </c>
      <c r="M19" s="69" t="str">
        <f t="shared" ref="M19:M58" si="0">IF(L19="  ","  ",IF(L19&gt;3.66,"A",IF(L19&gt;3.33,"A-",IF(L19&gt;3,"B+",IF(L19&gt;2.66,"B",IF(L19&gt;2.33,"B-",IF(L19&gt;2,"C+",IF(L19&gt;1.66,"C",IF(L19&gt;1.33,"C-",IF(L19&gt;1,"D+","D"))))))))))</f>
        <v>D</v>
      </c>
      <c r="N19" s="70" t="str">
        <f>IF(L19="  ","  ",IF(L19&gt;=menu!$D$19,"Tuntas","Tidak Tuntas"))</f>
        <v>Tuntas</v>
      </c>
      <c r="O19" s="65"/>
      <c r="P19" s="65"/>
      <c r="Q19" s="65"/>
      <c r="R19" s="66"/>
      <c r="S19" s="65"/>
      <c r="T19" s="65"/>
      <c r="U19" s="65"/>
      <c r="V19" s="67">
        <f>SUM(O19:U19)</f>
        <v>0</v>
      </c>
      <c r="W19" s="68">
        <f>IFERROR((V19/$J$17)*100," ")</f>
        <v>0</v>
      </c>
      <c r="X19" s="68">
        <f>IFERROR((W19/100)*4,"  ")</f>
        <v>0</v>
      </c>
      <c r="Y19" s="69" t="str">
        <f t="shared" ref="Y19:Y58" si="1">IF(X19="  ","  ",IF(X19&gt;3.66,"A",IF(X19&gt;3.33,"A-",IF(X19&gt;3,"B+",IF(X19&gt;2.66,"B",IF(X19&gt;2.33,"B-",IF(X19&gt;2,"C+",IF(X19&gt;1.66,"C",IF(X19&gt;1.33,"C-",IF(X19&gt;1,"D+","D"))))))))))</f>
        <v>D</v>
      </c>
      <c r="Z19" s="70" t="str">
        <f>IF(X19="  ","  ",IF(X19&gt;=menu!$D$19,"Tuntas","Tidak Tuntas"))</f>
        <v>Tuntas</v>
      </c>
      <c r="AA19" s="65"/>
      <c r="AB19" s="65"/>
      <c r="AC19" s="65"/>
      <c r="AD19" s="66"/>
      <c r="AE19" s="65"/>
      <c r="AF19" s="65"/>
      <c r="AG19" s="65"/>
      <c r="AH19" s="67">
        <f>SUM(AA19:AG19)</f>
        <v>0</v>
      </c>
      <c r="AI19" s="68">
        <f>IFERROR((AH19/$J$17)*100," ")</f>
        <v>0</v>
      </c>
      <c r="AJ19" s="68">
        <f>IFERROR((AI19/100)*4,"  ")</f>
        <v>0</v>
      </c>
      <c r="AK19" s="69" t="str">
        <f t="shared" ref="AK19:AK58" si="2">IF(AJ19="  ","  ",IF(AJ19&gt;3.66,"A",IF(AJ19&gt;3.33,"A-",IF(AJ19&gt;3,"B+",IF(AJ19&gt;2.66,"B",IF(AJ19&gt;2.33,"B-",IF(AJ19&gt;2,"C+",IF(AJ19&gt;1.66,"C",IF(AJ19&gt;1.33,"C-",IF(AJ19&gt;1,"D+","D"))))))))))</f>
        <v>D</v>
      </c>
      <c r="AL19" s="70" t="str">
        <f>IF(AJ19="  ","  ",IF(AJ19&gt;=menu!$D$19,"Tuntas","Tidak Tuntas"))</f>
        <v>Tuntas</v>
      </c>
      <c r="AM19" s="65"/>
      <c r="AN19" s="65"/>
      <c r="AO19" s="65"/>
      <c r="AP19" s="66"/>
      <c r="AQ19" s="65"/>
      <c r="AR19" s="65"/>
      <c r="AS19" s="65"/>
      <c r="AT19" s="67">
        <f>SUM(AM19:AS19)</f>
        <v>0</v>
      </c>
      <c r="AU19" s="68">
        <f>IFERROR((AT19/$J$17)*100," ")</f>
        <v>0</v>
      </c>
      <c r="AV19" s="68">
        <f>IFERROR((AU19/100)*4,"  ")</f>
        <v>0</v>
      </c>
      <c r="AW19" s="69" t="str">
        <f t="shared" ref="AW19:AW58" si="3">IF(AV19="  ","  ",IF(AV19&gt;3.66,"A",IF(AV19&gt;3.33,"A-",IF(AV19&gt;3,"B+",IF(AV19&gt;2.66,"B",IF(AV19&gt;2.33,"B-",IF(AV19&gt;2,"C+",IF(AV19&gt;1.66,"C",IF(AV19&gt;1.33,"C-",IF(AV19&gt;1,"D+","D"))))))))))</f>
        <v>D</v>
      </c>
      <c r="AX19" s="70" t="str">
        <f>IF(AV19="  ","  ",IF(AV19&gt;=menu!$D$19,"Tuntas","Tidak Tuntas"))</f>
        <v>Tuntas</v>
      </c>
      <c r="AY19" s="65"/>
      <c r="AZ19" s="65"/>
      <c r="BA19" s="65"/>
      <c r="BB19" s="66"/>
      <c r="BC19" s="65"/>
      <c r="BD19" s="65"/>
      <c r="BE19" s="65"/>
      <c r="BF19" s="67">
        <f>SUM(AY19:BE19)</f>
        <v>0</v>
      </c>
      <c r="BG19" s="68">
        <f>IFERROR((BF19/$J$17)*100," ")</f>
        <v>0</v>
      </c>
      <c r="BH19" s="68">
        <f>IFERROR((BG19/100)*4,"  ")</f>
        <v>0</v>
      </c>
      <c r="BI19" s="69" t="str">
        <f t="shared" ref="BI19:BI58" si="4">IF(BH19="  ","  ",IF(BH19&gt;3.66,"A",IF(BH19&gt;3.33,"A-",IF(BH19&gt;3,"B+",IF(BH19&gt;2.66,"B",IF(BH19&gt;2.33,"B-",IF(BH19&gt;2,"C+",IF(BH19&gt;1.66,"C",IF(BH19&gt;1.33,"C-",IF(BH19&gt;1,"D+","D"))))))))))</f>
        <v>D</v>
      </c>
      <c r="BJ19" s="70" t="str">
        <f>IF(BH19="  ","  ",IF(BH19&gt;=menu!$D$19,"Tuntas","Tidak Tuntas"))</f>
        <v>Tuntas</v>
      </c>
      <c r="BK19" s="65"/>
      <c r="BL19" s="65"/>
      <c r="BM19" s="65"/>
      <c r="BN19" s="66"/>
      <c r="BO19" s="65"/>
      <c r="BP19" s="65"/>
      <c r="BQ19" s="65"/>
      <c r="BR19" s="67">
        <f>SUM(BK19:BQ19)</f>
        <v>0</v>
      </c>
      <c r="BS19" s="68">
        <f>IFERROR((BR19/$J$17)*100," ")</f>
        <v>0</v>
      </c>
      <c r="BT19" s="68">
        <f>IFERROR((BS19/100)*4,"  ")</f>
        <v>0</v>
      </c>
      <c r="BU19" s="69" t="str">
        <f t="shared" ref="BU19:BU58" si="5">IF(BT19="  ","  ",IF(BT19&gt;3.66,"A",IF(BT19&gt;3.33,"A-",IF(BT19&gt;3,"B+",IF(BT19&gt;2.66,"B",IF(BT19&gt;2.33,"B-",IF(BT19&gt;2,"C+",IF(BT19&gt;1.66,"C",IF(BT19&gt;1.33,"C-",IF(BT19&gt;1,"D+","D"))))))))))</f>
        <v>D</v>
      </c>
      <c r="BV19" s="70" t="str">
        <f>IF(BT19="  ","  ",IF(BT19&gt;=menu!$D$19,"Tuntas","Tidak Tuntas"))</f>
        <v>Tuntas</v>
      </c>
      <c r="BW19" s="65"/>
      <c r="BX19" s="65"/>
      <c r="BY19" s="65"/>
      <c r="BZ19" s="66"/>
      <c r="CA19" s="65"/>
      <c r="CB19" s="65"/>
      <c r="CC19" s="65"/>
      <c r="CD19" s="67">
        <f>SUM(BW19:CC19)</f>
        <v>0</v>
      </c>
      <c r="CE19" s="68">
        <f>IFERROR((CD19/$J$17)*100," ")</f>
        <v>0</v>
      </c>
      <c r="CF19" s="68">
        <f>IFERROR((CE19/100)*4,"  ")</f>
        <v>0</v>
      </c>
      <c r="CG19" s="69" t="str">
        <f t="shared" ref="CG19:CG58" si="6">IF(CF19="  ","  ",IF(CF19&gt;3.66,"A",IF(CF19&gt;3.33,"A-",IF(CF19&gt;3,"B+",IF(CF19&gt;2.66,"B",IF(CF19&gt;2.33,"B-",IF(CF19&gt;2,"C+",IF(CF19&gt;1.66,"C",IF(CF19&gt;1.33,"C-",IF(CF19&gt;1,"D+","D"))))))))))</f>
        <v>D</v>
      </c>
      <c r="CH19" s="70" t="str">
        <f>IF(CF19="  ","  ",IF(CF19&gt;=menu!$D$19,"Tuntas","Tidak Tuntas"))</f>
        <v>Tuntas</v>
      </c>
      <c r="CI19" s="65"/>
      <c r="CJ19" s="65"/>
      <c r="CK19" s="65"/>
      <c r="CL19" s="66"/>
      <c r="CM19" s="65"/>
      <c r="CN19" s="65"/>
      <c r="CO19" s="65"/>
      <c r="CP19" s="67">
        <f>SUM(CI19:CO19)</f>
        <v>0</v>
      </c>
      <c r="CQ19" s="68">
        <f>IFERROR((CP19/$J$17)*100," ")</f>
        <v>0</v>
      </c>
      <c r="CR19" s="68">
        <f>IFERROR((CQ19/100)*4,"  ")</f>
        <v>0</v>
      </c>
      <c r="CS19" s="69" t="str">
        <f t="shared" ref="CS19:CS58" si="7">IF(CR19="  ","  ",IF(CR19&gt;3.66,"A",IF(CR19&gt;3.33,"A-",IF(CR19&gt;3,"B+",IF(CR19&gt;2.66,"B",IF(CR19&gt;2.33,"B-",IF(CR19&gt;2,"C+",IF(CR19&gt;1.66,"C",IF(CR19&gt;1.33,"C-",IF(CR19&gt;1,"D+","D"))))))))))</f>
        <v>D</v>
      </c>
      <c r="CT19" s="70" t="str">
        <f>IF(CR19="  ","  ",IF(CR19&gt;=menu!$D$19,"Tuntas","Tidak Tuntas"))</f>
        <v>Tuntas</v>
      </c>
      <c r="CU19" s="65"/>
      <c r="CV19" s="65"/>
      <c r="CW19" s="65"/>
      <c r="CX19" s="66"/>
      <c r="CY19" s="65"/>
      <c r="CZ19" s="65"/>
      <c r="DA19" s="65"/>
      <c r="DB19" s="67">
        <f>SUM(CU19:DA19)</f>
        <v>0</v>
      </c>
      <c r="DC19" s="68">
        <f>IFERROR((DB19/$J$17)*100," ")</f>
        <v>0</v>
      </c>
      <c r="DD19" s="68">
        <f>IFERROR((DC19/100)*4,"  ")</f>
        <v>0</v>
      </c>
      <c r="DE19" s="69" t="str">
        <f t="shared" ref="DE19:DE58" si="8">IF(DD19="  ","  ",IF(DD19&gt;3.66,"A",IF(DD19&gt;3.33,"A-",IF(DD19&gt;3,"B+",IF(DD19&gt;2.66,"B",IF(DD19&gt;2.33,"B-",IF(DD19&gt;2,"C+",IF(DD19&gt;1.66,"C",IF(DD19&gt;1.33,"C-",IF(DD19&gt;1,"D+","D"))))))))))</f>
        <v>D</v>
      </c>
      <c r="DF19" s="70" t="str">
        <f>IF(DD19="  ","  ",IF(DD19&gt;=menu!$D$19,"Tuntas","Tidak Tuntas"))</f>
        <v>Tuntas</v>
      </c>
      <c r="DG19" s="65"/>
      <c r="DH19" s="65"/>
      <c r="DI19" s="65"/>
      <c r="DJ19" s="66"/>
      <c r="DK19" s="65"/>
      <c r="DL19" s="65"/>
      <c r="DM19" s="65"/>
      <c r="DN19" s="67">
        <f>SUM(DG19:DM19)</f>
        <v>0</v>
      </c>
      <c r="DO19" s="68">
        <f>IFERROR((DN19/$J$17)*100," ")</f>
        <v>0</v>
      </c>
      <c r="DP19" s="68">
        <f>IFERROR((DO19/100)*4,"  ")</f>
        <v>0</v>
      </c>
      <c r="DQ19" s="69" t="str">
        <f t="shared" ref="DQ19:DQ58" si="9">IF(DP19="  ","  ",IF(DP19&gt;3.66,"A",IF(DP19&gt;3.33,"A-",IF(DP19&gt;3,"B+",IF(DP19&gt;2.66,"B",IF(DP19&gt;2.33,"B-",IF(DP19&gt;2,"C+",IF(DP19&gt;1.66,"C",IF(DP19&gt;1.33,"C-",IF(DP19&gt;1,"D+","D"))))))))))</f>
        <v>D</v>
      </c>
      <c r="DR19" s="70" t="str">
        <f>IF(DP19="  ","  ",IF(DP19&gt;=menu!$D$19,"Tuntas","Tidak Tuntas"))</f>
        <v>Tuntas</v>
      </c>
    </row>
    <row r="20" spans="1:122">
      <c r="A20" s="64">
        <f>'DATA SISWA'!A6</f>
        <v>2</v>
      </c>
      <c r="B20" s="76">
        <f>'DATA SISWA'!C6</f>
        <v>0</v>
      </c>
      <c r="C20" s="65"/>
      <c r="D20" s="65"/>
      <c r="E20" s="65"/>
      <c r="F20" s="66"/>
      <c r="G20" s="65"/>
      <c r="H20" s="65"/>
      <c r="I20" s="65"/>
      <c r="J20" s="67">
        <f t="shared" ref="J20:J58" si="10">SUM(C20:I20)</f>
        <v>0</v>
      </c>
      <c r="K20" s="68">
        <f t="shared" ref="K20:K66" si="11">IFERROR((J20/$J$17)*100," ")</f>
        <v>0</v>
      </c>
      <c r="L20" s="68">
        <f t="shared" ref="L20:L58" si="12">IFERROR((K20/100)*4,"  ")</f>
        <v>0</v>
      </c>
      <c r="M20" s="69" t="str">
        <f t="shared" si="0"/>
        <v>D</v>
      </c>
      <c r="N20" s="70" t="str">
        <f>IF(L20="  ","  ",IF(L20&gt;=menu!$D$19,"Tuntas","Tidak Tuntas"))</f>
        <v>Tuntas</v>
      </c>
      <c r="O20" s="65"/>
      <c r="P20" s="65"/>
      <c r="Q20" s="65"/>
      <c r="R20" s="66"/>
      <c r="S20" s="65"/>
      <c r="T20" s="65"/>
      <c r="U20" s="65"/>
      <c r="V20" s="67">
        <f t="shared" ref="V20:V58" si="13">SUM(O20:U20)</f>
        <v>0</v>
      </c>
      <c r="W20" s="68">
        <f t="shared" ref="W20:W66" si="14">IFERROR((V20/$J$17)*100," ")</f>
        <v>0</v>
      </c>
      <c r="X20" s="68">
        <f t="shared" ref="X20:X58" si="15">IFERROR((W20/100)*4,"  ")</f>
        <v>0</v>
      </c>
      <c r="Y20" s="69" t="str">
        <f t="shared" si="1"/>
        <v>D</v>
      </c>
      <c r="Z20" s="70" t="str">
        <f>IF(X20="  ","  ",IF(X20&gt;=menu!$D$19,"Tuntas","Tidak Tuntas"))</f>
        <v>Tuntas</v>
      </c>
      <c r="AA20" s="65"/>
      <c r="AB20" s="65"/>
      <c r="AC20" s="65"/>
      <c r="AD20" s="66"/>
      <c r="AE20" s="65"/>
      <c r="AF20" s="65"/>
      <c r="AG20" s="65"/>
      <c r="AH20" s="67">
        <f t="shared" ref="AH20:AH58" si="16">SUM(AA20:AG20)</f>
        <v>0</v>
      </c>
      <c r="AI20" s="68">
        <f t="shared" ref="AI20:AI66" si="17">IFERROR((AH20/$J$17)*100," ")</f>
        <v>0</v>
      </c>
      <c r="AJ20" s="68">
        <f t="shared" ref="AJ20:AJ58" si="18">IFERROR((AI20/100)*4,"  ")</f>
        <v>0</v>
      </c>
      <c r="AK20" s="69" t="str">
        <f t="shared" si="2"/>
        <v>D</v>
      </c>
      <c r="AL20" s="70" t="str">
        <f>IF(AJ20="  ","  ",IF(AJ20&gt;=menu!$D$19,"Tuntas","Tidak Tuntas"))</f>
        <v>Tuntas</v>
      </c>
      <c r="AM20" s="65"/>
      <c r="AN20" s="65"/>
      <c r="AO20" s="65"/>
      <c r="AP20" s="66"/>
      <c r="AQ20" s="65"/>
      <c r="AR20" s="65"/>
      <c r="AS20" s="65"/>
      <c r="AT20" s="67">
        <f t="shared" ref="AT20:AT58" si="19">SUM(AM20:AS20)</f>
        <v>0</v>
      </c>
      <c r="AU20" s="68">
        <f t="shared" ref="AU20:AU66" si="20">IFERROR((AT20/$J$17)*100," ")</f>
        <v>0</v>
      </c>
      <c r="AV20" s="68">
        <f t="shared" ref="AV20:AV58" si="21">IFERROR((AU20/100)*4,"  ")</f>
        <v>0</v>
      </c>
      <c r="AW20" s="69" t="str">
        <f t="shared" si="3"/>
        <v>D</v>
      </c>
      <c r="AX20" s="70" t="str">
        <f>IF(AV20="  ","  ",IF(AV20&gt;=menu!$D$19,"Tuntas","Tidak Tuntas"))</f>
        <v>Tuntas</v>
      </c>
      <c r="AY20" s="65"/>
      <c r="AZ20" s="65"/>
      <c r="BA20" s="65"/>
      <c r="BB20" s="66"/>
      <c r="BC20" s="65"/>
      <c r="BD20" s="65"/>
      <c r="BE20" s="65"/>
      <c r="BF20" s="67">
        <f t="shared" ref="BF20:BF58" si="22">SUM(AY20:BE20)</f>
        <v>0</v>
      </c>
      <c r="BG20" s="68">
        <f t="shared" ref="BG20:BG66" si="23">IFERROR((BF20/$J$17)*100," ")</f>
        <v>0</v>
      </c>
      <c r="BH20" s="68">
        <f t="shared" ref="BH20:BH58" si="24">IFERROR((BG20/100)*4,"  ")</f>
        <v>0</v>
      </c>
      <c r="BI20" s="69" t="str">
        <f t="shared" si="4"/>
        <v>D</v>
      </c>
      <c r="BJ20" s="70" t="str">
        <f>IF(BH20="  ","  ",IF(BH20&gt;=menu!$D$19,"Tuntas","Tidak Tuntas"))</f>
        <v>Tuntas</v>
      </c>
      <c r="BK20" s="65"/>
      <c r="BL20" s="65"/>
      <c r="BM20" s="65"/>
      <c r="BN20" s="66"/>
      <c r="BO20" s="65"/>
      <c r="BP20" s="65"/>
      <c r="BQ20" s="65"/>
      <c r="BR20" s="67">
        <f t="shared" ref="BR20:BR58" si="25">SUM(BK20:BQ20)</f>
        <v>0</v>
      </c>
      <c r="BS20" s="68">
        <f t="shared" ref="BS20:BS66" si="26">IFERROR((BR20/$J$17)*100," ")</f>
        <v>0</v>
      </c>
      <c r="BT20" s="68">
        <f t="shared" ref="BT20:BT58" si="27">IFERROR((BS20/100)*4,"  ")</f>
        <v>0</v>
      </c>
      <c r="BU20" s="69" t="str">
        <f t="shared" si="5"/>
        <v>D</v>
      </c>
      <c r="BV20" s="70" t="str">
        <f>IF(BT20="  ","  ",IF(BT20&gt;=menu!$D$19,"Tuntas","Tidak Tuntas"))</f>
        <v>Tuntas</v>
      </c>
      <c r="BW20" s="65"/>
      <c r="BX20" s="65"/>
      <c r="BY20" s="65"/>
      <c r="BZ20" s="66"/>
      <c r="CA20" s="65"/>
      <c r="CB20" s="65"/>
      <c r="CC20" s="65"/>
      <c r="CD20" s="67">
        <f t="shared" ref="CD20:CD58" si="28">SUM(BW20:CC20)</f>
        <v>0</v>
      </c>
      <c r="CE20" s="68">
        <f t="shared" ref="CE20:CE66" si="29">IFERROR((CD20/$J$17)*100," ")</f>
        <v>0</v>
      </c>
      <c r="CF20" s="68">
        <f t="shared" ref="CF20:CF58" si="30">IFERROR((CE20/100)*4,"  ")</f>
        <v>0</v>
      </c>
      <c r="CG20" s="69" t="str">
        <f t="shared" si="6"/>
        <v>D</v>
      </c>
      <c r="CH20" s="70" t="str">
        <f>IF(CF20="  ","  ",IF(CF20&gt;=menu!$D$19,"Tuntas","Tidak Tuntas"))</f>
        <v>Tuntas</v>
      </c>
      <c r="CI20" s="65"/>
      <c r="CJ20" s="65"/>
      <c r="CK20" s="65"/>
      <c r="CL20" s="66"/>
      <c r="CM20" s="65"/>
      <c r="CN20" s="65"/>
      <c r="CO20" s="65"/>
      <c r="CP20" s="67">
        <f t="shared" ref="CP20:CP58" si="31">SUM(CI20:CO20)</f>
        <v>0</v>
      </c>
      <c r="CQ20" s="68">
        <f t="shared" ref="CQ20:CQ66" si="32">IFERROR((CP20/$J$17)*100," ")</f>
        <v>0</v>
      </c>
      <c r="CR20" s="68">
        <f t="shared" ref="CR20:CR58" si="33">IFERROR((CQ20/100)*4,"  ")</f>
        <v>0</v>
      </c>
      <c r="CS20" s="69" t="str">
        <f t="shared" si="7"/>
        <v>D</v>
      </c>
      <c r="CT20" s="70" t="str">
        <f>IF(CR20="  ","  ",IF(CR20&gt;=menu!$D$19,"Tuntas","Tidak Tuntas"))</f>
        <v>Tuntas</v>
      </c>
      <c r="CU20" s="65"/>
      <c r="CV20" s="65"/>
      <c r="CW20" s="65"/>
      <c r="CX20" s="66"/>
      <c r="CY20" s="65"/>
      <c r="CZ20" s="65"/>
      <c r="DA20" s="65"/>
      <c r="DB20" s="67">
        <f t="shared" ref="DB20:DB58" si="34">SUM(CU20:DA20)</f>
        <v>0</v>
      </c>
      <c r="DC20" s="68">
        <f t="shared" ref="DC20:DC66" si="35">IFERROR((DB20/$J$17)*100," ")</f>
        <v>0</v>
      </c>
      <c r="DD20" s="68">
        <f t="shared" ref="DD20:DD58" si="36">IFERROR((DC20/100)*4,"  ")</f>
        <v>0</v>
      </c>
      <c r="DE20" s="69" t="str">
        <f t="shared" si="8"/>
        <v>D</v>
      </c>
      <c r="DF20" s="70" t="str">
        <f>IF(DD20="  ","  ",IF(DD20&gt;=menu!$D$19,"Tuntas","Tidak Tuntas"))</f>
        <v>Tuntas</v>
      </c>
      <c r="DG20" s="65"/>
      <c r="DH20" s="65"/>
      <c r="DI20" s="65"/>
      <c r="DJ20" s="66"/>
      <c r="DK20" s="65"/>
      <c r="DL20" s="65"/>
      <c r="DM20" s="65"/>
      <c r="DN20" s="67">
        <f t="shared" ref="DN20:DN58" si="37">SUM(DG20:DM20)</f>
        <v>0</v>
      </c>
      <c r="DO20" s="68">
        <f t="shared" ref="DO20:DO66" si="38">IFERROR((DN20/$J$17)*100," ")</f>
        <v>0</v>
      </c>
      <c r="DP20" s="68">
        <f t="shared" ref="DP20:DP58" si="39">IFERROR((DO20/100)*4,"  ")</f>
        <v>0</v>
      </c>
      <c r="DQ20" s="69" t="str">
        <f t="shared" si="9"/>
        <v>D</v>
      </c>
      <c r="DR20" s="70" t="str">
        <f>IF(DP20="  ","  ",IF(DP20&gt;=menu!$D$19,"Tuntas","Tidak Tuntas"))</f>
        <v>Tuntas</v>
      </c>
    </row>
    <row r="21" spans="1:122">
      <c r="A21" s="64">
        <f>'DATA SISWA'!A7</f>
        <v>3</v>
      </c>
      <c r="B21" s="76" t="str">
        <f>'DATA SISWA'!C7</f>
        <v>ACHMAD ALFARESI</v>
      </c>
      <c r="C21" s="65"/>
      <c r="D21" s="65"/>
      <c r="E21" s="65"/>
      <c r="F21" s="66"/>
      <c r="G21" s="65"/>
      <c r="H21" s="65"/>
      <c r="I21" s="65"/>
      <c r="J21" s="67">
        <f t="shared" si="10"/>
        <v>0</v>
      </c>
      <c r="K21" s="68">
        <f t="shared" si="11"/>
        <v>0</v>
      </c>
      <c r="L21" s="68">
        <f t="shared" si="12"/>
        <v>0</v>
      </c>
      <c r="M21" s="69" t="str">
        <f t="shared" si="0"/>
        <v>D</v>
      </c>
      <c r="N21" s="70" t="str">
        <f>IF(L21="  ","  ",IF(L21&gt;=menu!$D$19,"Tuntas","Tidak Tuntas"))</f>
        <v>Tuntas</v>
      </c>
      <c r="O21" s="65"/>
      <c r="P21" s="65"/>
      <c r="Q21" s="65"/>
      <c r="R21" s="66"/>
      <c r="S21" s="65"/>
      <c r="T21" s="65"/>
      <c r="U21" s="65"/>
      <c r="V21" s="67">
        <f t="shared" si="13"/>
        <v>0</v>
      </c>
      <c r="W21" s="68">
        <f t="shared" si="14"/>
        <v>0</v>
      </c>
      <c r="X21" s="68">
        <f t="shared" si="15"/>
        <v>0</v>
      </c>
      <c r="Y21" s="69" t="str">
        <f t="shared" si="1"/>
        <v>D</v>
      </c>
      <c r="Z21" s="70" t="str">
        <f>IF(X21="  ","  ",IF(X21&gt;=menu!$D$19,"Tuntas","Tidak Tuntas"))</f>
        <v>Tuntas</v>
      </c>
      <c r="AA21" s="65"/>
      <c r="AB21" s="65"/>
      <c r="AC21" s="65"/>
      <c r="AD21" s="66"/>
      <c r="AE21" s="65"/>
      <c r="AF21" s="65"/>
      <c r="AG21" s="65"/>
      <c r="AH21" s="67">
        <f t="shared" si="16"/>
        <v>0</v>
      </c>
      <c r="AI21" s="68">
        <f t="shared" si="17"/>
        <v>0</v>
      </c>
      <c r="AJ21" s="68">
        <f t="shared" si="18"/>
        <v>0</v>
      </c>
      <c r="AK21" s="69" t="str">
        <f t="shared" si="2"/>
        <v>D</v>
      </c>
      <c r="AL21" s="70" t="str">
        <f>IF(AJ21="  ","  ",IF(AJ21&gt;=menu!$D$19,"Tuntas","Tidak Tuntas"))</f>
        <v>Tuntas</v>
      </c>
      <c r="AM21" s="65"/>
      <c r="AN21" s="65"/>
      <c r="AO21" s="65"/>
      <c r="AP21" s="66"/>
      <c r="AQ21" s="65"/>
      <c r="AR21" s="65"/>
      <c r="AS21" s="65"/>
      <c r="AT21" s="67">
        <f t="shared" si="19"/>
        <v>0</v>
      </c>
      <c r="AU21" s="68">
        <f t="shared" si="20"/>
        <v>0</v>
      </c>
      <c r="AV21" s="68">
        <f t="shared" si="21"/>
        <v>0</v>
      </c>
      <c r="AW21" s="69" t="str">
        <f t="shared" si="3"/>
        <v>D</v>
      </c>
      <c r="AX21" s="70" t="str">
        <f>IF(AV21="  ","  ",IF(AV21&gt;=menu!$D$19,"Tuntas","Tidak Tuntas"))</f>
        <v>Tuntas</v>
      </c>
      <c r="AY21" s="65"/>
      <c r="AZ21" s="65"/>
      <c r="BA21" s="65"/>
      <c r="BB21" s="66"/>
      <c r="BC21" s="65"/>
      <c r="BD21" s="65"/>
      <c r="BE21" s="65"/>
      <c r="BF21" s="67">
        <f t="shared" si="22"/>
        <v>0</v>
      </c>
      <c r="BG21" s="68">
        <f t="shared" si="23"/>
        <v>0</v>
      </c>
      <c r="BH21" s="68">
        <f t="shared" si="24"/>
        <v>0</v>
      </c>
      <c r="BI21" s="69" t="str">
        <f t="shared" si="4"/>
        <v>D</v>
      </c>
      <c r="BJ21" s="70" t="str">
        <f>IF(BH21="  ","  ",IF(BH21&gt;=menu!$D$19,"Tuntas","Tidak Tuntas"))</f>
        <v>Tuntas</v>
      </c>
      <c r="BK21" s="65"/>
      <c r="BL21" s="65"/>
      <c r="BM21" s="65"/>
      <c r="BN21" s="66"/>
      <c r="BO21" s="65"/>
      <c r="BP21" s="65"/>
      <c r="BQ21" s="65"/>
      <c r="BR21" s="67">
        <f t="shared" si="25"/>
        <v>0</v>
      </c>
      <c r="BS21" s="68">
        <f t="shared" si="26"/>
        <v>0</v>
      </c>
      <c r="BT21" s="68">
        <f t="shared" si="27"/>
        <v>0</v>
      </c>
      <c r="BU21" s="69" t="str">
        <f t="shared" si="5"/>
        <v>D</v>
      </c>
      <c r="BV21" s="70" t="str">
        <f>IF(BT21="  ","  ",IF(BT21&gt;=menu!$D$19,"Tuntas","Tidak Tuntas"))</f>
        <v>Tuntas</v>
      </c>
      <c r="BW21" s="65"/>
      <c r="BX21" s="65"/>
      <c r="BY21" s="65"/>
      <c r="BZ21" s="66"/>
      <c r="CA21" s="65"/>
      <c r="CB21" s="65"/>
      <c r="CC21" s="65"/>
      <c r="CD21" s="67">
        <f t="shared" si="28"/>
        <v>0</v>
      </c>
      <c r="CE21" s="68">
        <f t="shared" si="29"/>
        <v>0</v>
      </c>
      <c r="CF21" s="68">
        <f t="shared" si="30"/>
        <v>0</v>
      </c>
      <c r="CG21" s="69" t="str">
        <f t="shared" si="6"/>
        <v>D</v>
      </c>
      <c r="CH21" s="70" t="str">
        <f>IF(CF21="  ","  ",IF(CF21&gt;=menu!$D$19,"Tuntas","Tidak Tuntas"))</f>
        <v>Tuntas</v>
      </c>
      <c r="CI21" s="65"/>
      <c r="CJ21" s="65"/>
      <c r="CK21" s="65"/>
      <c r="CL21" s="66"/>
      <c r="CM21" s="65"/>
      <c r="CN21" s="65"/>
      <c r="CO21" s="65"/>
      <c r="CP21" s="67">
        <f t="shared" si="31"/>
        <v>0</v>
      </c>
      <c r="CQ21" s="68">
        <f t="shared" si="32"/>
        <v>0</v>
      </c>
      <c r="CR21" s="68">
        <f t="shared" si="33"/>
        <v>0</v>
      </c>
      <c r="CS21" s="69" t="str">
        <f t="shared" si="7"/>
        <v>D</v>
      </c>
      <c r="CT21" s="70" t="str">
        <f>IF(CR21="  ","  ",IF(CR21&gt;=menu!$D$19,"Tuntas","Tidak Tuntas"))</f>
        <v>Tuntas</v>
      </c>
      <c r="CU21" s="65"/>
      <c r="CV21" s="65"/>
      <c r="CW21" s="65"/>
      <c r="CX21" s="66"/>
      <c r="CY21" s="65"/>
      <c r="CZ21" s="65"/>
      <c r="DA21" s="65"/>
      <c r="DB21" s="67">
        <f t="shared" si="34"/>
        <v>0</v>
      </c>
      <c r="DC21" s="68">
        <f t="shared" si="35"/>
        <v>0</v>
      </c>
      <c r="DD21" s="68">
        <f t="shared" si="36"/>
        <v>0</v>
      </c>
      <c r="DE21" s="69" t="str">
        <f t="shared" si="8"/>
        <v>D</v>
      </c>
      <c r="DF21" s="70" t="str">
        <f>IF(DD21="  ","  ",IF(DD21&gt;=menu!$D$19,"Tuntas","Tidak Tuntas"))</f>
        <v>Tuntas</v>
      </c>
      <c r="DG21" s="65"/>
      <c r="DH21" s="65"/>
      <c r="DI21" s="65"/>
      <c r="DJ21" s="66"/>
      <c r="DK21" s="65"/>
      <c r="DL21" s="65"/>
      <c r="DM21" s="65"/>
      <c r="DN21" s="67">
        <f t="shared" si="37"/>
        <v>0</v>
      </c>
      <c r="DO21" s="68">
        <f t="shared" si="38"/>
        <v>0</v>
      </c>
      <c r="DP21" s="68">
        <f t="shared" si="39"/>
        <v>0</v>
      </c>
      <c r="DQ21" s="69" t="str">
        <f t="shared" si="9"/>
        <v>D</v>
      </c>
      <c r="DR21" s="70" t="str">
        <f>IF(DP21="  ","  ",IF(DP21&gt;=menu!$D$19,"Tuntas","Tidak Tuntas"))</f>
        <v>Tuntas</v>
      </c>
    </row>
    <row r="22" spans="1:122">
      <c r="A22" s="64">
        <f>'DATA SISWA'!A8</f>
        <v>4</v>
      </c>
      <c r="B22" s="76" t="str">
        <f>'DATA SISWA'!C8</f>
        <v>AGITA ZAHRAH MUFIDAH</v>
      </c>
      <c r="C22" s="65"/>
      <c r="D22" s="65"/>
      <c r="E22" s="65"/>
      <c r="F22" s="66"/>
      <c r="G22" s="65"/>
      <c r="H22" s="65"/>
      <c r="I22" s="65"/>
      <c r="J22" s="67">
        <f t="shared" si="10"/>
        <v>0</v>
      </c>
      <c r="K22" s="68">
        <f t="shared" si="11"/>
        <v>0</v>
      </c>
      <c r="L22" s="68">
        <f t="shared" si="12"/>
        <v>0</v>
      </c>
      <c r="M22" s="69" t="str">
        <f t="shared" si="0"/>
        <v>D</v>
      </c>
      <c r="N22" s="70" t="str">
        <f>IF(L22="  ","  ",IF(L22&gt;=menu!$D$19,"Tuntas","Tidak Tuntas"))</f>
        <v>Tuntas</v>
      </c>
      <c r="O22" s="65"/>
      <c r="P22" s="65"/>
      <c r="Q22" s="65"/>
      <c r="R22" s="66"/>
      <c r="S22" s="65"/>
      <c r="T22" s="65"/>
      <c r="U22" s="65"/>
      <c r="V22" s="67">
        <f t="shared" si="13"/>
        <v>0</v>
      </c>
      <c r="W22" s="68">
        <f t="shared" si="14"/>
        <v>0</v>
      </c>
      <c r="X22" s="68">
        <f t="shared" si="15"/>
        <v>0</v>
      </c>
      <c r="Y22" s="69" t="str">
        <f t="shared" si="1"/>
        <v>D</v>
      </c>
      <c r="Z22" s="70" t="str">
        <f>IF(X22="  ","  ",IF(X22&gt;=menu!$D$19,"Tuntas","Tidak Tuntas"))</f>
        <v>Tuntas</v>
      </c>
      <c r="AA22" s="65"/>
      <c r="AB22" s="65"/>
      <c r="AC22" s="65"/>
      <c r="AD22" s="66"/>
      <c r="AE22" s="65"/>
      <c r="AF22" s="65"/>
      <c r="AG22" s="65"/>
      <c r="AH22" s="67">
        <f t="shared" si="16"/>
        <v>0</v>
      </c>
      <c r="AI22" s="68">
        <f t="shared" si="17"/>
        <v>0</v>
      </c>
      <c r="AJ22" s="68">
        <f t="shared" si="18"/>
        <v>0</v>
      </c>
      <c r="AK22" s="69" t="str">
        <f t="shared" si="2"/>
        <v>D</v>
      </c>
      <c r="AL22" s="70" t="str">
        <f>IF(AJ22="  ","  ",IF(AJ22&gt;=menu!$D$19,"Tuntas","Tidak Tuntas"))</f>
        <v>Tuntas</v>
      </c>
      <c r="AM22" s="65"/>
      <c r="AN22" s="65"/>
      <c r="AO22" s="65"/>
      <c r="AP22" s="66"/>
      <c r="AQ22" s="65"/>
      <c r="AR22" s="65"/>
      <c r="AS22" s="65"/>
      <c r="AT22" s="67">
        <f t="shared" si="19"/>
        <v>0</v>
      </c>
      <c r="AU22" s="68">
        <f t="shared" si="20"/>
        <v>0</v>
      </c>
      <c r="AV22" s="68">
        <f t="shared" si="21"/>
        <v>0</v>
      </c>
      <c r="AW22" s="69" t="str">
        <f t="shared" si="3"/>
        <v>D</v>
      </c>
      <c r="AX22" s="70" t="str">
        <f>IF(AV22="  ","  ",IF(AV22&gt;=menu!$D$19,"Tuntas","Tidak Tuntas"))</f>
        <v>Tuntas</v>
      </c>
      <c r="AY22" s="65"/>
      <c r="AZ22" s="65"/>
      <c r="BA22" s="65"/>
      <c r="BB22" s="66"/>
      <c r="BC22" s="65"/>
      <c r="BD22" s="65"/>
      <c r="BE22" s="65"/>
      <c r="BF22" s="67">
        <f t="shared" si="22"/>
        <v>0</v>
      </c>
      <c r="BG22" s="68">
        <f t="shared" si="23"/>
        <v>0</v>
      </c>
      <c r="BH22" s="68">
        <f t="shared" si="24"/>
        <v>0</v>
      </c>
      <c r="BI22" s="69" t="str">
        <f t="shared" si="4"/>
        <v>D</v>
      </c>
      <c r="BJ22" s="70" t="str">
        <f>IF(BH22="  ","  ",IF(BH22&gt;=menu!$D$19,"Tuntas","Tidak Tuntas"))</f>
        <v>Tuntas</v>
      </c>
      <c r="BK22" s="65"/>
      <c r="BL22" s="65"/>
      <c r="BM22" s="65"/>
      <c r="BN22" s="66"/>
      <c r="BO22" s="65"/>
      <c r="BP22" s="65"/>
      <c r="BQ22" s="65"/>
      <c r="BR22" s="67">
        <f t="shared" si="25"/>
        <v>0</v>
      </c>
      <c r="BS22" s="68">
        <f t="shared" si="26"/>
        <v>0</v>
      </c>
      <c r="BT22" s="68">
        <f t="shared" si="27"/>
        <v>0</v>
      </c>
      <c r="BU22" s="69" t="str">
        <f t="shared" si="5"/>
        <v>D</v>
      </c>
      <c r="BV22" s="70" t="str">
        <f>IF(BT22="  ","  ",IF(BT22&gt;=menu!$D$19,"Tuntas","Tidak Tuntas"))</f>
        <v>Tuntas</v>
      </c>
      <c r="BW22" s="65"/>
      <c r="BX22" s="65"/>
      <c r="BY22" s="65"/>
      <c r="BZ22" s="66"/>
      <c r="CA22" s="65"/>
      <c r="CB22" s="65"/>
      <c r="CC22" s="65"/>
      <c r="CD22" s="67">
        <f t="shared" si="28"/>
        <v>0</v>
      </c>
      <c r="CE22" s="68">
        <f t="shared" si="29"/>
        <v>0</v>
      </c>
      <c r="CF22" s="68">
        <f t="shared" si="30"/>
        <v>0</v>
      </c>
      <c r="CG22" s="69" t="str">
        <f t="shared" si="6"/>
        <v>D</v>
      </c>
      <c r="CH22" s="70" t="str">
        <f>IF(CF22="  ","  ",IF(CF22&gt;=menu!$D$19,"Tuntas","Tidak Tuntas"))</f>
        <v>Tuntas</v>
      </c>
      <c r="CI22" s="65"/>
      <c r="CJ22" s="65"/>
      <c r="CK22" s="65"/>
      <c r="CL22" s="66"/>
      <c r="CM22" s="65"/>
      <c r="CN22" s="65"/>
      <c r="CO22" s="65"/>
      <c r="CP22" s="67">
        <f t="shared" si="31"/>
        <v>0</v>
      </c>
      <c r="CQ22" s="68">
        <f t="shared" si="32"/>
        <v>0</v>
      </c>
      <c r="CR22" s="68">
        <f t="shared" si="33"/>
        <v>0</v>
      </c>
      <c r="CS22" s="69" t="str">
        <f t="shared" si="7"/>
        <v>D</v>
      </c>
      <c r="CT22" s="70" t="str">
        <f>IF(CR22="  ","  ",IF(CR22&gt;=menu!$D$19,"Tuntas","Tidak Tuntas"))</f>
        <v>Tuntas</v>
      </c>
      <c r="CU22" s="65"/>
      <c r="CV22" s="65"/>
      <c r="CW22" s="65"/>
      <c r="CX22" s="66"/>
      <c r="CY22" s="65"/>
      <c r="CZ22" s="65"/>
      <c r="DA22" s="65"/>
      <c r="DB22" s="67">
        <f t="shared" si="34"/>
        <v>0</v>
      </c>
      <c r="DC22" s="68">
        <f t="shared" si="35"/>
        <v>0</v>
      </c>
      <c r="DD22" s="68">
        <f t="shared" si="36"/>
        <v>0</v>
      </c>
      <c r="DE22" s="69" t="str">
        <f t="shared" si="8"/>
        <v>D</v>
      </c>
      <c r="DF22" s="70" t="str">
        <f>IF(DD22="  ","  ",IF(DD22&gt;=menu!$D$19,"Tuntas","Tidak Tuntas"))</f>
        <v>Tuntas</v>
      </c>
      <c r="DG22" s="65"/>
      <c r="DH22" s="65"/>
      <c r="DI22" s="65"/>
      <c r="DJ22" s="66"/>
      <c r="DK22" s="65"/>
      <c r="DL22" s="65"/>
      <c r="DM22" s="65"/>
      <c r="DN22" s="67">
        <f t="shared" si="37"/>
        <v>0</v>
      </c>
      <c r="DO22" s="68">
        <f t="shared" si="38"/>
        <v>0</v>
      </c>
      <c r="DP22" s="68">
        <f t="shared" si="39"/>
        <v>0</v>
      </c>
      <c r="DQ22" s="69" t="str">
        <f t="shared" si="9"/>
        <v>D</v>
      </c>
      <c r="DR22" s="70" t="str">
        <f>IF(DP22="  ","  ",IF(DP22&gt;=menu!$D$19,"Tuntas","Tidak Tuntas"))</f>
        <v>Tuntas</v>
      </c>
    </row>
    <row r="23" spans="1:122">
      <c r="A23" s="64">
        <f>'DATA SISWA'!A9</f>
        <v>5</v>
      </c>
      <c r="B23" s="76" t="str">
        <f>'DATA SISWA'!C9</f>
        <v>AHMAD HAMBALI</v>
      </c>
      <c r="C23" s="65"/>
      <c r="D23" s="65"/>
      <c r="E23" s="65"/>
      <c r="F23" s="66"/>
      <c r="G23" s="65"/>
      <c r="H23" s="65"/>
      <c r="I23" s="65"/>
      <c r="J23" s="67">
        <f t="shared" si="10"/>
        <v>0</v>
      </c>
      <c r="K23" s="68">
        <f t="shared" si="11"/>
        <v>0</v>
      </c>
      <c r="L23" s="68">
        <f t="shared" si="12"/>
        <v>0</v>
      </c>
      <c r="M23" s="69" t="str">
        <f t="shared" si="0"/>
        <v>D</v>
      </c>
      <c r="N23" s="70" t="str">
        <f>IF(L23="  ","  ",IF(L23&gt;=menu!$D$19,"Tuntas","Tidak Tuntas"))</f>
        <v>Tuntas</v>
      </c>
      <c r="O23" s="65"/>
      <c r="P23" s="65"/>
      <c r="Q23" s="65"/>
      <c r="R23" s="66"/>
      <c r="S23" s="65"/>
      <c r="T23" s="65"/>
      <c r="U23" s="65"/>
      <c r="V23" s="67">
        <f t="shared" si="13"/>
        <v>0</v>
      </c>
      <c r="W23" s="68">
        <f t="shared" si="14"/>
        <v>0</v>
      </c>
      <c r="X23" s="68">
        <f t="shared" si="15"/>
        <v>0</v>
      </c>
      <c r="Y23" s="69" t="str">
        <f t="shared" si="1"/>
        <v>D</v>
      </c>
      <c r="Z23" s="70" t="str">
        <f>IF(X23="  ","  ",IF(X23&gt;=menu!$D$19,"Tuntas","Tidak Tuntas"))</f>
        <v>Tuntas</v>
      </c>
      <c r="AA23" s="65"/>
      <c r="AB23" s="65"/>
      <c r="AC23" s="65"/>
      <c r="AD23" s="66"/>
      <c r="AE23" s="65"/>
      <c r="AF23" s="65"/>
      <c r="AG23" s="65"/>
      <c r="AH23" s="67">
        <f t="shared" si="16"/>
        <v>0</v>
      </c>
      <c r="AI23" s="68">
        <f t="shared" si="17"/>
        <v>0</v>
      </c>
      <c r="AJ23" s="68">
        <f t="shared" si="18"/>
        <v>0</v>
      </c>
      <c r="AK23" s="69" t="str">
        <f t="shared" si="2"/>
        <v>D</v>
      </c>
      <c r="AL23" s="70" t="str">
        <f>IF(AJ23="  ","  ",IF(AJ23&gt;=menu!$D$19,"Tuntas","Tidak Tuntas"))</f>
        <v>Tuntas</v>
      </c>
      <c r="AM23" s="65"/>
      <c r="AN23" s="65"/>
      <c r="AO23" s="65"/>
      <c r="AP23" s="66"/>
      <c r="AQ23" s="65"/>
      <c r="AR23" s="65"/>
      <c r="AS23" s="65"/>
      <c r="AT23" s="67">
        <f t="shared" si="19"/>
        <v>0</v>
      </c>
      <c r="AU23" s="68">
        <f t="shared" si="20"/>
        <v>0</v>
      </c>
      <c r="AV23" s="68">
        <f t="shared" si="21"/>
        <v>0</v>
      </c>
      <c r="AW23" s="69" t="str">
        <f t="shared" si="3"/>
        <v>D</v>
      </c>
      <c r="AX23" s="70" t="str">
        <f>IF(AV23="  ","  ",IF(AV23&gt;=menu!$D$19,"Tuntas","Tidak Tuntas"))</f>
        <v>Tuntas</v>
      </c>
      <c r="AY23" s="65"/>
      <c r="AZ23" s="65"/>
      <c r="BA23" s="65"/>
      <c r="BB23" s="66"/>
      <c r="BC23" s="65"/>
      <c r="BD23" s="65"/>
      <c r="BE23" s="65"/>
      <c r="BF23" s="67">
        <f t="shared" si="22"/>
        <v>0</v>
      </c>
      <c r="BG23" s="68">
        <f t="shared" si="23"/>
        <v>0</v>
      </c>
      <c r="BH23" s="68">
        <f t="shared" si="24"/>
        <v>0</v>
      </c>
      <c r="BI23" s="69" t="str">
        <f t="shared" si="4"/>
        <v>D</v>
      </c>
      <c r="BJ23" s="70" t="str">
        <f>IF(BH23="  ","  ",IF(BH23&gt;=menu!$D$19,"Tuntas","Tidak Tuntas"))</f>
        <v>Tuntas</v>
      </c>
      <c r="BK23" s="65"/>
      <c r="BL23" s="65"/>
      <c r="BM23" s="65"/>
      <c r="BN23" s="66"/>
      <c r="BO23" s="65"/>
      <c r="BP23" s="65"/>
      <c r="BQ23" s="65"/>
      <c r="BR23" s="67">
        <f t="shared" si="25"/>
        <v>0</v>
      </c>
      <c r="BS23" s="68">
        <f t="shared" si="26"/>
        <v>0</v>
      </c>
      <c r="BT23" s="68">
        <f t="shared" si="27"/>
        <v>0</v>
      </c>
      <c r="BU23" s="69" t="str">
        <f t="shared" si="5"/>
        <v>D</v>
      </c>
      <c r="BV23" s="70" t="str">
        <f>IF(BT23="  ","  ",IF(BT23&gt;=menu!$D$19,"Tuntas","Tidak Tuntas"))</f>
        <v>Tuntas</v>
      </c>
      <c r="BW23" s="65"/>
      <c r="BX23" s="65"/>
      <c r="BY23" s="65"/>
      <c r="BZ23" s="66"/>
      <c r="CA23" s="65"/>
      <c r="CB23" s="65"/>
      <c r="CC23" s="65"/>
      <c r="CD23" s="67">
        <f t="shared" si="28"/>
        <v>0</v>
      </c>
      <c r="CE23" s="68">
        <f t="shared" si="29"/>
        <v>0</v>
      </c>
      <c r="CF23" s="68">
        <f t="shared" si="30"/>
        <v>0</v>
      </c>
      <c r="CG23" s="69" t="str">
        <f t="shared" si="6"/>
        <v>D</v>
      </c>
      <c r="CH23" s="70" t="str">
        <f>IF(CF23="  ","  ",IF(CF23&gt;=menu!$D$19,"Tuntas","Tidak Tuntas"))</f>
        <v>Tuntas</v>
      </c>
      <c r="CI23" s="65"/>
      <c r="CJ23" s="65"/>
      <c r="CK23" s="65"/>
      <c r="CL23" s="66"/>
      <c r="CM23" s="65"/>
      <c r="CN23" s="65"/>
      <c r="CO23" s="65"/>
      <c r="CP23" s="67">
        <f t="shared" si="31"/>
        <v>0</v>
      </c>
      <c r="CQ23" s="68">
        <f t="shared" si="32"/>
        <v>0</v>
      </c>
      <c r="CR23" s="68">
        <f t="shared" si="33"/>
        <v>0</v>
      </c>
      <c r="CS23" s="69" t="str">
        <f t="shared" si="7"/>
        <v>D</v>
      </c>
      <c r="CT23" s="70" t="str">
        <f>IF(CR23="  ","  ",IF(CR23&gt;=menu!$D$19,"Tuntas","Tidak Tuntas"))</f>
        <v>Tuntas</v>
      </c>
      <c r="CU23" s="65"/>
      <c r="CV23" s="65"/>
      <c r="CW23" s="65"/>
      <c r="CX23" s="66"/>
      <c r="CY23" s="65"/>
      <c r="CZ23" s="65"/>
      <c r="DA23" s="65"/>
      <c r="DB23" s="67">
        <f t="shared" si="34"/>
        <v>0</v>
      </c>
      <c r="DC23" s="68">
        <f t="shared" si="35"/>
        <v>0</v>
      </c>
      <c r="DD23" s="68">
        <f t="shared" si="36"/>
        <v>0</v>
      </c>
      <c r="DE23" s="69" t="str">
        <f t="shared" si="8"/>
        <v>D</v>
      </c>
      <c r="DF23" s="70" t="str">
        <f>IF(DD23="  ","  ",IF(DD23&gt;=menu!$D$19,"Tuntas","Tidak Tuntas"))</f>
        <v>Tuntas</v>
      </c>
      <c r="DG23" s="65"/>
      <c r="DH23" s="65"/>
      <c r="DI23" s="65"/>
      <c r="DJ23" s="66"/>
      <c r="DK23" s="65"/>
      <c r="DL23" s="65"/>
      <c r="DM23" s="65"/>
      <c r="DN23" s="67">
        <f t="shared" si="37"/>
        <v>0</v>
      </c>
      <c r="DO23" s="68">
        <f t="shared" si="38"/>
        <v>0</v>
      </c>
      <c r="DP23" s="68">
        <f t="shared" si="39"/>
        <v>0</v>
      </c>
      <c r="DQ23" s="69" t="str">
        <f t="shared" si="9"/>
        <v>D</v>
      </c>
      <c r="DR23" s="70" t="str">
        <f>IF(DP23="  ","  ",IF(DP23&gt;=menu!$D$19,"Tuntas","Tidak Tuntas"))</f>
        <v>Tuntas</v>
      </c>
    </row>
    <row r="24" spans="1:122">
      <c r="A24" s="64">
        <f>'DATA SISWA'!A10</f>
        <v>6</v>
      </c>
      <c r="B24" s="76" t="str">
        <f>'DATA SISWA'!C10</f>
        <v>AHMADI</v>
      </c>
      <c r="C24" s="65"/>
      <c r="D24" s="65"/>
      <c r="E24" s="65"/>
      <c r="F24" s="66"/>
      <c r="G24" s="65"/>
      <c r="H24" s="65"/>
      <c r="I24" s="65"/>
      <c r="J24" s="67">
        <f t="shared" si="10"/>
        <v>0</v>
      </c>
      <c r="K24" s="68">
        <f t="shared" si="11"/>
        <v>0</v>
      </c>
      <c r="L24" s="68">
        <f t="shared" si="12"/>
        <v>0</v>
      </c>
      <c r="M24" s="69" t="str">
        <f t="shared" si="0"/>
        <v>D</v>
      </c>
      <c r="N24" s="70" t="str">
        <f>IF(L24="  ","  ",IF(L24&gt;=menu!$D$19,"Tuntas","Tidak Tuntas"))</f>
        <v>Tuntas</v>
      </c>
      <c r="O24" s="65"/>
      <c r="P24" s="65"/>
      <c r="Q24" s="65"/>
      <c r="R24" s="66"/>
      <c r="S24" s="65"/>
      <c r="T24" s="65"/>
      <c r="U24" s="65"/>
      <c r="V24" s="67">
        <f t="shared" si="13"/>
        <v>0</v>
      </c>
      <c r="W24" s="68">
        <f t="shared" si="14"/>
        <v>0</v>
      </c>
      <c r="X24" s="68">
        <f t="shared" si="15"/>
        <v>0</v>
      </c>
      <c r="Y24" s="69" t="str">
        <f t="shared" si="1"/>
        <v>D</v>
      </c>
      <c r="Z24" s="70" t="str">
        <f>IF(X24="  ","  ",IF(X24&gt;=menu!$D$19,"Tuntas","Tidak Tuntas"))</f>
        <v>Tuntas</v>
      </c>
      <c r="AA24" s="65"/>
      <c r="AB24" s="65"/>
      <c r="AC24" s="65"/>
      <c r="AD24" s="66"/>
      <c r="AE24" s="65"/>
      <c r="AF24" s="65"/>
      <c r="AG24" s="65"/>
      <c r="AH24" s="67">
        <f t="shared" si="16"/>
        <v>0</v>
      </c>
      <c r="AI24" s="68">
        <f t="shared" si="17"/>
        <v>0</v>
      </c>
      <c r="AJ24" s="68">
        <f t="shared" si="18"/>
        <v>0</v>
      </c>
      <c r="AK24" s="69" t="str">
        <f t="shared" si="2"/>
        <v>D</v>
      </c>
      <c r="AL24" s="70" t="str">
        <f>IF(AJ24="  ","  ",IF(AJ24&gt;=menu!$D$19,"Tuntas","Tidak Tuntas"))</f>
        <v>Tuntas</v>
      </c>
      <c r="AM24" s="65"/>
      <c r="AN24" s="65"/>
      <c r="AO24" s="65"/>
      <c r="AP24" s="66"/>
      <c r="AQ24" s="65"/>
      <c r="AR24" s="65"/>
      <c r="AS24" s="65"/>
      <c r="AT24" s="67">
        <f t="shared" si="19"/>
        <v>0</v>
      </c>
      <c r="AU24" s="68">
        <f t="shared" si="20"/>
        <v>0</v>
      </c>
      <c r="AV24" s="68">
        <f t="shared" si="21"/>
        <v>0</v>
      </c>
      <c r="AW24" s="69" t="str">
        <f t="shared" si="3"/>
        <v>D</v>
      </c>
      <c r="AX24" s="70" t="str">
        <f>IF(AV24="  ","  ",IF(AV24&gt;=menu!$D$19,"Tuntas","Tidak Tuntas"))</f>
        <v>Tuntas</v>
      </c>
      <c r="AY24" s="65"/>
      <c r="AZ24" s="65"/>
      <c r="BA24" s="65"/>
      <c r="BB24" s="66"/>
      <c r="BC24" s="65"/>
      <c r="BD24" s="65"/>
      <c r="BE24" s="65"/>
      <c r="BF24" s="67">
        <f t="shared" si="22"/>
        <v>0</v>
      </c>
      <c r="BG24" s="68">
        <f t="shared" si="23"/>
        <v>0</v>
      </c>
      <c r="BH24" s="68">
        <f t="shared" si="24"/>
        <v>0</v>
      </c>
      <c r="BI24" s="69" t="str">
        <f t="shared" si="4"/>
        <v>D</v>
      </c>
      <c r="BJ24" s="70" t="str">
        <f>IF(BH24="  ","  ",IF(BH24&gt;=menu!$D$19,"Tuntas","Tidak Tuntas"))</f>
        <v>Tuntas</v>
      </c>
      <c r="BK24" s="65"/>
      <c r="BL24" s="65"/>
      <c r="BM24" s="65"/>
      <c r="BN24" s="66"/>
      <c r="BO24" s="65"/>
      <c r="BP24" s="65"/>
      <c r="BQ24" s="65"/>
      <c r="BR24" s="67">
        <f t="shared" si="25"/>
        <v>0</v>
      </c>
      <c r="BS24" s="68">
        <f t="shared" si="26"/>
        <v>0</v>
      </c>
      <c r="BT24" s="68">
        <f t="shared" si="27"/>
        <v>0</v>
      </c>
      <c r="BU24" s="69" t="str">
        <f t="shared" si="5"/>
        <v>D</v>
      </c>
      <c r="BV24" s="70" t="str">
        <f>IF(BT24="  ","  ",IF(BT24&gt;=menu!$D$19,"Tuntas","Tidak Tuntas"))</f>
        <v>Tuntas</v>
      </c>
      <c r="BW24" s="65"/>
      <c r="BX24" s="65"/>
      <c r="BY24" s="65"/>
      <c r="BZ24" s="66"/>
      <c r="CA24" s="65"/>
      <c r="CB24" s="65"/>
      <c r="CC24" s="65"/>
      <c r="CD24" s="67">
        <f t="shared" si="28"/>
        <v>0</v>
      </c>
      <c r="CE24" s="68">
        <f t="shared" si="29"/>
        <v>0</v>
      </c>
      <c r="CF24" s="68">
        <f t="shared" si="30"/>
        <v>0</v>
      </c>
      <c r="CG24" s="69" t="str">
        <f t="shared" si="6"/>
        <v>D</v>
      </c>
      <c r="CH24" s="70" t="str">
        <f>IF(CF24="  ","  ",IF(CF24&gt;=menu!$D$19,"Tuntas","Tidak Tuntas"))</f>
        <v>Tuntas</v>
      </c>
      <c r="CI24" s="65"/>
      <c r="CJ24" s="65"/>
      <c r="CK24" s="65"/>
      <c r="CL24" s="66"/>
      <c r="CM24" s="65"/>
      <c r="CN24" s="65"/>
      <c r="CO24" s="65"/>
      <c r="CP24" s="67">
        <f t="shared" si="31"/>
        <v>0</v>
      </c>
      <c r="CQ24" s="68">
        <f t="shared" si="32"/>
        <v>0</v>
      </c>
      <c r="CR24" s="68">
        <f t="shared" si="33"/>
        <v>0</v>
      </c>
      <c r="CS24" s="69" t="str">
        <f t="shared" si="7"/>
        <v>D</v>
      </c>
      <c r="CT24" s="70" t="str">
        <f>IF(CR24="  ","  ",IF(CR24&gt;=menu!$D$19,"Tuntas","Tidak Tuntas"))</f>
        <v>Tuntas</v>
      </c>
      <c r="CU24" s="65"/>
      <c r="CV24" s="65"/>
      <c r="CW24" s="65"/>
      <c r="CX24" s="66"/>
      <c r="CY24" s="65"/>
      <c r="CZ24" s="65"/>
      <c r="DA24" s="65"/>
      <c r="DB24" s="67">
        <f t="shared" si="34"/>
        <v>0</v>
      </c>
      <c r="DC24" s="68">
        <f t="shared" si="35"/>
        <v>0</v>
      </c>
      <c r="DD24" s="68">
        <f t="shared" si="36"/>
        <v>0</v>
      </c>
      <c r="DE24" s="69" t="str">
        <f t="shared" si="8"/>
        <v>D</v>
      </c>
      <c r="DF24" s="70" t="str">
        <f>IF(DD24="  ","  ",IF(DD24&gt;=menu!$D$19,"Tuntas","Tidak Tuntas"))</f>
        <v>Tuntas</v>
      </c>
      <c r="DG24" s="65"/>
      <c r="DH24" s="65"/>
      <c r="DI24" s="65"/>
      <c r="DJ24" s="66"/>
      <c r="DK24" s="65"/>
      <c r="DL24" s="65"/>
      <c r="DM24" s="65"/>
      <c r="DN24" s="67">
        <f t="shared" si="37"/>
        <v>0</v>
      </c>
      <c r="DO24" s="68">
        <f t="shared" si="38"/>
        <v>0</v>
      </c>
      <c r="DP24" s="68">
        <f t="shared" si="39"/>
        <v>0</v>
      </c>
      <c r="DQ24" s="69" t="str">
        <f t="shared" si="9"/>
        <v>D</v>
      </c>
      <c r="DR24" s="70" t="str">
        <f>IF(DP24="  ","  ",IF(DP24&gt;=menu!$D$19,"Tuntas","Tidak Tuntas"))</f>
        <v>Tuntas</v>
      </c>
    </row>
    <row r="25" spans="1:122">
      <c r="A25" s="64">
        <f>'DATA SISWA'!A11</f>
        <v>7</v>
      </c>
      <c r="B25" s="76" t="str">
        <f>'DATA SISWA'!C11</f>
        <v xml:space="preserve">AINUR ROFIK </v>
      </c>
      <c r="C25" s="65"/>
      <c r="D25" s="65"/>
      <c r="E25" s="65"/>
      <c r="F25" s="66"/>
      <c r="G25" s="65"/>
      <c r="H25" s="65"/>
      <c r="I25" s="65"/>
      <c r="J25" s="67">
        <f t="shared" si="10"/>
        <v>0</v>
      </c>
      <c r="K25" s="68">
        <f t="shared" si="11"/>
        <v>0</v>
      </c>
      <c r="L25" s="68">
        <f t="shared" si="12"/>
        <v>0</v>
      </c>
      <c r="M25" s="69" t="str">
        <f t="shared" si="0"/>
        <v>D</v>
      </c>
      <c r="N25" s="70" t="str">
        <f>IF(L25="  ","  ",IF(L25&gt;=menu!$D$19,"Tuntas","Tidak Tuntas"))</f>
        <v>Tuntas</v>
      </c>
      <c r="O25" s="65"/>
      <c r="P25" s="65"/>
      <c r="Q25" s="65"/>
      <c r="R25" s="66"/>
      <c r="S25" s="65"/>
      <c r="T25" s="65"/>
      <c r="U25" s="65"/>
      <c r="V25" s="67">
        <f t="shared" si="13"/>
        <v>0</v>
      </c>
      <c r="W25" s="68">
        <f t="shared" si="14"/>
        <v>0</v>
      </c>
      <c r="X25" s="68">
        <f t="shared" si="15"/>
        <v>0</v>
      </c>
      <c r="Y25" s="69" t="str">
        <f t="shared" si="1"/>
        <v>D</v>
      </c>
      <c r="Z25" s="70" t="str">
        <f>IF(X25="  ","  ",IF(X25&gt;=menu!$D$19,"Tuntas","Tidak Tuntas"))</f>
        <v>Tuntas</v>
      </c>
      <c r="AA25" s="65"/>
      <c r="AB25" s="65"/>
      <c r="AC25" s="65"/>
      <c r="AD25" s="66"/>
      <c r="AE25" s="65"/>
      <c r="AF25" s="65"/>
      <c r="AG25" s="65"/>
      <c r="AH25" s="67">
        <f t="shared" si="16"/>
        <v>0</v>
      </c>
      <c r="AI25" s="68">
        <f t="shared" si="17"/>
        <v>0</v>
      </c>
      <c r="AJ25" s="68">
        <f t="shared" si="18"/>
        <v>0</v>
      </c>
      <c r="AK25" s="69" t="str">
        <f t="shared" si="2"/>
        <v>D</v>
      </c>
      <c r="AL25" s="70" t="str">
        <f>IF(AJ25="  ","  ",IF(AJ25&gt;=menu!$D$19,"Tuntas","Tidak Tuntas"))</f>
        <v>Tuntas</v>
      </c>
      <c r="AM25" s="65"/>
      <c r="AN25" s="65"/>
      <c r="AO25" s="65"/>
      <c r="AP25" s="66"/>
      <c r="AQ25" s="65"/>
      <c r="AR25" s="65"/>
      <c r="AS25" s="65"/>
      <c r="AT25" s="67">
        <f t="shared" si="19"/>
        <v>0</v>
      </c>
      <c r="AU25" s="68">
        <f t="shared" si="20"/>
        <v>0</v>
      </c>
      <c r="AV25" s="68">
        <f t="shared" si="21"/>
        <v>0</v>
      </c>
      <c r="AW25" s="69" t="str">
        <f t="shared" si="3"/>
        <v>D</v>
      </c>
      <c r="AX25" s="70" t="str">
        <f>IF(AV25="  ","  ",IF(AV25&gt;=menu!$D$19,"Tuntas","Tidak Tuntas"))</f>
        <v>Tuntas</v>
      </c>
      <c r="AY25" s="65"/>
      <c r="AZ25" s="65"/>
      <c r="BA25" s="65"/>
      <c r="BB25" s="66"/>
      <c r="BC25" s="65"/>
      <c r="BD25" s="65"/>
      <c r="BE25" s="65"/>
      <c r="BF25" s="67">
        <f t="shared" si="22"/>
        <v>0</v>
      </c>
      <c r="BG25" s="68">
        <f t="shared" si="23"/>
        <v>0</v>
      </c>
      <c r="BH25" s="68">
        <f t="shared" si="24"/>
        <v>0</v>
      </c>
      <c r="BI25" s="69" t="str">
        <f t="shared" si="4"/>
        <v>D</v>
      </c>
      <c r="BJ25" s="70" t="str">
        <f>IF(BH25="  ","  ",IF(BH25&gt;=menu!$D$19,"Tuntas","Tidak Tuntas"))</f>
        <v>Tuntas</v>
      </c>
      <c r="BK25" s="65"/>
      <c r="BL25" s="65"/>
      <c r="BM25" s="65"/>
      <c r="BN25" s="66"/>
      <c r="BO25" s="65"/>
      <c r="BP25" s="65"/>
      <c r="BQ25" s="65"/>
      <c r="BR25" s="67">
        <f t="shared" si="25"/>
        <v>0</v>
      </c>
      <c r="BS25" s="68">
        <f t="shared" si="26"/>
        <v>0</v>
      </c>
      <c r="BT25" s="68">
        <f t="shared" si="27"/>
        <v>0</v>
      </c>
      <c r="BU25" s="69" t="str">
        <f t="shared" si="5"/>
        <v>D</v>
      </c>
      <c r="BV25" s="70" t="str">
        <f>IF(BT25="  ","  ",IF(BT25&gt;=menu!$D$19,"Tuntas","Tidak Tuntas"))</f>
        <v>Tuntas</v>
      </c>
      <c r="BW25" s="65"/>
      <c r="BX25" s="65"/>
      <c r="BY25" s="65"/>
      <c r="BZ25" s="66"/>
      <c r="CA25" s="65"/>
      <c r="CB25" s="65"/>
      <c r="CC25" s="65"/>
      <c r="CD25" s="67">
        <f t="shared" si="28"/>
        <v>0</v>
      </c>
      <c r="CE25" s="68">
        <f t="shared" si="29"/>
        <v>0</v>
      </c>
      <c r="CF25" s="68">
        <f t="shared" si="30"/>
        <v>0</v>
      </c>
      <c r="CG25" s="69" t="str">
        <f t="shared" si="6"/>
        <v>D</v>
      </c>
      <c r="CH25" s="70" t="str">
        <f>IF(CF25="  ","  ",IF(CF25&gt;=menu!$D$19,"Tuntas","Tidak Tuntas"))</f>
        <v>Tuntas</v>
      </c>
      <c r="CI25" s="65"/>
      <c r="CJ25" s="65"/>
      <c r="CK25" s="65"/>
      <c r="CL25" s="66"/>
      <c r="CM25" s="65"/>
      <c r="CN25" s="65"/>
      <c r="CO25" s="65"/>
      <c r="CP25" s="67">
        <f t="shared" si="31"/>
        <v>0</v>
      </c>
      <c r="CQ25" s="68">
        <f t="shared" si="32"/>
        <v>0</v>
      </c>
      <c r="CR25" s="68">
        <f t="shared" si="33"/>
        <v>0</v>
      </c>
      <c r="CS25" s="69" t="str">
        <f t="shared" si="7"/>
        <v>D</v>
      </c>
      <c r="CT25" s="70" t="str">
        <f>IF(CR25="  ","  ",IF(CR25&gt;=menu!$D$19,"Tuntas","Tidak Tuntas"))</f>
        <v>Tuntas</v>
      </c>
      <c r="CU25" s="65"/>
      <c r="CV25" s="65"/>
      <c r="CW25" s="65"/>
      <c r="CX25" s="66"/>
      <c r="CY25" s="65"/>
      <c r="CZ25" s="65"/>
      <c r="DA25" s="65"/>
      <c r="DB25" s="67">
        <f t="shared" si="34"/>
        <v>0</v>
      </c>
      <c r="DC25" s="68">
        <f t="shared" si="35"/>
        <v>0</v>
      </c>
      <c r="DD25" s="68">
        <f t="shared" si="36"/>
        <v>0</v>
      </c>
      <c r="DE25" s="69" t="str">
        <f t="shared" si="8"/>
        <v>D</v>
      </c>
      <c r="DF25" s="70" t="str">
        <f>IF(DD25="  ","  ",IF(DD25&gt;=menu!$D$19,"Tuntas","Tidak Tuntas"))</f>
        <v>Tuntas</v>
      </c>
      <c r="DG25" s="65"/>
      <c r="DH25" s="65"/>
      <c r="DI25" s="65"/>
      <c r="DJ25" s="66"/>
      <c r="DK25" s="65"/>
      <c r="DL25" s="65"/>
      <c r="DM25" s="65"/>
      <c r="DN25" s="67">
        <f t="shared" si="37"/>
        <v>0</v>
      </c>
      <c r="DO25" s="68">
        <f t="shared" si="38"/>
        <v>0</v>
      </c>
      <c r="DP25" s="68">
        <f t="shared" si="39"/>
        <v>0</v>
      </c>
      <c r="DQ25" s="69" t="str">
        <f t="shared" si="9"/>
        <v>D</v>
      </c>
      <c r="DR25" s="70" t="str">
        <f>IF(DP25="  ","  ",IF(DP25&gt;=menu!$D$19,"Tuntas","Tidak Tuntas"))</f>
        <v>Tuntas</v>
      </c>
    </row>
    <row r="26" spans="1:122">
      <c r="A26" s="64">
        <f>'DATA SISWA'!A12</f>
        <v>8</v>
      </c>
      <c r="B26" s="76" t="str">
        <f>'DATA SISWA'!C12</f>
        <v>AT-THORIQ BINTANG PRAJA</v>
      </c>
      <c r="C26" s="65"/>
      <c r="D26" s="65"/>
      <c r="E26" s="65"/>
      <c r="F26" s="66"/>
      <c r="G26" s="65"/>
      <c r="H26" s="65"/>
      <c r="I26" s="65"/>
      <c r="J26" s="67">
        <f t="shared" si="10"/>
        <v>0</v>
      </c>
      <c r="K26" s="68">
        <f t="shared" si="11"/>
        <v>0</v>
      </c>
      <c r="L26" s="68">
        <f t="shared" si="12"/>
        <v>0</v>
      </c>
      <c r="M26" s="69" t="str">
        <f t="shared" si="0"/>
        <v>D</v>
      </c>
      <c r="N26" s="70" t="str">
        <f>IF(L26="  ","  ",IF(L26&gt;=menu!$D$19,"Tuntas","Tidak Tuntas"))</f>
        <v>Tuntas</v>
      </c>
      <c r="O26" s="65"/>
      <c r="P26" s="65"/>
      <c r="Q26" s="65"/>
      <c r="R26" s="66"/>
      <c r="S26" s="65"/>
      <c r="T26" s="65"/>
      <c r="U26" s="65"/>
      <c r="V26" s="67">
        <f t="shared" si="13"/>
        <v>0</v>
      </c>
      <c r="W26" s="68">
        <f t="shared" si="14"/>
        <v>0</v>
      </c>
      <c r="X26" s="68">
        <f t="shared" si="15"/>
        <v>0</v>
      </c>
      <c r="Y26" s="69" t="str">
        <f t="shared" si="1"/>
        <v>D</v>
      </c>
      <c r="Z26" s="70" t="str">
        <f>IF(X26="  ","  ",IF(X26&gt;=menu!$D$19,"Tuntas","Tidak Tuntas"))</f>
        <v>Tuntas</v>
      </c>
      <c r="AA26" s="65"/>
      <c r="AB26" s="65"/>
      <c r="AC26" s="65"/>
      <c r="AD26" s="66"/>
      <c r="AE26" s="65"/>
      <c r="AF26" s="65"/>
      <c r="AG26" s="65"/>
      <c r="AH26" s="67">
        <f t="shared" si="16"/>
        <v>0</v>
      </c>
      <c r="AI26" s="68">
        <f t="shared" si="17"/>
        <v>0</v>
      </c>
      <c r="AJ26" s="68">
        <f t="shared" si="18"/>
        <v>0</v>
      </c>
      <c r="AK26" s="69" t="str">
        <f t="shared" si="2"/>
        <v>D</v>
      </c>
      <c r="AL26" s="70" t="str">
        <f>IF(AJ26="  ","  ",IF(AJ26&gt;=menu!$D$19,"Tuntas","Tidak Tuntas"))</f>
        <v>Tuntas</v>
      </c>
      <c r="AM26" s="65"/>
      <c r="AN26" s="65"/>
      <c r="AO26" s="65"/>
      <c r="AP26" s="66"/>
      <c r="AQ26" s="65"/>
      <c r="AR26" s="65"/>
      <c r="AS26" s="65"/>
      <c r="AT26" s="67">
        <f t="shared" si="19"/>
        <v>0</v>
      </c>
      <c r="AU26" s="68">
        <f t="shared" si="20"/>
        <v>0</v>
      </c>
      <c r="AV26" s="68">
        <f t="shared" si="21"/>
        <v>0</v>
      </c>
      <c r="AW26" s="69" t="str">
        <f t="shared" si="3"/>
        <v>D</v>
      </c>
      <c r="AX26" s="70" t="str">
        <f>IF(AV26="  ","  ",IF(AV26&gt;=menu!$D$19,"Tuntas","Tidak Tuntas"))</f>
        <v>Tuntas</v>
      </c>
      <c r="AY26" s="65"/>
      <c r="AZ26" s="65"/>
      <c r="BA26" s="65"/>
      <c r="BB26" s="66"/>
      <c r="BC26" s="65"/>
      <c r="BD26" s="65"/>
      <c r="BE26" s="65"/>
      <c r="BF26" s="67">
        <f t="shared" si="22"/>
        <v>0</v>
      </c>
      <c r="BG26" s="68">
        <f t="shared" si="23"/>
        <v>0</v>
      </c>
      <c r="BH26" s="68">
        <f t="shared" si="24"/>
        <v>0</v>
      </c>
      <c r="BI26" s="69" t="str">
        <f t="shared" si="4"/>
        <v>D</v>
      </c>
      <c r="BJ26" s="70" t="str">
        <f>IF(BH26="  ","  ",IF(BH26&gt;=menu!$D$19,"Tuntas","Tidak Tuntas"))</f>
        <v>Tuntas</v>
      </c>
      <c r="BK26" s="65"/>
      <c r="BL26" s="65"/>
      <c r="BM26" s="65"/>
      <c r="BN26" s="66"/>
      <c r="BO26" s="65"/>
      <c r="BP26" s="65"/>
      <c r="BQ26" s="65"/>
      <c r="BR26" s="67">
        <f t="shared" si="25"/>
        <v>0</v>
      </c>
      <c r="BS26" s="68">
        <f t="shared" si="26"/>
        <v>0</v>
      </c>
      <c r="BT26" s="68">
        <f t="shared" si="27"/>
        <v>0</v>
      </c>
      <c r="BU26" s="69" t="str">
        <f t="shared" si="5"/>
        <v>D</v>
      </c>
      <c r="BV26" s="70" t="str">
        <f>IF(BT26="  ","  ",IF(BT26&gt;=menu!$D$19,"Tuntas","Tidak Tuntas"))</f>
        <v>Tuntas</v>
      </c>
      <c r="BW26" s="65"/>
      <c r="BX26" s="65"/>
      <c r="BY26" s="65"/>
      <c r="BZ26" s="66"/>
      <c r="CA26" s="65"/>
      <c r="CB26" s="65"/>
      <c r="CC26" s="65"/>
      <c r="CD26" s="67">
        <f t="shared" si="28"/>
        <v>0</v>
      </c>
      <c r="CE26" s="68">
        <f t="shared" si="29"/>
        <v>0</v>
      </c>
      <c r="CF26" s="68">
        <f t="shared" si="30"/>
        <v>0</v>
      </c>
      <c r="CG26" s="69" t="str">
        <f t="shared" si="6"/>
        <v>D</v>
      </c>
      <c r="CH26" s="70" t="str">
        <f>IF(CF26="  ","  ",IF(CF26&gt;=menu!$D$19,"Tuntas","Tidak Tuntas"))</f>
        <v>Tuntas</v>
      </c>
      <c r="CI26" s="65"/>
      <c r="CJ26" s="65"/>
      <c r="CK26" s="65"/>
      <c r="CL26" s="66"/>
      <c r="CM26" s="65"/>
      <c r="CN26" s="65"/>
      <c r="CO26" s="65"/>
      <c r="CP26" s="67">
        <f t="shared" si="31"/>
        <v>0</v>
      </c>
      <c r="CQ26" s="68">
        <f t="shared" si="32"/>
        <v>0</v>
      </c>
      <c r="CR26" s="68">
        <f t="shared" si="33"/>
        <v>0</v>
      </c>
      <c r="CS26" s="69" t="str">
        <f t="shared" si="7"/>
        <v>D</v>
      </c>
      <c r="CT26" s="70" t="str">
        <f>IF(CR26="  ","  ",IF(CR26&gt;=menu!$D$19,"Tuntas","Tidak Tuntas"))</f>
        <v>Tuntas</v>
      </c>
      <c r="CU26" s="65"/>
      <c r="CV26" s="65"/>
      <c r="CW26" s="65"/>
      <c r="CX26" s="66"/>
      <c r="CY26" s="65"/>
      <c r="CZ26" s="65"/>
      <c r="DA26" s="65"/>
      <c r="DB26" s="67">
        <f t="shared" si="34"/>
        <v>0</v>
      </c>
      <c r="DC26" s="68">
        <f t="shared" si="35"/>
        <v>0</v>
      </c>
      <c r="DD26" s="68">
        <f t="shared" si="36"/>
        <v>0</v>
      </c>
      <c r="DE26" s="69" t="str">
        <f t="shared" si="8"/>
        <v>D</v>
      </c>
      <c r="DF26" s="70" t="str">
        <f>IF(DD26="  ","  ",IF(DD26&gt;=menu!$D$19,"Tuntas","Tidak Tuntas"))</f>
        <v>Tuntas</v>
      </c>
      <c r="DG26" s="65"/>
      <c r="DH26" s="65"/>
      <c r="DI26" s="65"/>
      <c r="DJ26" s="66"/>
      <c r="DK26" s="65"/>
      <c r="DL26" s="65"/>
      <c r="DM26" s="65"/>
      <c r="DN26" s="67">
        <f t="shared" si="37"/>
        <v>0</v>
      </c>
      <c r="DO26" s="68">
        <f t="shared" si="38"/>
        <v>0</v>
      </c>
      <c r="DP26" s="68">
        <f t="shared" si="39"/>
        <v>0</v>
      </c>
      <c r="DQ26" s="69" t="str">
        <f t="shared" si="9"/>
        <v>D</v>
      </c>
      <c r="DR26" s="70" t="str">
        <f>IF(DP26="  ","  ",IF(DP26&gt;=menu!$D$19,"Tuntas","Tidak Tuntas"))</f>
        <v>Tuntas</v>
      </c>
    </row>
    <row r="27" spans="1:122">
      <c r="A27" s="64">
        <f>'DATA SISWA'!A13</f>
        <v>9</v>
      </c>
      <c r="B27" s="76" t="str">
        <f>'DATA SISWA'!C13</f>
        <v>DEWI WULANDARI</v>
      </c>
      <c r="C27" s="65"/>
      <c r="D27" s="65"/>
      <c r="E27" s="65"/>
      <c r="F27" s="66"/>
      <c r="G27" s="65"/>
      <c r="H27" s="65"/>
      <c r="I27" s="65"/>
      <c r="J27" s="67">
        <f t="shared" si="10"/>
        <v>0</v>
      </c>
      <c r="K27" s="68">
        <f t="shared" si="11"/>
        <v>0</v>
      </c>
      <c r="L27" s="68">
        <f t="shared" si="12"/>
        <v>0</v>
      </c>
      <c r="M27" s="69" t="str">
        <f t="shared" si="0"/>
        <v>D</v>
      </c>
      <c r="N27" s="70" t="str">
        <f>IF(L27="  ","  ",IF(L27&gt;=menu!$D$19,"Tuntas","Tidak Tuntas"))</f>
        <v>Tuntas</v>
      </c>
      <c r="O27" s="65"/>
      <c r="P27" s="65"/>
      <c r="Q27" s="65"/>
      <c r="R27" s="66"/>
      <c r="S27" s="65"/>
      <c r="T27" s="65"/>
      <c r="U27" s="65"/>
      <c r="V27" s="67">
        <f t="shared" si="13"/>
        <v>0</v>
      </c>
      <c r="W27" s="68">
        <f t="shared" si="14"/>
        <v>0</v>
      </c>
      <c r="X27" s="68">
        <f t="shared" si="15"/>
        <v>0</v>
      </c>
      <c r="Y27" s="69" t="str">
        <f t="shared" si="1"/>
        <v>D</v>
      </c>
      <c r="Z27" s="70" t="str">
        <f>IF(X27="  ","  ",IF(X27&gt;=menu!$D$19,"Tuntas","Tidak Tuntas"))</f>
        <v>Tuntas</v>
      </c>
      <c r="AA27" s="65"/>
      <c r="AB27" s="65"/>
      <c r="AC27" s="65"/>
      <c r="AD27" s="66"/>
      <c r="AE27" s="65"/>
      <c r="AF27" s="65"/>
      <c r="AG27" s="65"/>
      <c r="AH27" s="67">
        <f t="shared" si="16"/>
        <v>0</v>
      </c>
      <c r="AI27" s="68">
        <f t="shared" si="17"/>
        <v>0</v>
      </c>
      <c r="AJ27" s="68">
        <f t="shared" si="18"/>
        <v>0</v>
      </c>
      <c r="AK27" s="69" t="str">
        <f t="shared" si="2"/>
        <v>D</v>
      </c>
      <c r="AL27" s="70" t="str">
        <f>IF(AJ27="  ","  ",IF(AJ27&gt;=menu!$D$19,"Tuntas","Tidak Tuntas"))</f>
        <v>Tuntas</v>
      </c>
      <c r="AM27" s="65"/>
      <c r="AN27" s="65"/>
      <c r="AO27" s="65"/>
      <c r="AP27" s="66"/>
      <c r="AQ27" s="65"/>
      <c r="AR27" s="65"/>
      <c r="AS27" s="65"/>
      <c r="AT27" s="67">
        <f t="shared" si="19"/>
        <v>0</v>
      </c>
      <c r="AU27" s="68">
        <f t="shared" si="20"/>
        <v>0</v>
      </c>
      <c r="AV27" s="68">
        <f t="shared" si="21"/>
        <v>0</v>
      </c>
      <c r="AW27" s="69" t="str">
        <f t="shared" si="3"/>
        <v>D</v>
      </c>
      <c r="AX27" s="70" t="str">
        <f>IF(AV27="  ","  ",IF(AV27&gt;=menu!$D$19,"Tuntas","Tidak Tuntas"))</f>
        <v>Tuntas</v>
      </c>
      <c r="AY27" s="65"/>
      <c r="AZ27" s="65"/>
      <c r="BA27" s="65"/>
      <c r="BB27" s="66"/>
      <c r="BC27" s="65"/>
      <c r="BD27" s="65"/>
      <c r="BE27" s="65"/>
      <c r="BF27" s="67">
        <f t="shared" si="22"/>
        <v>0</v>
      </c>
      <c r="BG27" s="68">
        <f t="shared" si="23"/>
        <v>0</v>
      </c>
      <c r="BH27" s="68">
        <f t="shared" si="24"/>
        <v>0</v>
      </c>
      <c r="BI27" s="69" t="str">
        <f t="shared" si="4"/>
        <v>D</v>
      </c>
      <c r="BJ27" s="70" t="str">
        <f>IF(BH27="  ","  ",IF(BH27&gt;=menu!$D$19,"Tuntas","Tidak Tuntas"))</f>
        <v>Tuntas</v>
      </c>
      <c r="BK27" s="65"/>
      <c r="BL27" s="65"/>
      <c r="BM27" s="65"/>
      <c r="BN27" s="66"/>
      <c r="BO27" s="65"/>
      <c r="BP27" s="65"/>
      <c r="BQ27" s="65"/>
      <c r="BR27" s="67">
        <f t="shared" si="25"/>
        <v>0</v>
      </c>
      <c r="BS27" s="68">
        <f t="shared" si="26"/>
        <v>0</v>
      </c>
      <c r="BT27" s="68">
        <f t="shared" si="27"/>
        <v>0</v>
      </c>
      <c r="BU27" s="69" t="str">
        <f t="shared" si="5"/>
        <v>D</v>
      </c>
      <c r="BV27" s="70" t="str">
        <f>IF(BT27="  ","  ",IF(BT27&gt;=menu!$D$19,"Tuntas","Tidak Tuntas"))</f>
        <v>Tuntas</v>
      </c>
      <c r="BW27" s="65"/>
      <c r="BX27" s="65"/>
      <c r="BY27" s="65"/>
      <c r="BZ27" s="66"/>
      <c r="CA27" s="65"/>
      <c r="CB27" s="65"/>
      <c r="CC27" s="65"/>
      <c r="CD27" s="67">
        <f t="shared" si="28"/>
        <v>0</v>
      </c>
      <c r="CE27" s="68">
        <f t="shared" si="29"/>
        <v>0</v>
      </c>
      <c r="CF27" s="68">
        <f t="shared" si="30"/>
        <v>0</v>
      </c>
      <c r="CG27" s="69" t="str">
        <f t="shared" si="6"/>
        <v>D</v>
      </c>
      <c r="CH27" s="70" t="str">
        <f>IF(CF27="  ","  ",IF(CF27&gt;=menu!$D$19,"Tuntas","Tidak Tuntas"))</f>
        <v>Tuntas</v>
      </c>
      <c r="CI27" s="65"/>
      <c r="CJ27" s="65"/>
      <c r="CK27" s="65"/>
      <c r="CL27" s="66"/>
      <c r="CM27" s="65"/>
      <c r="CN27" s="65"/>
      <c r="CO27" s="65"/>
      <c r="CP27" s="67">
        <f t="shared" si="31"/>
        <v>0</v>
      </c>
      <c r="CQ27" s="68">
        <f t="shared" si="32"/>
        <v>0</v>
      </c>
      <c r="CR27" s="68">
        <f t="shared" si="33"/>
        <v>0</v>
      </c>
      <c r="CS27" s="69" t="str">
        <f t="shared" si="7"/>
        <v>D</v>
      </c>
      <c r="CT27" s="70" t="str">
        <f>IF(CR27="  ","  ",IF(CR27&gt;=menu!$D$19,"Tuntas","Tidak Tuntas"))</f>
        <v>Tuntas</v>
      </c>
      <c r="CU27" s="65"/>
      <c r="CV27" s="65"/>
      <c r="CW27" s="65"/>
      <c r="CX27" s="66"/>
      <c r="CY27" s="65"/>
      <c r="CZ27" s="65"/>
      <c r="DA27" s="65"/>
      <c r="DB27" s="67">
        <f t="shared" si="34"/>
        <v>0</v>
      </c>
      <c r="DC27" s="68">
        <f t="shared" si="35"/>
        <v>0</v>
      </c>
      <c r="DD27" s="68">
        <f t="shared" si="36"/>
        <v>0</v>
      </c>
      <c r="DE27" s="69" t="str">
        <f t="shared" si="8"/>
        <v>D</v>
      </c>
      <c r="DF27" s="70" t="str">
        <f>IF(DD27="  ","  ",IF(DD27&gt;=menu!$D$19,"Tuntas","Tidak Tuntas"))</f>
        <v>Tuntas</v>
      </c>
      <c r="DG27" s="65"/>
      <c r="DH27" s="65"/>
      <c r="DI27" s="65"/>
      <c r="DJ27" s="66"/>
      <c r="DK27" s="65"/>
      <c r="DL27" s="65"/>
      <c r="DM27" s="65"/>
      <c r="DN27" s="67">
        <f t="shared" si="37"/>
        <v>0</v>
      </c>
      <c r="DO27" s="68">
        <f t="shared" si="38"/>
        <v>0</v>
      </c>
      <c r="DP27" s="68">
        <f t="shared" si="39"/>
        <v>0</v>
      </c>
      <c r="DQ27" s="69" t="str">
        <f t="shared" si="9"/>
        <v>D</v>
      </c>
      <c r="DR27" s="70" t="str">
        <f>IF(DP27="  ","  ",IF(DP27&gt;=menu!$D$19,"Tuntas","Tidak Tuntas"))</f>
        <v>Tuntas</v>
      </c>
    </row>
    <row r="28" spans="1:122">
      <c r="A28" s="64">
        <f>'DATA SISWA'!A14</f>
        <v>10</v>
      </c>
      <c r="B28" s="76" t="str">
        <f>'DATA SISWA'!C14</f>
        <v>ENI UMAMAH</v>
      </c>
      <c r="C28" s="65"/>
      <c r="D28" s="65"/>
      <c r="E28" s="65"/>
      <c r="F28" s="66"/>
      <c r="G28" s="65"/>
      <c r="H28" s="65"/>
      <c r="I28" s="65"/>
      <c r="J28" s="67">
        <f t="shared" si="10"/>
        <v>0</v>
      </c>
      <c r="K28" s="68">
        <f t="shared" si="11"/>
        <v>0</v>
      </c>
      <c r="L28" s="68">
        <f t="shared" si="12"/>
        <v>0</v>
      </c>
      <c r="M28" s="69" t="str">
        <f t="shared" si="0"/>
        <v>D</v>
      </c>
      <c r="N28" s="70" t="str">
        <f>IF(L28="  ","  ",IF(L28&gt;=menu!$D$19,"Tuntas","Tidak Tuntas"))</f>
        <v>Tuntas</v>
      </c>
      <c r="O28" s="65"/>
      <c r="P28" s="65"/>
      <c r="Q28" s="65"/>
      <c r="R28" s="66"/>
      <c r="S28" s="65"/>
      <c r="T28" s="65"/>
      <c r="U28" s="65"/>
      <c r="V28" s="67">
        <f t="shared" si="13"/>
        <v>0</v>
      </c>
      <c r="W28" s="68">
        <f t="shared" si="14"/>
        <v>0</v>
      </c>
      <c r="X28" s="68">
        <f t="shared" si="15"/>
        <v>0</v>
      </c>
      <c r="Y28" s="69" t="str">
        <f t="shared" si="1"/>
        <v>D</v>
      </c>
      <c r="Z28" s="70" t="str">
        <f>IF(X28="  ","  ",IF(X28&gt;=menu!$D$19,"Tuntas","Tidak Tuntas"))</f>
        <v>Tuntas</v>
      </c>
      <c r="AA28" s="65"/>
      <c r="AB28" s="65"/>
      <c r="AC28" s="65"/>
      <c r="AD28" s="66"/>
      <c r="AE28" s="65"/>
      <c r="AF28" s="65"/>
      <c r="AG28" s="65"/>
      <c r="AH28" s="67">
        <f t="shared" si="16"/>
        <v>0</v>
      </c>
      <c r="AI28" s="68">
        <f t="shared" si="17"/>
        <v>0</v>
      </c>
      <c r="AJ28" s="68">
        <f t="shared" si="18"/>
        <v>0</v>
      </c>
      <c r="AK28" s="69" t="str">
        <f t="shared" si="2"/>
        <v>D</v>
      </c>
      <c r="AL28" s="70" t="str">
        <f>IF(AJ28="  ","  ",IF(AJ28&gt;=menu!$D$19,"Tuntas","Tidak Tuntas"))</f>
        <v>Tuntas</v>
      </c>
      <c r="AM28" s="65"/>
      <c r="AN28" s="65"/>
      <c r="AO28" s="65"/>
      <c r="AP28" s="66"/>
      <c r="AQ28" s="65"/>
      <c r="AR28" s="65"/>
      <c r="AS28" s="65"/>
      <c r="AT28" s="67">
        <f t="shared" si="19"/>
        <v>0</v>
      </c>
      <c r="AU28" s="68">
        <f t="shared" si="20"/>
        <v>0</v>
      </c>
      <c r="AV28" s="68">
        <f t="shared" si="21"/>
        <v>0</v>
      </c>
      <c r="AW28" s="69" t="str">
        <f t="shared" si="3"/>
        <v>D</v>
      </c>
      <c r="AX28" s="70" t="str">
        <f>IF(AV28="  ","  ",IF(AV28&gt;=menu!$D$19,"Tuntas","Tidak Tuntas"))</f>
        <v>Tuntas</v>
      </c>
      <c r="AY28" s="65"/>
      <c r="AZ28" s="65"/>
      <c r="BA28" s="65"/>
      <c r="BB28" s="66"/>
      <c r="BC28" s="65"/>
      <c r="BD28" s="65"/>
      <c r="BE28" s="65"/>
      <c r="BF28" s="67">
        <f t="shared" si="22"/>
        <v>0</v>
      </c>
      <c r="BG28" s="68">
        <f t="shared" si="23"/>
        <v>0</v>
      </c>
      <c r="BH28" s="68">
        <f t="shared" si="24"/>
        <v>0</v>
      </c>
      <c r="BI28" s="69" t="str">
        <f t="shared" si="4"/>
        <v>D</v>
      </c>
      <c r="BJ28" s="70" t="str">
        <f>IF(BH28="  ","  ",IF(BH28&gt;=menu!$D$19,"Tuntas","Tidak Tuntas"))</f>
        <v>Tuntas</v>
      </c>
      <c r="BK28" s="65"/>
      <c r="BL28" s="65"/>
      <c r="BM28" s="65"/>
      <c r="BN28" s="66"/>
      <c r="BO28" s="65"/>
      <c r="BP28" s="65"/>
      <c r="BQ28" s="65"/>
      <c r="BR28" s="67">
        <f t="shared" si="25"/>
        <v>0</v>
      </c>
      <c r="BS28" s="68">
        <f t="shared" si="26"/>
        <v>0</v>
      </c>
      <c r="BT28" s="68">
        <f t="shared" si="27"/>
        <v>0</v>
      </c>
      <c r="BU28" s="69" t="str">
        <f t="shared" si="5"/>
        <v>D</v>
      </c>
      <c r="BV28" s="70" t="str">
        <f>IF(BT28="  ","  ",IF(BT28&gt;=menu!$D$19,"Tuntas","Tidak Tuntas"))</f>
        <v>Tuntas</v>
      </c>
      <c r="BW28" s="65"/>
      <c r="BX28" s="65"/>
      <c r="BY28" s="65"/>
      <c r="BZ28" s="66"/>
      <c r="CA28" s="65"/>
      <c r="CB28" s="65"/>
      <c r="CC28" s="65"/>
      <c r="CD28" s="67">
        <f t="shared" si="28"/>
        <v>0</v>
      </c>
      <c r="CE28" s="68">
        <f t="shared" si="29"/>
        <v>0</v>
      </c>
      <c r="CF28" s="68">
        <f t="shared" si="30"/>
        <v>0</v>
      </c>
      <c r="CG28" s="69" t="str">
        <f t="shared" si="6"/>
        <v>D</v>
      </c>
      <c r="CH28" s="70" t="str">
        <f>IF(CF28="  ","  ",IF(CF28&gt;=menu!$D$19,"Tuntas","Tidak Tuntas"))</f>
        <v>Tuntas</v>
      </c>
      <c r="CI28" s="65"/>
      <c r="CJ28" s="65"/>
      <c r="CK28" s="65"/>
      <c r="CL28" s="66"/>
      <c r="CM28" s="65"/>
      <c r="CN28" s="65"/>
      <c r="CO28" s="65"/>
      <c r="CP28" s="67">
        <f t="shared" si="31"/>
        <v>0</v>
      </c>
      <c r="CQ28" s="68">
        <f t="shared" si="32"/>
        <v>0</v>
      </c>
      <c r="CR28" s="68">
        <f t="shared" si="33"/>
        <v>0</v>
      </c>
      <c r="CS28" s="69" t="str">
        <f t="shared" si="7"/>
        <v>D</v>
      </c>
      <c r="CT28" s="70" t="str">
        <f>IF(CR28="  ","  ",IF(CR28&gt;=menu!$D$19,"Tuntas","Tidak Tuntas"))</f>
        <v>Tuntas</v>
      </c>
      <c r="CU28" s="65"/>
      <c r="CV28" s="65"/>
      <c r="CW28" s="65"/>
      <c r="CX28" s="66"/>
      <c r="CY28" s="65"/>
      <c r="CZ28" s="65"/>
      <c r="DA28" s="65"/>
      <c r="DB28" s="67">
        <f t="shared" si="34"/>
        <v>0</v>
      </c>
      <c r="DC28" s="68">
        <f t="shared" si="35"/>
        <v>0</v>
      </c>
      <c r="DD28" s="68">
        <f t="shared" si="36"/>
        <v>0</v>
      </c>
      <c r="DE28" s="69" t="str">
        <f t="shared" si="8"/>
        <v>D</v>
      </c>
      <c r="DF28" s="70" t="str">
        <f>IF(DD28="  ","  ",IF(DD28&gt;=menu!$D$19,"Tuntas","Tidak Tuntas"))</f>
        <v>Tuntas</v>
      </c>
      <c r="DG28" s="65"/>
      <c r="DH28" s="65"/>
      <c r="DI28" s="65"/>
      <c r="DJ28" s="66"/>
      <c r="DK28" s="65"/>
      <c r="DL28" s="65"/>
      <c r="DM28" s="65"/>
      <c r="DN28" s="67">
        <f t="shared" si="37"/>
        <v>0</v>
      </c>
      <c r="DO28" s="68">
        <f t="shared" si="38"/>
        <v>0</v>
      </c>
      <c r="DP28" s="68">
        <f t="shared" si="39"/>
        <v>0</v>
      </c>
      <c r="DQ28" s="69" t="str">
        <f t="shared" si="9"/>
        <v>D</v>
      </c>
      <c r="DR28" s="70" t="str">
        <f>IF(DP28="  ","  ",IF(DP28&gt;=menu!$D$19,"Tuntas","Tidak Tuntas"))</f>
        <v>Tuntas</v>
      </c>
    </row>
    <row r="29" spans="1:122">
      <c r="A29" s="64">
        <f>'DATA SISWA'!A15</f>
        <v>11</v>
      </c>
      <c r="B29" s="76" t="str">
        <f>'DATA SISWA'!C15</f>
        <v>FADIA FASSA</v>
      </c>
      <c r="C29" s="65"/>
      <c r="D29" s="65"/>
      <c r="E29" s="65"/>
      <c r="F29" s="66"/>
      <c r="G29" s="65"/>
      <c r="H29" s="65"/>
      <c r="I29" s="65"/>
      <c r="J29" s="67">
        <f t="shared" si="10"/>
        <v>0</v>
      </c>
      <c r="K29" s="68">
        <f t="shared" si="11"/>
        <v>0</v>
      </c>
      <c r="L29" s="68">
        <f t="shared" si="12"/>
        <v>0</v>
      </c>
      <c r="M29" s="69" t="str">
        <f t="shared" si="0"/>
        <v>D</v>
      </c>
      <c r="N29" s="70" t="str">
        <f>IF(L29="  ","  ",IF(L29&gt;=menu!$D$19,"Tuntas","Tidak Tuntas"))</f>
        <v>Tuntas</v>
      </c>
      <c r="O29" s="65"/>
      <c r="P29" s="65"/>
      <c r="Q29" s="65"/>
      <c r="R29" s="66"/>
      <c r="S29" s="65"/>
      <c r="T29" s="65"/>
      <c r="U29" s="65"/>
      <c r="V29" s="67">
        <f t="shared" si="13"/>
        <v>0</v>
      </c>
      <c r="W29" s="68">
        <f t="shared" si="14"/>
        <v>0</v>
      </c>
      <c r="X29" s="68">
        <f t="shared" si="15"/>
        <v>0</v>
      </c>
      <c r="Y29" s="69" t="str">
        <f t="shared" si="1"/>
        <v>D</v>
      </c>
      <c r="Z29" s="70" t="str">
        <f>IF(X29="  ","  ",IF(X29&gt;=menu!$D$19,"Tuntas","Tidak Tuntas"))</f>
        <v>Tuntas</v>
      </c>
      <c r="AA29" s="65"/>
      <c r="AB29" s="65"/>
      <c r="AC29" s="65"/>
      <c r="AD29" s="66"/>
      <c r="AE29" s="65"/>
      <c r="AF29" s="65"/>
      <c r="AG29" s="65"/>
      <c r="AH29" s="67">
        <f t="shared" si="16"/>
        <v>0</v>
      </c>
      <c r="AI29" s="68">
        <f t="shared" si="17"/>
        <v>0</v>
      </c>
      <c r="AJ29" s="68">
        <f t="shared" si="18"/>
        <v>0</v>
      </c>
      <c r="AK29" s="69" t="str">
        <f t="shared" si="2"/>
        <v>D</v>
      </c>
      <c r="AL29" s="70" t="str">
        <f>IF(AJ29="  ","  ",IF(AJ29&gt;=menu!$D$19,"Tuntas","Tidak Tuntas"))</f>
        <v>Tuntas</v>
      </c>
      <c r="AM29" s="65"/>
      <c r="AN29" s="65"/>
      <c r="AO29" s="65"/>
      <c r="AP29" s="66"/>
      <c r="AQ29" s="65"/>
      <c r="AR29" s="65"/>
      <c r="AS29" s="65"/>
      <c r="AT29" s="67">
        <f t="shared" si="19"/>
        <v>0</v>
      </c>
      <c r="AU29" s="68">
        <f t="shared" si="20"/>
        <v>0</v>
      </c>
      <c r="AV29" s="68">
        <f t="shared" si="21"/>
        <v>0</v>
      </c>
      <c r="AW29" s="69" t="str">
        <f t="shared" si="3"/>
        <v>D</v>
      </c>
      <c r="AX29" s="70" t="str">
        <f>IF(AV29="  ","  ",IF(AV29&gt;=menu!$D$19,"Tuntas","Tidak Tuntas"))</f>
        <v>Tuntas</v>
      </c>
      <c r="AY29" s="65"/>
      <c r="AZ29" s="65"/>
      <c r="BA29" s="65"/>
      <c r="BB29" s="66"/>
      <c r="BC29" s="65"/>
      <c r="BD29" s="65"/>
      <c r="BE29" s="65"/>
      <c r="BF29" s="67">
        <f t="shared" si="22"/>
        <v>0</v>
      </c>
      <c r="BG29" s="68">
        <f t="shared" si="23"/>
        <v>0</v>
      </c>
      <c r="BH29" s="68">
        <f t="shared" si="24"/>
        <v>0</v>
      </c>
      <c r="BI29" s="69" t="str">
        <f t="shared" si="4"/>
        <v>D</v>
      </c>
      <c r="BJ29" s="70" t="str">
        <f>IF(BH29="  ","  ",IF(BH29&gt;=menu!$D$19,"Tuntas","Tidak Tuntas"))</f>
        <v>Tuntas</v>
      </c>
      <c r="BK29" s="65"/>
      <c r="BL29" s="65"/>
      <c r="BM29" s="65"/>
      <c r="BN29" s="66"/>
      <c r="BO29" s="65"/>
      <c r="BP29" s="65"/>
      <c r="BQ29" s="65"/>
      <c r="BR29" s="67">
        <f t="shared" si="25"/>
        <v>0</v>
      </c>
      <c r="BS29" s="68">
        <f t="shared" si="26"/>
        <v>0</v>
      </c>
      <c r="BT29" s="68">
        <f t="shared" si="27"/>
        <v>0</v>
      </c>
      <c r="BU29" s="69" t="str">
        <f t="shared" si="5"/>
        <v>D</v>
      </c>
      <c r="BV29" s="70" t="str">
        <f>IF(BT29="  ","  ",IF(BT29&gt;=menu!$D$19,"Tuntas","Tidak Tuntas"))</f>
        <v>Tuntas</v>
      </c>
      <c r="BW29" s="65"/>
      <c r="BX29" s="65"/>
      <c r="BY29" s="65"/>
      <c r="BZ29" s="66"/>
      <c r="CA29" s="65"/>
      <c r="CB29" s="65"/>
      <c r="CC29" s="65"/>
      <c r="CD29" s="67">
        <f t="shared" si="28"/>
        <v>0</v>
      </c>
      <c r="CE29" s="68">
        <f t="shared" si="29"/>
        <v>0</v>
      </c>
      <c r="CF29" s="68">
        <f t="shared" si="30"/>
        <v>0</v>
      </c>
      <c r="CG29" s="69" t="str">
        <f t="shared" si="6"/>
        <v>D</v>
      </c>
      <c r="CH29" s="70" t="str">
        <f>IF(CF29="  ","  ",IF(CF29&gt;=menu!$D$19,"Tuntas","Tidak Tuntas"))</f>
        <v>Tuntas</v>
      </c>
      <c r="CI29" s="65"/>
      <c r="CJ29" s="65"/>
      <c r="CK29" s="65"/>
      <c r="CL29" s="66"/>
      <c r="CM29" s="65"/>
      <c r="CN29" s="65"/>
      <c r="CO29" s="65"/>
      <c r="CP29" s="67">
        <f t="shared" si="31"/>
        <v>0</v>
      </c>
      <c r="CQ29" s="68">
        <f t="shared" si="32"/>
        <v>0</v>
      </c>
      <c r="CR29" s="68">
        <f t="shared" si="33"/>
        <v>0</v>
      </c>
      <c r="CS29" s="69" t="str">
        <f t="shared" si="7"/>
        <v>D</v>
      </c>
      <c r="CT29" s="70" t="str">
        <f>IF(CR29="  ","  ",IF(CR29&gt;=menu!$D$19,"Tuntas","Tidak Tuntas"))</f>
        <v>Tuntas</v>
      </c>
      <c r="CU29" s="65"/>
      <c r="CV29" s="65"/>
      <c r="CW29" s="65"/>
      <c r="CX29" s="66"/>
      <c r="CY29" s="65"/>
      <c r="CZ29" s="65"/>
      <c r="DA29" s="65"/>
      <c r="DB29" s="67">
        <f t="shared" si="34"/>
        <v>0</v>
      </c>
      <c r="DC29" s="68">
        <f t="shared" si="35"/>
        <v>0</v>
      </c>
      <c r="DD29" s="68">
        <f t="shared" si="36"/>
        <v>0</v>
      </c>
      <c r="DE29" s="69" t="str">
        <f t="shared" si="8"/>
        <v>D</v>
      </c>
      <c r="DF29" s="70" t="str">
        <f>IF(DD29="  ","  ",IF(DD29&gt;=menu!$D$19,"Tuntas","Tidak Tuntas"))</f>
        <v>Tuntas</v>
      </c>
      <c r="DG29" s="65"/>
      <c r="DH29" s="65"/>
      <c r="DI29" s="65"/>
      <c r="DJ29" s="66"/>
      <c r="DK29" s="65"/>
      <c r="DL29" s="65"/>
      <c r="DM29" s="65"/>
      <c r="DN29" s="67">
        <f t="shared" si="37"/>
        <v>0</v>
      </c>
      <c r="DO29" s="68">
        <f t="shared" si="38"/>
        <v>0</v>
      </c>
      <c r="DP29" s="68">
        <f t="shared" si="39"/>
        <v>0</v>
      </c>
      <c r="DQ29" s="69" t="str">
        <f t="shared" si="9"/>
        <v>D</v>
      </c>
      <c r="DR29" s="70" t="str">
        <f>IF(DP29="  ","  ",IF(DP29&gt;=menu!$D$19,"Tuntas","Tidak Tuntas"))</f>
        <v>Tuntas</v>
      </c>
    </row>
    <row r="30" spans="1:122">
      <c r="A30" s="64">
        <f>'DATA SISWA'!A16</f>
        <v>12</v>
      </c>
      <c r="B30" s="76" t="str">
        <f>'DATA SISWA'!C16</f>
        <v>FATIMATUZ  ZAHROH</v>
      </c>
      <c r="C30" s="65"/>
      <c r="D30" s="65"/>
      <c r="E30" s="65"/>
      <c r="F30" s="66"/>
      <c r="G30" s="65"/>
      <c r="H30" s="65"/>
      <c r="I30" s="65"/>
      <c r="J30" s="67">
        <f t="shared" si="10"/>
        <v>0</v>
      </c>
      <c r="K30" s="68">
        <f t="shared" si="11"/>
        <v>0</v>
      </c>
      <c r="L30" s="68">
        <f t="shared" si="12"/>
        <v>0</v>
      </c>
      <c r="M30" s="69" t="str">
        <f t="shared" si="0"/>
        <v>D</v>
      </c>
      <c r="N30" s="70" t="str">
        <f>IF(L30="  ","  ",IF(L30&gt;=menu!$D$19,"Tuntas","Tidak Tuntas"))</f>
        <v>Tuntas</v>
      </c>
      <c r="O30" s="65"/>
      <c r="P30" s="65"/>
      <c r="Q30" s="65"/>
      <c r="R30" s="66"/>
      <c r="S30" s="65"/>
      <c r="T30" s="65"/>
      <c r="U30" s="65"/>
      <c r="V30" s="67">
        <f t="shared" si="13"/>
        <v>0</v>
      </c>
      <c r="W30" s="68">
        <f t="shared" si="14"/>
        <v>0</v>
      </c>
      <c r="X30" s="68">
        <f t="shared" si="15"/>
        <v>0</v>
      </c>
      <c r="Y30" s="69" t="str">
        <f t="shared" si="1"/>
        <v>D</v>
      </c>
      <c r="Z30" s="70" t="str">
        <f>IF(X30="  ","  ",IF(X30&gt;=menu!$D$19,"Tuntas","Tidak Tuntas"))</f>
        <v>Tuntas</v>
      </c>
      <c r="AA30" s="65"/>
      <c r="AB30" s="65"/>
      <c r="AC30" s="65"/>
      <c r="AD30" s="66"/>
      <c r="AE30" s="65"/>
      <c r="AF30" s="65"/>
      <c r="AG30" s="65"/>
      <c r="AH30" s="67">
        <f t="shared" si="16"/>
        <v>0</v>
      </c>
      <c r="AI30" s="68">
        <f t="shared" si="17"/>
        <v>0</v>
      </c>
      <c r="AJ30" s="68">
        <f t="shared" si="18"/>
        <v>0</v>
      </c>
      <c r="AK30" s="69" t="str">
        <f t="shared" si="2"/>
        <v>D</v>
      </c>
      <c r="AL30" s="70" t="str">
        <f>IF(AJ30="  ","  ",IF(AJ30&gt;=menu!$D$19,"Tuntas","Tidak Tuntas"))</f>
        <v>Tuntas</v>
      </c>
      <c r="AM30" s="65"/>
      <c r="AN30" s="65"/>
      <c r="AO30" s="65"/>
      <c r="AP30" s="66"/>
      <c r="AQ30" s="65"/>
      <c r="AR30" s="65"/>
      <c r="AS30" s="65"/>
      <c r="AT30" s="67">
        <f t="shared" si="19"/>
        <v>0</v>
      </c>
      <c r="AU30" s="68">
        <f t="shared" si="20"/>
        <v>0</v>
      </c>
      <c r="AV30" s="68">
        <f t="shared" si="21"/>
        <v>0</v>
      </c>
      <c r="AW30" s="69" t="str">
        <f t="shared" si="3"/>
        <v>D</v>
      </c>
      <c r="AX30" s="70" t="str">
        <f>IF(AV30="  ","  ",IF(AV30&gt;=menu!$D$19,"Tuntas","Tidak Tuntas"))</f>
        <v>Tuntas</v>
      </c>
      <c r="AY30" s="65"/>
      <c r="AZ30" s="65"/>
      <c r="BA30" s="65"/>
      <c r="BB30" s="66"/>
      <c r="BC30" s="65"/>
      <c r="BD30" s="65"/>
      <c r="BE30" s="65"/>
      <c r="BF30" s="67">
        <f t="shared" si="22"/>
        <v>0</v>
      </c>
      <c r="BG30" s="68">
        <f t="shared" si="23"/>
        <v>0</v>
      </c>
      <c r="BH30" s="68">
        <f t="shared" si="24"/>
        <v>0</v>
      </c>
      <c r="BI30" s="69" t="str">
        <f t="shared" si="4"/>
        <v>D</v>
      </c>
      <c r="BJ30" s="70" t="str">
        <f>IF(BH30="  ","  ",IF(BH30&gt;=menu!$D$19,"Tuntas","Tidak Tuntas"))</f>
        <v>Tuntas</v>
      </c>
      <c r="BK30" s="65"/>
      <c r="BL30" s="65"/>
      <c r="BM30" s="65"/>
      <c r="BN30" s="66"/>
      <c r="BO30" s="65"/>
      <c r="BP30" s="65"/>
      <c r="BQ30" s="65"/>
      <c r="BR30" s="67">
        <f t="shared" si="25"/>
        <v>0</v>
      </c>
      <c r="BS30" s="68">
        <f t="shared" si="26"/>
        <v>0</v>
      </c>
      <c r="BT30" s="68">
        <f t="shared" si="27"/>
        <v>0</v>
      </c>
      <c r="BU30" s="69" t="str">
        <f t="shared" si="5"/>
        <v>D</v>
      </c>
      <c r="BV30" s="70" t="str">
        <f>IF(BT30="  ","  ",IF(BT30&gt;=menu!$D$19,"Tuntas","Tidak Tuntas"))</f>
        <v>Tuntas</v>
      </c>
      <c r="BW30" s="65"/>
      <c r="BX30" s="65"/>
      <c r="BY30" s="65"/>
      <c r="BZ30" s="66"/>
      <c r="CA30" s="65"/>
      <c r="CB30" s="65"/>
      <c r="CC30" s="65"/>
      <c r="CD30" s="67">
        <f t="shared" si="28"/>
        <v>0</v>
      </c>
      <c r="CE30" s="68">
        <f t="shared" si="29"/>
        <v>0</v>
      </c>
      <c r="CF30" s="68">
        <f t="shared" si="30"/>
        <v>0</v>
      </c>
      <c r="CG30" s="69" t="str">
        <f t="shared" si="6"/>
        <v>D</v>
      </c>
      <c r="CH30" s="70" t="str">
        <f>IF(CF30="  ","  ",IF(CF30&gt;=menu!$D$19,"Tuntas","Tidak Tuntas"))</f>
        <v>Tuntas</v>
      </c>
      <c r="CI30" s="65"/>
      <c r="CJ30" s="65"/>
      <c r="CK30" s="65"/>
      <c r="CL30" s="66"/>
      <c r="CM30" s="65"/>
      <c r="CN30" s="65"/>
      <c r="CO30" s="65"/>
      <c r="CP30" s="67">
        <f t="shared" si="31"/>
        <v>0</v>
      </c>
      <c r="CQ30" s="68">
        <f t="shared" si="32"/>
        <v>0</v>
      </c>
      <c r="CR30" s="68">
        <f t="shared" si="33"/>
        <v>0</v>
      </c>
      <c r="CS30" s="69" t="str">
        <f t="shared" si="7"/>
        <v>D</v>
      </c>
      <c r="CT30" s="70" t="str">
        <f>IF(CR30="  ","  ",IF(CR30&gt;=menu!$D$19,"Tuntas","Tidak Tuntas"))</f>
        <v>Tuntas</v>
      </c>
      <c r="CU30" s="65"/>
      <c r="CV30" s="65"/>
      <c r="CW30" s="65"/>
      <c r="CX30" s="66"/>
      <c r="CY30" s="65"/>
      <c r="CZ30" s="65"/>
      <c r="DA30" s="65"/>
      <c r="DB30" s="67">
        <f t="shared" si="34"/>
        <v>0</v>
      </c>
      <c r="DC30" s="68">
        <f t="shared" si="35"/>
        <v>0</v>
      </c>
      <c r="DD30" s="68">
        <f t="shared" si="36"/>
        <v>0</v>
      </c>
      <c r="DE30" s="69" t="str">
        <f t="shared" si="8"/>
        <v>D</v>
      </c>
      <c r="DF30" s="70" t="str">
        <f>IF(DD30="  ","  ",IF(DD30&gt;=menu!$D$19,"Tuntas","Tidak Tuntas"))</f>
        <v>Tuntas</v>
      </c>
      <c r="DG30" s="65"/>
      <c r="DH30" s="65"/>
      <c r="DI30" s="65"/>
      <c r="DJ30" s="66"/>
      <c r="DK30" s="65"/>
      <c r="DL30" s="65"/>
      <c r="DM30" s="65"/>
      <c r="DN30" s="67">
        <f t="shared" si="37"/>
        <v>0</v>
      </c>
      <c r="DO30" s="68">
        <f t="shared" si="38"/>
        <v>0</v>
      </c>
      <c r="DP30" s="68">
        <f t="shared" si="39"/>
        <v>0</v>
      </c>
      <c r="DQ30" s="69" t="str">
        <f t="shared" si="9"/>
        <v>D</v>
      </c>
      <c r="DR30" s="70" t="str">
        <f>IF(DP30="  ","  ",IF(DP30&gt;=menu!$D$19,"Tuntas","Tidak Tuntas"))</f>
        <v>Tuntas</v>
      </c>
    </row>
    <row r="31" spans="1:122">
      <c r="A31" s="64">
        <f>'DATA SISWA'!A17</f>
        <v>13</v>
      </c>
      <c r="B31" s="76" t="str">
        <f>'DATA SISWA'!C17</f>
        <v>IMAM FATONI</v>
      </c>
      <c r="C31" s="65"/>
      <c r="D31" s="65"/>
      <c r="E31" s="65"/>
      <c r="F31" s="66"/>
      <c r="G31" s="65"/>
      <c r="H31" s="65"/>
      <c r="I31" s="65"/>
      <c r="J31" s="67">
        <f t="shared" si="10"/>
        <v>0</v>
      </c>
      <c r="K31" s="68">
        <f t="shared" si="11"/>
        <v>0</v>
      </c>
      <c r="L31" s="68">
        <f t="shared" si="12"/>
        <v>0</v>
      </c>
      <c r="M31" s="69" t="str">
        <f t="shared" si="0"/>
        <v>D</v>
      </c>
      <c r="N31" s="70" t="str">
        <f>IF(L31="  ","  ",IF(L31&gt;=menu!$D$19,"Tuntas","Tidak Tuntas"))</f>
        <v>Tuntas</v>
      </c>
      <c r="O31" s="65"/>
      <c r="P31" s="65"/>
      <c r="Q31" s="65"/>
      <c r="R31" s="66"/>
      <c r="S31" s="65"/>
      <c r="T31" s="65"/>
      <c r="U31" s="65"/>
      <c r="V31" s="67">
        <f t="shared" si="13"/>
        <v>0</v>
      </c>
      <c r="W31" s="68">
        <f t="shared" si="14"/>
        <v>0</v>
      </c>
      <c r="X31" s="68">
        <f t="shared" si="15"/>
        <v>0</v>
      </c>
      <c r="Y31" s="69" t="str">
        <f t="shared" si="1"/>
        <v>D</v>
      </c>
      <c r="Z31" s="70" t="str">
        <f>IF(X31="  ","  ",IF(X31&gt;=menu!$D$19,"Tuntas","Tidak Tuntas"))</f>
        <v>Tuntas</v>
      </c>
      <c r="AA31" s="65"/>
      <c r="AB31" s="65"/>
      <c r="AC31" s="65"/>
      <c r="AD31" s="66"/>
      <c r="AE31" s="65"/>
      <c r="AF31" s="65"/>
      <c r="AG31" s="65"/>
      <c r="AH31" s="67">
        <f t="shared" si="16"/>
        <v>0</v>
      </c>
      <c r="AI31" s="68">
        <f t="shared" si="17"/>
        <v>0</v>
      </c>
      <c r="AJ31" s="68">
        <f t="shared" si="18"/>
        <v>0</v>
      </c>
      <c r="AK31" s="69" t="str">
        <f t="shared" si="2"/>
        <v>D</v>
      </c>
      <c r="AL31" s="70" t="str">
        <f>IF(AJ31="  ","  ",IF(AJ31&gt;=menu!$D$19,"Tuntas","Tidak Tuntas"))</f>
        <v>Tuntas</v>
      </c>
      <c r="AM31" s="65"/>
      <c r="AN31" s="65"/>
      <c r="AO31" s="65"/>
      <c r="AP31" s="66"/>
      <c r="AQ31" s="65"/>
      <c r="AR31" s="65"/>
      <c r="AS31" s="65"/>
      <c r="AT31" s="67">
        <f t="shared" si="19"/>
        <v>0</v>
      </c>
      <c r="AU31" s="68">
        <f t="shared" si="20"/>
        <v>0</v>
      </c>
      <c r="AV31" s="68">
        <f t="shared" si="21"/>
        <v>0</v>
      </c>
      <c r="AW31" s="69" t="str">
        <f t="shared" si="3"/>
        <v>D</v>
      </c>
      <c r="AX31" s="70" t="str">
        <f>IF(AV31="  ","  ",IF(AV31&gt;=menu!$D$19,"Tuntas","Tidak Tuntas"))</f>
        <v>Tuntas</v>
      </c>
      <c r="AY31" s="65"/>
      <c r="AZ31" s="65"/>
      <c r="BA31" s="65"/>
      <c r="BB31" s="66"/>
      <c r="BC31" s="65"/>
      <c r="BD31" s="65"/>
      <c r="BE31" s="65"/>
      <c r="BF31" s="67">
        <f t="shared" si="22"/>
        <v>0</v>
      </c>
      <c r="BG31" s="68">
        <f t="shared" si="23"/>
        <v>0</v>
      </c>
      <c r="BH31" s="68">
        <f t="shared" si="24"/>
        <v>0</v>
      </c>
      <c r="BI31" s="69" t="str">
        <f t="shared" si="4"/>
        <v>D</v>
      </c>
      <c r="BJ31" s="70" t="str">
        <f>IF(BH31="  ","  ",IF(BH31&gt;=menu!$D$19,"Tuntas","Tidak Tuntas"))</f>
        <v>Tuntas</v>
      </c>
      <c r="BK31" s="65"/>
      <c r="BL31" s="65"/>
      <c r="BM31" s="65"/>
      <c r="BN31" s="66"/>
      <c r="BO31" s="65"/>
      <c r="BP31" s="65"/>
      <c r="BQ31" s="65"/>
      <c r="BR31" s="67">
        <f t="shared" si="25"/>
        <v>0</v>
      </c>
      <c r="BS31" s="68">
        <f t="shared" si="26"/>
        <v>0</v>
      </c>
      <c r="BT31" s="68">
        <f t="shared" si="27"/>
        <v>0</v>
      </c>
      <c r="BU31" s="69" t="str">
        <f t="shared" si="5"/>
        <v>D</v>
      </c>
      <c r="BV31" s="70" t="str">
        <f>IF(BT31="  ","  ",IF(BT31&gt;=menu!$D$19,"Tuntas","Tidak Tuntas"))</f>
        <v>Tuntas</v>
      </c>
      <c r="BW31" s="65"/>
      <c r="BX31" s="65"/>
      <c r="BY31" s="65"/>
      <c r="BZ31" s="66"/>
      <c r="CA31" s="65"/>
      <c r="CB31" s="65"/>
      <c r="CC31" s="65"/>
      <c r="CD31" s="67">
        <f t="shared" si="28"/>
        <v>0</v>
      </c>
      <c r="CE31" s="68">
        <f t="shared" si="29"/>
        <v>0</v>
      </c>
      <c r="CF31" s="68">
        <f t="shared" si="30"/>
        <v>0</v>
      </c>
      <c r="CG31" s="69" t="str">
        <f t="shared" si="6"/>
        <v>D</v>
      </c>
      <c r="CH31" s="70" t="str">
        <f>IF(CF31="  ","  ",IF(CF31&gt;=menu!$D$19,"Tuntas","Tidak Tuntas"))</f>
        <v>Tuntas</v>
      </c>
      <c r="CI31" s="65"/>
      <c r="CJ31" s="65"/>
      <c r="CK31" s="65"/>
      <c r="CL31" s="66"/>
      <c r="CM31" s="65"/>
      <c r="CN31" s="65"/>
      <c r="CO31" s="65"/>
      <c r="CP31" s="67">
        <f t="shared" si="31"/>
        <v>0</v>
      </c>
      <c r="CQ31" s="68">
        <f t="shared" si="32"/>
        <v>0</v>
      </c>
      <c r="CR31" s="68">
        <f t="shared" si="33"/>
        <v>0</v>
      </c>
      <c r="CS31" s="69" t="str">
        <f t="shared" si="7"/>
        <v>D</v>
      </c>
      <c r="CT31" s="70" t="str">
        <f>IF(CR31="  ","  ",IF(CR31&gt;=menu!$D$19,"Tuntas","Tidak Tuntas"))</f>
        <v>Tuntas</v>
      </c>
      <c r="CU31" s="65"/>
      <c r="CV31" s="65"/>
      <c r="CW31" s="65"/>
      <c r="CX31" s="66"/>
      <c r="CY31" s="65"/>
      <c r="CZ31" s="65"/>
      <c r="DA31" s="65"/>
      <c r="DB31" s="67">
        <f t="shared" si="34"/>
        <v>0</v>
      </c>
      <c r="DC31" s="68">
        <f t="shared" si="35"/>
        <v>0</v>
      </c>
      <c r="DD31" s="68">
        <f t="shared" si="36"/>
        <v>0</v>
      </c>
      <c r="DE31" s="69" t="str">
        <f t="shared" si="8"/>
        <v>D</v>
      </c>
      <c r="DF31" s="70" t="str">
        <f>IF(DD31="  ","  ",IF(DD31&gt;=menu!$D$19,"Tuntas","Tidak Tuntas"))</f>
        <v>Tuntas</v>
      </c>
      <c r="DG31" s="65"/>
      <c r="DH31" s="65"/>
      <c r="DI31" s="65"/>
      <c r="DJ31" s="66"/>
      <c r="DK31" s="65"/>
      <c r="DL31" s="65"/>
      <c r="DM31" s="65"/>
      <c r="DN31" s="67">
        <f t="shared" si="37"/>
        <v>0</v>
      </c>
      <c r="DO31" s="68">
        <f t="shared" si="38"/>
        <v>0</v>
      </c>
      <c r="DP31" s="68">
        <f t="shared" si="39"/>
        <v>0</v>
      </c>
      <c r="DQ31" s="69" t="str">
        <f t="shared" si="9"/>
        <v>D</v>
      </c>
      <c r="DR31" s="70" t="str">
        <f>IF(DP31="  ","  ",IF(DP31&gt;=menu!$D$19,"Tuntas","Tidak Tuntas"))</f>
        <v>Tuntas</v>
      </c>
    </row>
    <row r="32" spans="1:122">
      <c r="A32" s="64">
        <f>'DATA SISWA'!A18</f>
        <v>14</v>
      </c>
      <c r="B32" s="76" t="str">
        <f>'DATA SISWA'!C18</f>
        <v>ISMA SRI WAHYUNI</v>
      </c>
      <c r="C32" s="65"/>
      <c r="D32" s="65"/>
      <c r="E32" s="65"/>
      <c r="F32" s="66"/>
      <c r="G32" s="65"/>
      <c r="H32" s="65"/>
      <c r="I32" s="65"/>
      <c r="J32" s="67">
        <f t="shared" si="10"/>
        <v>0</v>
      </c>
      <c r="K32" s="68">
        <f t="shared" si="11"/>
        <v>0</v>
      </c>
      <c r="L32" s="68">
        <f t="shared" si="12"/>
        <v>0</v>
      </c>
      <c r="M32" s="69" t="str">
        <f t="shared" si="0"/>
        <v>D</v>
      </c>
      <c r="N32" s="70" t="str">
        <f>IF(L32="  ","  ",IF(L32&gt;=menu!$D$19,"Tuntas","Tidak Tuntas"))</f>
        <v>Tuntas</v>
      </c>
      <c r="O32" s="65"/>
      <c r="P32" s="65"/>
      <c r="Q32" s="65"/>
      <c r="R32" s="66"/>
      <c r="S32" s="65"/>
      <c r="T32" s="65"/>
      <c r="U32" s="65"/>
      <c r="V32" s="67">
        <f t="shared" si="13"/>
        <v>0</v>
      </c>
      <c r="W32" s="68">
        <f t="shared" si="14"/>
        <v>0</v>
      </c>
      <c r="X32" s="68">
        <f t="shared" si="15"/>
        <v>0</v>
      </c>
      <c r="Y32" s="69" t="str">
        <f t="shared" si="1"/>
        <v>D</v>
      </c>
      <c r="Z32" s="70" t="str">
        <f>IF(X32="  ","  ",IF(X32&gt;=menu!$D$19,"Tuntas","Tidak Tuntas"))</f>
        <v>Tuntas</v>
      </c>
      <c r="AA32" s="65"/>
      <c r="AB32" s="65"/>
      <c r="AC32" s="65"/>
      <c r="AD32" s="66"/>
      <c r="AE32" s="65"/>
      <c r="AF32" s="65"/>
      <c r="AG32" s="65"/>
      <c r="AH32" s="67">
        <f t="shared" si="16"/>
        <v>0</v>
      </c>
      <c r="AI32" s="68">
        <f t="shared" si="17"/>
        <v>0</v>
      </c>
      <c r="AJ32" s="68">
        <f t="shared" si="18"/>
        <v>0</v>
      </c>
      <c r="AK32" s="69" t="str">
        <f t="shared" si="2"/>
        <v>D</v>
      </c>
      <c r="AL32" s="70" t="str">
        <f>IF(AJ32="  ","  ",IF(AJ32&gt;=menu!$D$19,"Tuntas","Tidak Tuntas"))</f>
        <v>Tuntas</v>
      </c>
      <c r="AM32" s="65"/>
      <c r="AN32" s="65"/>
      <c r="AO32" s="65"/>
      <c r="AP32" s="66"/>
      <c r="AQ32" s="65"/>
      <c r="AR32" s="65"/>
      <c r="AS32" s="65"/>
      <c r="AT32" s="67">
        <f t="shared" si="19"/>
        <v>0</v>
      </c>
      <c r="AU32" s="68">
        <f t="shared" si="20"/>
        <v>0</v>
      </c>
      <c r="AV32" s="68">
        <f t="shared" si="21"/>
        <v>0</v>
      </c>
      <c r="AW32" s="69" t="str">
        <f t="shared" si="3"/>
        <v>D</v>
      </c>
      <c r="AX32" s="70" t="str">
        <f>IF(AV32="  ","  ",IF(AV32&gt;=menu!$D$19,"Tuntas","Tidak Tuntas"))</f>
        <v>Tuntas</v>
      </c>
      <c r="AY32" s="65"/>
      <c r="AZ32" s="65"/>
      <c r="BA32" s="65"/>
      <c r="BB32" s="66"/>
      <c r="BC32" s="65"/>
      <c r="BD32" s="65"/>
      <c r="BE32" s="65"/>
      <c r="BF32" s="67">
        <f t="shared" si="22"/>
        <v>0</v>
      </c>
      <c r="BG32" s="68">
        <f t="shared" si="23"/>
        <v>0</v>
      </c>
      <c r="BH32" s="68">
        <f t="shared" si="24"/>
        <v>0</v>
      </c>
      <c r="BI32" s="69" t="str">
        <f t="shared" si="4"/>
        <v>D</v>
      </c>
      <c r="BJ32" s="70" t="str">
        <f>IF(BH32="  ","  ",IF(BH32&gt;=menu!$D$19,"Tuntas","Tidak Tuntas"))</f>
        <v>Tuntas</v>
      </c>
      <c r="BK32" s="65"/>
      <c r="BL32" s="65"/>
      <c r="BM32" s="65"/>
      <c r="BN32" s="66"/>
      <c r="BO32" s="65"/>
      <c r="BP32" s="65"/>
      <c r="BQ32" s="65"/>
      <c r="BR32" s="67">
        <f t="shared" si="25"/>
        <v>0</v>
      </c>
      <c r="BS32" s="68">
        <f t="shared" si="26"/>
        <v>0</v>
      </c>
      <c r="BT32" s="68">
        <f t="shared" si="27"/>
        <v>0</v>
      </c>
      <c r="BU32" s="69" t="str">
        <f t="shared" si="5"/>
        <v>D</v>
      </c>
      <c r="BV32" s="70" t="str">
        <f>IF(BT32="  ","  ",IF(BT32&gt;=menu!$D$19,"Tuntas","Tidak Tuntas"))</f>
        <v>Tuntas</v>
      </c>
      <c r="BW32" s="65"/>
      <c r="BX32" s="65"/>
      <c r="BY32" s="65"/>
      <c r="BZ32" s="66"/>
      <c r="CA32" s="65"/>
      <c r="CB32" s="65"/>
      <c r="CC32" s="65"/>
      <c r="CD32" s="67">
        <f t="shared" si="28"/>
        <v>0</v>
      </c>
      <c r="CE32" s="68">
        <f t="shared" si="29"/>
        <v>0</v>
      </c>
      <c r="CF32" s="68">
        <f t="shared" si="30"/>
        <v>0</v>
      </c>
      <c r="CG32" s="69" t="str">
        <f t="shared" si="6"/>
        <v>D</v>
      </c>
      <c r="CH32" s="70" t="str">
        <f>IF(CF32="  ","  ",IF(CF32&gt;=menu!$D$19,"Tuntas","Tidak Tuntas"))</f>
        <v>Tuntas</v>
      </c>
      <c r="CI32" s="65"/>
      <c r="CJ32" s="65"/>
      <c r="CK32" s="65"/>
      <c r="CL32" s="66"/>
      <c r="CM32" s="65"/>
      <c r="CN32" s="65"/>
      <c r="CO32" s="65"/>
      <c r="CP32" s="67">
        <f t="shared" si="31"/>
        <v>0</v>
      </c>
      <c r="CQ32" s="68">
        <f t="shared" si="32"/>
        <v>0</v>
      </c>
      <c r="CR32" s="68">
        <f t="shared" si="33"/>
        <v>0</v>
      </c>
      <c r="CS32" s="69" t="str">
        <f t="shared" si="7"/>
        <v>D</v>
      </c>
      <c r="CT32" s="70" t="str">
        <f>IF(CR32="  ","  ",IF(CR32&gt;=menu!$D$19,"Tuntas","Tidak Tuntas"))</f>
        <v>Tuntas</v>
      </c>
      <c r="CU32" s="65"/>
      <c r="CV32" s="65"/>
      <c r="CW32" s="65"/>
      <c r="CX32" s="66"/>
      <c r="CY32" s="65"/>
      <c r="CZ32" s="65"/>
      <c r="DA32" s="65"/>
      <c r="DB32" s="67">
        <f t="shared" si="34"/>
        <v>0</v>
      </c>
      <c r="DC32" s="68">
        <f t="shared" si="35"/>
        <v>0</v>
      </c>
      <c r="DD32" s="68">
        <f t="shared" si="36"/>
        <v>0</v>
      </c>
      <c r="DE32" s="69" t="str">
        <f t="shared" si="8"/>
        <v>D</v>
      </c>
      <c r="DF32" s="70" t="str">
        <f>IF(DD32="  ","  ",IF(DD32&gt;=menu!$D$19,"Tuntas","Tidak Tuntas"))</f>
        <v>Tuntas</v>
      </c>
      <c r="DG32" s="65"/>
      <c r="DH32" s="65"/>
      <c r="DI32" s="65"/>
      <c r="DJ32" s="66"/>
      <c r="DK32" s="65"/>
      <c r="DL32" s="65"/>
      <c r="DM32" s="65"/>
      <c r="DN32" s="67">
        <f t="shared" si="37"/>
        <v>0</v>
      </c>
      <c r="DO32" s="68">
        <f t="shared" si="38"/>
        <v>0</v>
      </c>
      <c r="DP32" s="68">
        <f t="shared" si="39"/>
        <v>0</v>
      </c>
      <c r="DQ32" s="69" t="str">
        <f t="shared" si="9"/>
        <v>D</v>
      </c>
      <c r="DR32" s="70" t="str">
        <f>IF(DP32="  ","  ",IF(DP32&gt;=menu!$D$19,"Tuntas","Tidak Tuntas"))</f>
        <v>Tuntas</v>
      </c>
    </row>
    <row r="33" spans="1:122">
      <c r="A33" s="64">
        <f>'DATA SISWA'!A19</f>
        <v>15</v>
      </c>
      <c r="B33" s="76" t="str">
        <f>'DATA SISWA'!C19</f>
        <v>JAKFAR SODIK ROMADHONI</v>
      </c>
      <c r="C33" s="65"/>
      <c r="D33" s="65"/>
      <c r="E33" s="65"/>
      <c r="F33" s="66"/>
      <c r="G33" s="65"/>
      <c r="H33" s="65"/>
      <c r="I33" s="65"/>
      <c r="J33" s="67">
        <f t="shared" si="10"/>
        <v>0</v>
      </c>
      <c r="K33" s="68">
        <f t="shared" si="11"/>
        <v>0</v>
      </c>
      <c r="L33" s="68">
        <f t="shared" si="12"/>
        <v>0</v>
      </c>
      <c r="M33" s="69" t="str">
        <f t="shared" si="0"/>
        <v>D</v>
      </c>
      <c r="N33" s="70" t="str">
        <f>IF(L33="  ","  ",IF(L33&gt;=menu!$D$19,"Tuntas","Tidak Tuntas"))</f>
        <v>Tuntas</v>
      </c>
      <c r="O33" s="65"/>
      <c r="P33" s="65"/>
      <c r="Q33" s="65"/>
      <c r="R33" s="66"/>
      <c r="S33" s="65"/>
      <c r="T33" s="65"/>
      <c r="U33" s="65"/>
      <c r="V33" s="67">
        <f t="shared" si="13"/>
        <v>0</v>
      </c>
      <c r="W33" s="68">
        <f t="shared" si="14"/>
        <v>0</v>
      </c>
      <c r="X33" s="68">
        <f t="shared" si="15"/>
        <v>0</v>
      </c>
      <c r="Y33" s="69" t="str">
        <f t="shared" si="1"/>
        <v>D</v>
      </c>
      <c r="Z33" s="70" t="str">
        <f>IF(X33="  ","  ",IF(X33&gt;=menu!$D$19,"Tuntas","Tidak Tuntas"))</f>
        <v>Tuntas</v>
      </c>
      <c r="AA33" s="65"/>
      <c r="AB33" s="65"/>
      <c r="AC33" s="65"/>
      <c r="AD33" s="66"/>
      <c r="AE33" s="65"/>
      <c r="AF33" s="65"/>
      <c r="AG33" s="65"/>
      <c r="AH33" s="67">
        <f t="shared" si="16"/>
        <v>0</v>
      </c>
      <c r="AI33" s="68">
        <f t="shared" si="17"/>
        <v>0</v>
      </c>
      <c r="AJ33" s="68">
        <f t="shared" si="18"/>
        <v>0</v>
      </c>
      <c r="AK33" s="69" t="str">
        <f t="shared" si="2"/>
        <v>D</v>
      </c>
      <c r="AL33" s="70" t="str">
        <f>IF(AJ33="  ","  ",IF(AJ33&gt;=menu!$D$19,"Tuntas","Tidak Tuntas"))</f>
        <v>Tuntas</v>
      </c>
      <c r="AM33" s="65"/>
      <c r="AN33" s="65"/>
      <c r="AO33" s="65"/>
      <c r="AP33" s="66"/>
      <c r="AQ33" s="65"/>
      <c r="AR33" s="65"/>
      <c r="AS33" s="65"/>
      <c r="AT33" s="67">
        <f t="shared" si="19"/>
        <v>0</v>
      </c>
      <c r="AU33" s="68">
        <f t="shared" si="20"/>
        <v>0</v>
      </c>
      <c r="AV33" s="68">
        <f t="shared" si="21"/>
        <v>0</v>
      </c>
      <c r="AW33" s="69" t="str">
        <f t="shared" si="3"/>
        <v>D</v>
      </c>
      <c r="AX33" s="70" t="str">
        <f>IF(AV33="  ","  ",IF(AV33&gt;=menu!$D$19,"Tuntas","Tidak Tuntas"))</f>
        <v>Tuntas</v>
      </c>
      <c r="AY33" s="65"/>
      <c r="AZ33" s="65"/>
      <c r="BA33" s="65"/>
      <c r="BB33" s="66"/>
      <c r="BC33" s="65"/>
      <c r="BD33" s="65"/>
      <c r="BE33" s="65"/>
      <c r="BF33" s="67">
        <f t="shared" si="22"/>
        <v>0</v>
      </c>
      <c r="BG33" s="68">
        <f t="shared" si="23"/>
        <v>0</v>
      </c>
      <c r="BH33" s="68">
        <f t="shared" si="24"/>
        <v>0</v>
      </c>
      <c r="BI33" s="69" t="str">
        <f t="shared" si="4"/>
        <v>D</v>
      </c>
      <c r="BJ33" s="70" t="str">
        <f>IF(BH33="  ","  ",IF(BH33&gt;=menu!$D$19,"Tuntas","Tidak Tuntas"))</f>
        <v>Tuntas</v>
      </c>
      <c r="BK33" s="65"/>
      <c r="BL33" s="65"/>
      <c r="BM33" s="65"/>
      <c r="BN33" s="66"/>
      <c r="BO33" s="65"/>
      <c r="BP33" s="65"/>
      <c r="BQ33" s="65"/>
      <c r="BR33" s="67">
        <f t="shared" si="25"/>
        <v>0</v>
      </c>
      <c r="BS33" s="68">
        <f t="shared" si="26"/>
        <v>0</v>
      </c>
      <c r="BT33" s="68">
        <f t="shared" si="27"/>
        <v>0</v>
      </c>
      <c r="BU33" s="69" t="str">
        <f t="shared" si="5"/>
        <v>D</v>
      </c>
      <c r="BV33" s="70" t="str">
        <f>IF(BT33="  ","  ",IF(BT33&gt;=menu!$D$19,"Tuntas","Tidak Tuntas"))</f>
        <v>Tuntas</v>
      </c>
      <c r="BW33" s="65"/>
      <c r="BX33" s="65"/>
      <c r="BY33" s="65"/>
      <c r="BZ33" s="66"/>
      <c r="CA33" s="65"/>
      <c r="CB33" s="65"/>
      <c r="CC33" s="65"/>
      <c r="CD33" s="67">
        <f t="shared" si="28"/>
        <v>0</v>
      </c>
      <c r="CE33" s="68">
        <f t="shared" si="29"/>
        <v>0</v>
      </c>
      <c r="CF33" s="68">
        <f t="shared" si="30"/>
        <v>0</v>
      </c>
      <c r="CG33" s="69" t="str">
        <f t="shared" si="6"/>
        <v>D</v>
      </c>
      <c r="CH33" s="70" t="str">
        <f>IF(CF33="  ","  ",IF(CF33&gt;=menu!$D$19,"Tuntas","Tidak Tuntas"))</f>
        <v>Tuntas</v>
      </c>
      <c r="CI33" s="65"/>
      <c r="CJ33" s="65"/>
      <c r="CK33" s="65"/>
      <c r="CL33" s="66"/>
      <c r="CM33" s="65"/>
      <c r="CN33" s="65"/>
      <c r="CO33" s="65"/>
      <c r="CP33" s="67">
        <f t="shared" si="31"/>
        <v>0</v>
      </c>
      <c r="CQ33" s="68">
        <f t="shared" si="32"/>
        <v>0</v>
      </c>
      <c r="CR33" s="68">
        <f t="shared" si="33"/>
        <v>0</v>
      </c>
      <c r="CS33" s="69" t="str">
        <f t="shared" si="7"/>
        <v>D</v>
      </c>
      <c r="CT33" s="70" t="str">
        <f>IF(CR33="  ","  ",IF(CR33&gt;=menu!$D$19,"Tuntas","Tidak Tuntas"))</f>
        <v>Tuntas</v>
      </c>
      <c r="CU33" s="65"/>
      <c r="CV33" s="65"/>
      <c r="CW33" s="65"/>
      <c r="CX33" s="66"/>
      <c r="CY33" s="65"/>
      <c r="CZ33" s="65"/>
      <c r="DA33" s="65"/>
      <c r="DB33" s="67">
        <f t="shared" si="34"/>
        <v>0</v>
      </c>
      <c r="DC33" s="68">
        <f t="shared" si="35"/>
        <v>0</v>
      </c>
      <c r="DD33" s="68">
        <f t="shared" si="36"/>
        <v>0</v>
      </c>
      <c r="DE33" s="69" t="str">
        <f t="shared" si="8"/>
        <v>D</v>
      </c>
      <c r="DF33" s="70" t="str">
        <f>IF(DD33="  ","  ",IF(DD33&gt;=menu!$D$19,"Tuntas","Tidak Tuntas"))</f>
        <v>Tuntas</v>
      </c>
      <c r="DG33" s="65"/>
      <c r="DH33" s="65"/>
      <c r="DI33" s="65"/>
      <c r="DJ33" s="66"/>
      <c r="DK33" s="65"/>
      <c r="DL33" s="65"/>
      <c r="DM33" s="65"/>
      <c r="DN33" s="67">
        <f t="shared" si="37"/>
        <v>0</v>
      </c>
      <c r="DO33" s="68">
        <f t="shared" si="38"/>
        <v>0</v>
      </c>
      <c r="DP33" s="68">
        <f t="shared" si="39"/>
        <v>0</v>
      </c>
      <c r="DQ33" s="69" t="str">
        <f t="shared" si="9"/>
        <v>D</v>
      </c>
      <c r="DR33" s="70" t="str">
        <f>IF(DP33="  ","  ",IF(DP33&gt;=menu!$D$19,"Tuntas","Tidak Tuntas"))</f>
        <v>Tuntas</v>
      </c>
    </row>
    <row r="34" spans="1:122">
      <c r="A34" s="64">
        <f>'DATA SISWA'!A20</f>
        <v>16</v>
      </c>
      <c r="B34" s="76" t="str">
        <f>'DATA SISWA'!C20</f>
        <v>KHOIRIL NISA'</v>
      </c>
      <c r="C34" s="65"/>
      <c r="D34" s="65"/>
      <c r="E34" s="65"/>
      <c r="F34" s="66"/>
      <c r="G34" s="65"/>
      <c r="H34" s="65"/>
      <c r="I34" s="65"/>
      <c r="J34" s="67">
        <f t="shared" si="10"/>
        <v>0</v>
      </c>
      <c r="K34" s="68">
        <f t="shared" si="11"/>
        <v>0</v>
      </c>
      <c r="L34" s="68">
        <f t="shared" si="12"/>
        <v>0</v>
      </c>
      <c r="M34" s="69" t="str">
        <f t="shared" si="0"/>
        <v>D</v>
      </c>
      <c r="N34" s="70" t="str">
        <f>IF(L34="  ","  ",IF(L34&gt;=menu!$D$19,"Tuntas","Tidak Tuntas"))</f>
        <v>Tuntas</v>
      </c>
      <c r="O34" s="65"/>
      <c r="P34" s="65"/>
      <c r="Q34" s="65"/>
      <c r="R34" s="66"/>
      <c r="S34" s="65"/>
      <c r="T34" s="65"/>
      <c r="U34" s="65"/>
      <c r="V34" s="67">
        <f t="shared" si="13"/>
        <v>0</v>
      </c>
      <c r="W34" s="68">
        <f t="shared" si="14"/>
        <v>0</v>
      </c>
      <c r="X34" s="68">
        <f t="shared" si="15"/>
        <v>0</v>
      </c>
      <c r="Y34" s="69" t="str">
        <f t="shared" si="1"/>
        <v>D</v>
      </c>
      <c r="Z34" s="70" t="str">
        <f>IF(X34="  ","  ",IF(X34&gt;=menu!$D$19,"Tuntas","Tidak Tuntas"))</f>
        <v>Tuntas</v>
      </c>
      <c r="AA34" s="65"/>
      <c r="AB34" s="65"/>
      <c r="AC34" s="65"/>
      <c r="AD34" s="66"/>
      <c r="AE34" s="65"/>
      <c r="AF34" s="65"/>
      <c r="AG34" s="65"/>
      <c r="AH34" s="67">
        <f t="shared" si="16"/>
        <v>0</v>
      </c>
      <c r="AI34" s="68">
        <f t="shared" si="17"/>
        <v>0</v>
      </c>
      <c r="AJ34" s="68">
        <f t="shared" si="18"/>
        <v>0</v>
      </c>
      <c r="AK34" s="69" t="str">
        <f t="shared" si="2"/>
        <v>D</v>
      </c>
      <c r="AL34" s="70" t="str">
        <f>IF(AJ34="  ","  ",IF(AJ34&gt;=menu!$D$19,"Tuntas","Tidak Tuntas"))</f>
        <v>Tuntas</v>
      </c>
      <c r="AM34" s="65"/>
      <c r="AN34" s="65"/>
      <c r="AO34" s="65"/>
      <c r="AP34" s="66"/>
      <c r="AQ34" s="65"/>
      <c r="AR34" s="65"/>
      <c r="AS34" s="65"/>
      <c r="AT34" s="67">
        <f t="shared" si="19"/>
        <v>0</v>
      </c>
      <c r="AU34" s="68">
        <f t="shared" si="20"/>
        <v>0</v>
      </c>
      <c r="AV34" s="68">
        <f t="shared" si="21"/>
        <v>0</v>
      </c>
      <c r="AW34" s="69" t="str">
        <f t="shared" si="3"/>
        <v>D</v>
      </c>
      <c r="AX34" s="70" t="str">
        <f>IF(AV34="  ","  ",IF(AV34&gt;=menu!$D$19,"Tuntas","Tidak Tuntas"))</f>
        <v>Tuntas</v>
      </c>
      <c r="AY34" s="65"/>
      <c r="AZ34" s="65"/>
      <c r="BA34" s="65"/>
      <c r="BB34" s="66"/>
      <c r="BC34" s="65"/>
      <c r="BD34" s="65"/>
      <c r="BE34" s="65"/>
      <c r="BF34" s="67">
        <f t="shared" si="22"/>
        <v>0</v>
      </c>
      <c r="BG34" s="68">
        <f t="shared" si="23"/>
        <v>0</v>
      </c>
      <c r="BH34" s="68">
        <f t="shared" si="24"/>
        <v>0</v>
      </c>
      <c r="BI34" s="69" t="str">
        <f t="shared" si="4"/>
        <v>D</v>
      </c>
      <c r="BJ34" s="70" t="str">
        <f>IF(BH34="  ","  ",IF(BH34&gt;=menu!$D$19,"Tuntas","Tidak Tuntas"))</f>
        <v>Tuntas</v>
      </c>
      <c r="BK34" s="65"/>
      <c r="BL34" s="65"/>
      <c r="BM34" s="65"/>
      <c r="BN34" s="66"/>
      <c r="BO34" s="65"/>
      <c r="BP34" s="65"/>
      <c r="BQ34" s="65"/>
      <c r="BR34" s="67">
        <f t="shared" si="25"/>
        <v>0</v>
      </c>
      <c r="BS34" s="68">
        <f t="shared" si="26"/>
        <v>0</v>
      </c>
      <c r="BT34" s="68">
        <f t="shared" si="27"/>
        <v>0</v>
      </c>
      <c r="BU34" s="69" t="str">
        <f t="shared" si="5"/>
        <v>D</v>
      </c>
      <c r="BV34" s="70" t="str">
        <f>IF(BT34="  ","  ",IF(BT34&gt;=menu!$D$19,"Tuntas","Tidak Tuntas"))</f>
        <v>Tuntas</v>
      </c>
      <c r="BW34" s="65"/>
      <c r="BX34" s="65"/>
      <c r="BY34" s="65"/>
      <c r="BZ34" s="66"/>
      <c r="CA34" s="65"/>
      <c r="CB34" s="65"/>
      <c r="CC34" s="65"/>
      <c r="CD34" s="67">
        <f t="shared" si="28"/>
        <v>0</v>
      </c>
      <c r="CE34" s="68">
        <f t="shared" si="29"/>
        <v>0</v>
      </c>
      <c r="CF34" s="68">
        <f t="shared" si="30"/>
        <v>0</v>
      </c>
      <c r="CG34" s="69" t="str">
        <f t="shared" si="6"/>
        <v>D</v>
      </c>
      <c r="CH34" s="70" t="str">
        <f>IF(CF34="  ","  ",IF(CF34&gt;=menu!$D$19,"Tuntas","Tidak Tuntas"))</f>
        <v>Tuntas</v>
      </c>
      <c r="CI34" s="65"/>
      <c r="CJ34" s="65"/>
      <c r="CK34" s="65"/>
      <c r="CL34" s="66"/>
      <c r="CM34" s="65"/>
      <c r="CN34" s="65"/>
      <c r="CO34" s="65"/>
      <c r="CP34" s="67">
        <f t="shared" si="31"/>
        <v>0</v>
      </c>
      <c r="CQ34" s="68">
        <f t="shared" si="32"/>
        <v>0</v>
      </c>
      <c r="CR34" s="68">
        <f t="shared" si="33"/>
        <v>0</v>
      </c>
      <c r="CS34" s="69" t="str">
        <f t="shared" si="7"/>
        <v>D</v>
      </c>
      <c r="CT34" s="70" t="str">
        <f>IF(CR34="  ","  ",IF(CR34&gt;=menu!$D$19,"Tuntas","Tidak Tuntas"))</f>
        <v>Tuntas</v>
      </c>
      <c r="CU34" s="65"/>
      <c r="CV34" s="65"/>
      <c r="CW34" s="65"/>
      <c r="CX34" s="66"/>
      <c r="CY34" s="65"/>
      <c r="CZ34" s="65"/>
      <c r="DA34" s="65"/>
      <c r="DB34" s="67">
        <f t="shared" si="34"/>
        <v>0</v>
      </c>
      <c r="DC34" s="68">
        <f t="shared" si="35"/>
        <v>0</v>
      </c>
      <c r="DD34" s="68">
        <f t="shared" si="36"/>
        <v>0</v>
      </c>
      <c r="DE34" s="69" t="str">
        <f t="shared" si="8"/>
        <v>D</v>
      </c>
      <c r="DF34" s="70" t="str">
        <f>IF(DD34="  ","  ",IF(DD34&gt;=menu!$D$19,"Tuntas","Tidak Tuntas"))</f>
        <v>Tuntas</v>
      </c>
      <c r="DG34" s="65"/>
      <c r="DH34" s="65"/>
      <c r="DI34" s="65"/>
      <c r="DJ34" s="66"/>
      <c r="DK34" s="65"/>
      <c r="DL34" s="65"/>
      <c r="DM34" s="65"/>
      <c r="DN34" s="67">
        <f t="shared" si="37"/>
        <v>0</v>
      </c>
      <c r="DO34" s="68">
        <f t="shared" si="38"/>
        <v>0</v>
      </c>
      <c r="DP34" s="68">
        <f t="shared" si="39"/>
        <v>0</v>
      </c>
      <c r="DQ34" s="69" t="str">
        <f t="shared" si="9"/>
        <v>D</v>
      </c>
      <c r="DR34" s="70" t="str">
        <f>IF(DP34="  ","  ",IF(DP34&gt;=menu!$D$19,"Tuntas","Tidak Tuntas"))</f>
        <v>Tuntas</v>
      </c>
    </row>
    <row r="35" spans="1:122">
      <c r="A35" s="64">
        <f>'DATA SISWA'!A21</f>
        <v>17</v>
      </c>
      <c r="B35" s="76" t="str">
        <f>'DATA SISWA'!C21</f>
        <v>LATIFA MAHARANI</v>
      </c>
      <c r="C35" s="65"/>
      <c r="D35" s="65"/>
      <c r="E35" s="65"/>
      <c r="F35" s="66"/>
      <c r="G35" s="65"/>
      <c r="H35" s="65"/>
      <c r="I35" s="65"/>
      <c r="J35" s="67">
        <f t="shared" si="10"/>
        <v>0</v>
      </c>
      <c r="K35" s="68">
        <f t="shared" si="11"/>
        <v>0</v>
      </c>
      <c r="L35" s="68">
        <f t="shared" si="12"/>
        <v>0</v>
      </c>
      <c r="M35" s="69" t="str">
        <f t="shared" si="0"/>
        <v>D</v>
      </c>
      <c r="N35" s="70" t="str">
        <f>IF(L35="  ","  ",IF(L35&gt;=menu!$D$19,"Tuntas","Tidak Tuntas"))</f>
        <v>Tuntas</v>
      </c>
      <c r="O35" s="65"/>
      <c r="P35" s="65"/>
      <c r="Q35" s="65"/>
      <c r="R35" s="66"/>
      <c r="S35" s="65"/>
      <c r="T35" s="65"/>
      <c r="U35" s="65"/>
      <c r="V35" s="67">
        <f t="shared" si="13"/>
        <v>0</v>
      </c>
      <c r="W35" s="68">
        <f t="shared" si="14"/>
        <v>0</v>
      </c>
      <c r="X35" s="68">
        <f t="shared" si="15"/>
        <v>0</v>
      </c>
      <c r="Y35" s="69" t="str">
        <f t="shared" si="1"/>
        <v>D</v>
      </c>
      <c r="Z35" s="70" t="str">
        <f>IF(X35="  ","  ",IF(X35&gt;=menu!$D$19,"Tuntas","Tidak Tuntas"))</f>
        <v>Tuntas</v>
      </c>
      <c r="AA35" s="65"/>
      <c r="AB35" s="65"/>
      <c r="AC35" s="65"/>
      <c r="AD35" s="66"/>
      <c r="AE35" s="65"/>
      <c r="AF35" s="65"/>
      <c r="AG35" s="65"/>
      <c r="AH35" s="67">
        <f t="shared" si="16"/>
        <v>0</v>
      </c>
      <c r="AI35" s="68">
        <f t="shared" si="17"/>
        <v>0</v>
      </c>
      <c r="AJ35" s="68">
        <f t="shared" si="18"/>
        <v>0</v>
      </c>
      <c r="AK35" s="69" t="str">
        <f t="shared" si="2"/>
        <v>D</v>
      </c>
      <c r="AL35" s="70" t="str">
        <f>IF(AJ35="  ","  ",IF(AJ35&gt;=menu!$D$19,"Tuntas","Tidak Tuntas"))</f>
        <v>Tuntas</v>
      </c>
      <c r="AM35" s="65"/>
      <c r="AN35" s="65"/>
      <c r="AO35" s="65"/>
      <c r="AP35" s="66"/>
      <c r="AQ35" s="65"/>
      <c r="AR35" s="65"/>
      <c r="AS35" s="65"/>
      <c r="AT35" s="67">
        <f t="shared" si="19"/>
        <v>0</v>
      </c>
      <c r="AU35" s="68">
        <f t="shared" si="20"/>
        <v>0</v>
      </c>
      <c r="AV35" s="68">
        <f t="shared" si="21"/>
        <v>0</v>
      </c>
      <c r="AW35" s="69" t="str">
        <f t="shared" si="3"/>
        <v>D</v>
      </c>
      <c r="AX35" s="70" t="str">
        <f>IF(AV35="  ","  ",IF(AV35&gt;=menu!$D$19,"Tuntas","Tidak Tuntas"))</f>
        <v>Tuntas</v>
      </c>
      <c r="AY35" s="65"/>
      <c r="AZ35" s="65"/>
      <c r="BA35" s="65"/>
      <c r="BB35" s="66"/>
      <c r="BC35" s="65"/>
      <c r="BD35" s="65"/>
      <c r="BE35" s="65"/>
      <c r="BF35" s="67">
        <f t="shared" si="22"/>
        <v>0</v>
      </c>
      <c r="BG35" s="68">
        <f t="shared" si="23"/>
        <v>0</v>
      </c>
      <c r="BH35" s="68">
        <f t="shared" si="24"/>
        <v>0</v>
      </c>
      <c r="BI35" s="69" t="str">
        <f t="shared" si="4"/>
        <v>D</v>
      </c>
      <c r="BJ35" s="70" t="str">
        <f>IF(BH35="  ","  ",IF(BH35&gt;=menu!$D$19,"Tuntas","Tidak Tuntas"))</f>
        <v>Tuntas</v>
      </c>
      <c r="BK35" s="65"/>
      <c r="BL35" s="65"/>
      <c r="BM35" s="65"/>
      <c r="BN35" s="66"/>
      <c r="BO35" s="65"/>
      <c r="BP35" s="65"/>
      <c r="BQ35" s="65"/>
      <c r="BR35" s="67">
        <f t="shared" si="25"/>
        <v>0</v>
      </c>
      <c r="BS35" s="68">
        <f t="shared" si="26"/>
        <v>0</v>
      </c>
      <c r="BT35" s="68">
        <f t="shared" si="27"/>
        <v>0</v>
      </c>
      <c r="BU35" s="69" t="str">
        <f t="shared" si="5"/>
        <v>D</v>
      </c>
      <c r="BV35" s="70" t="str">
        <f>IF(BT35="  ","  ",IF(BT35&gt;=menu!$D$19,"Tuntas","Tidak Tuntas"))</f>
        <v>Tuntas</v>
      </c>
      <c r="BW35" s="65"/>
      <c r="BX35" s="65"/>
      <c r="BY35" s="65"/>
      <c r="BZ35" s="66"/>
      <c r="CA35" s="65"/>
      <c r="CB35" s="65"/>
      <c r="CC35" s="65"/>
      <c r="CD35" s="67">
        <f t="shared" si="28"/>
        <v>0</v>
      </c>
      <c r="CE35" s="68">
        <f t="shared" si="29"/>
        <v>0</v>
      </c>
      <c r="CF35" s="68">
        <f t="shared" si="30"/>
        <v>0</v>
      </c>
      <c r="CG35" s="69" t="str">
        <f t="shared" si="6"/>
        <v>D</v>
      </c>
      <c r="CH35" s="70" t="str">
        <f>IF(CF35="  ","  ",IF(CF35&gt;=menu!$D$19,"Tuntas","Tidak Tuntas"))</f>
        <v>Tuntas</v>
      </c>
      <c r="CI35" s="65"/>
      <c r="CJ35" s="65"/>
      <c r="CK35" s="65"/>
      <c r="CL35" s="66"/>
      <c r="CM35" s="65"/>
      <c r="CN35" s="65"/>
      <c r="CO35" s="65"/>
      <c r="CP35" s="67">
        <f t="shared" si="31"/>
        <v>0</v>
      </c>
      <c r="CQ35" s="68">
        <f t="shared" si="32"/>
        <v>0</v>
      </c>
      <c r="CR35" s="68">
        <f t="shared" si="33"/>
        <v>0</v>
      </c>
      <c r="CS35" s="69" t="str">
        <f t="shared" si="7"/>
        <v>D</v>
      </c>
      <c r="CT35" s="70" t="str">
        <f>IF(CR35="  ","  ",IF(CR35&gt;=menu!$D$19,"Tuntas","Tidak Tuntas"))</f>
        <v>Tuntas</v>
      </c>
      <c r="CU35" s="65"/>
      <c r="CV35" s="65"/>
      <c r="CW35" s="65"/>
      <c r="CX35" s="66"/>
      <c r="CY35" s="65"/>
      <c r="CZ35" s="65"/>
      <c r="DA35" s="65"/>
      <c r="DB35" s="67">
        <f t="shared" si="34"/>
        <v>0</v>
      </c>
      <c r="DC35" s="68">
        <f t="shared" si="35"/>
        <v>0</v>
      </c>
      <c r="DD35" s="68">
        <f t="shared" si="36"/>
        <v>0</v>
      </c>
      <c r="DE35" s="69" t="str">
        <f t="shared" si="8"/>
        <v>D</v>
      </c>
      <c r="DF35" s="70" t="str">
        <f>IF(DD35="  ","  ",IF(DD35&gt;=menu!$D$19,"Tuntas","Tidak Tuntas"))</f>
        <v>Tuntas</v>
      </c>
      <c r="DG35" s="65"/>
      <c r="DH35" s="65"/>
      <c r="DI35" s="65"/>
      <c r="DJ35" s="66"/>
      <c r="DK35" s="65"/>
      <c r="DL35" s="65"/>
      <c r="DM35" s="65"/>
      <c r="DN35" s="67">
        <f t="shared" si="37"/>
        <v>0</v>
      </c>
      <c r="DO35" s="68">
        <f t="shared" si="38"/>
        <v>0</v>
      </c>
      <c r="DP35" s="68">
        <f t="shared" si="39"/>
        <v>0</v>
      </c>
      <c r="DQ35" s="69" t="str">
        <f t="shared" si="9"/>
        <v>D</v>
      </c>
      <c r="DR35" s="70" t="str">
        <f>IF(DP35="  ","  ",IF(DP35&gt;=menu!$D$19,"Tuntas","Tidak Tuntas"))</f>
        <v>Tuntas</v>
      </c>
    </row>
    <row r="36" spans="1:122">
      <c r="A36" s="64">
        <f>'DATA SISWA'!A22</f>
        <v>18</v>
      </c>
      <c r="B36" s="76" t="str">
        <f>'DATA SISWA'!C22</f>
        <v>LUQMANUL FIKRI SYAIFULLAH</v>
      </c>
      <c r="C36" s="65"/>
      <c r="D36" s="65"/>
      <c r="E36" s="65"/>
      <c r="F36" s="66"/>
      <c r="G36" s="65"/>
      <c r="H36" s="65"/>
      <c r="I36" s="65"/>
      <c r="J36" s="67">
        <f t="shared" si="10"/>
        <v>0</v>
      </c>
      <c r="K36" s="68">
        <f t="shared" si="11"/>
        <v>0</v>
      </c>
      <c r="L36" s="68">
        <f t="shared" si="12"/>
        <v>0</v>
      </c>
      <c r="M36" s="69" t="str">
        <f t="shared" si="0"/>
        <v>D</v>
      </c>
      <c r="N36" s="70" t="str">
        <f>IF(L36="  ","  ",IF(L36&gt;=menu!$D$19,"Tuntas","Tidak Tuntas"))</f>
        <v>Tuntas</v>
      </c>
      <c r="O36" s="65"/>
      <c r="P36" s="65"/>
      <c r="Q36" s="65"/>
      <c r="R36" s="66"/>
      <c r="S36" s="65"/>
      <c r="T36" s="65"/>
      <c r="U36" s="65"/>
      <c r="V36" s="67">
        <f t="shared" si="13"/>
        <v>0</v>
      </c>
      <c r="W36" s="68">
        <f t="shared" si="14"/>
        <v>0</v>
      </c>
      <c r="X36" s="68">
        <f t="shared" si="15"/>
        <v>0</v>
      </c>
      <c r="Y36" s="69" t="str">
        <f t="shared" si="1"/>
        <v>D</v>
      </c>
      <c r="Z36" s="70" t="str">
        <f>IF(X36="  ","  ",IF(X36&gt;=menu!$D$19,"Tuntas","Tidak Tuntas"))</f>
        <v>Tuntas</v>
      </c>
      <c r="AA36" s="65"/>
      <c r="AB36" s="65"/>
      <c r="AC36" s="65"/>
      <c r="AD36" s="66"/>
      <c r="AE36" s="65"/>
      <c r="AF36" s="65"/>
      <c r="AG36" s="65"/>
      <c r="AH36" s="67">
        <f t="shared" si="16"/>
        <v>0</v>
      </c>
      <c r="AI36" s="68">
        <f t="shared" si="17"/>
        <v>0</v>
      </c>
      <c r="AJ36" s="68">
        <f t="shared" si="18"/>
        <v>0</v>
      </c>
      <c r="AK36" s="69" t="str">
        <f t="shared" si="2"/>
        <v>D</v>
      </c>
      <c r="AL36" s="70" t="str">
        <f>IF(AJ36="  ","  ",IF(AJ36&gt;=menu!$D$19,"Tuntas","Tidak Tuntas"))</f>
        <v>Tuntas</v>
      </c>
      <c r="AM36" s="65"/>
      <c r="AN36" s="65"/>
      <c r="AO36" s="65"/>
      <c r="AP36" s="66"/>
      <c r="AQ36" s="65"/>
      <c r="AR36" s="65"/>
      <c r="AS36" s="65"/>
      <c r="AT36" s="67">
        <f t="shared" si="19"/>
        <v>0</v>
      </c>
      <c r="AU36" s="68">
        <f t="shared" si="20"/>
        <v>0</v>
      </c>
      <c r="AV36" s="68">
        <f t="shared" si="21"/>
        <v>0</v>
      </c>
      <c r="AW36" s="69" t="str">
        <f t="shared" si="3"/>
        <v>D</v>
      </c>
      <c r="AX36" s="70" t="str">
        <f>IF(AV36="  ","  ",IF(AV36&gt;=menu!$D$19,"Tuntas","Tidak Tuntas"))</f>
        <v>Tuntas</v>
      </c>
      <c r="AY36" s="65"/>
      <c r="AZ36" s="65"/>
      <c r="BA36" s="65"/>
      <c r="BB36" s="66"/>
      <c r="BC36" s="65"/>
      <c r="BD36" s="65"/>
      <c r="BE36" s="65"/>
      <c r="BF36" s="67">
        <f t="shared" si="22"/>
        <v>0</v>
      </c>
      <c r="BG36" s="68">
        <f t="shared" si="23"/>
        <v>0</v>
      </c>
      <c r="BH36" s="68">
        <f t="shared" si="24"/>
        <v>0</v>
      </c>
      <c r="BI36" s="69" t="str">
        <f t="shared" si="4"/>
        <v>D</v>
      </c>
      <c r="BJ36" s="70" t="str">
        <f>IF(BH36="  ","  ",IF(BH36&gt;=menu!$D$19,"Tuntas","Tidak Tuntas"))</f>
        <v>Tuntas</v>
      </c>
      <c r="BK36" s="65"/>
      <c r="BL36" s="65"/>
      <c r="BM36" s="65"/>
      <c r="BN36" s="66"/>
      <c r="BO36" s="65"/>
      <c r="BP36" s="65"/>
      <c r="BQ36" s="65"/>
      <c r="BR36" s="67">
        <f t="shared" si="25"/>
        <v>0</v>
      </c>
      <c r="BS36" s="68">
        <f t="shared" si="26"/>
        <v>0</v>
      </c>
      <c r="BT36" s="68">
        <f t="shared" si="27"/>
        <v>0</v>
      </c>
      <c r="BU36" s="69" t="str">
        <f t="shared" si="5"/>
        <v>D</v>
      </c>
      <c r="BV36" s="70" t="str">
        <f>IF(BT36="  ","  ",IF(BT36&gt;=menu!$D$19,"Tuntas","Tidak Tuntas"))</f>
        <v>Tuntas</v>
      </c>
      <c r="BW36" s="65"/>
      <c r="BX36" s="65"/>
      <c r="BY36" s="65"/>
      <c r="BZ36" s="66"/>
      <c r="CA36" s="65"/>
      <c r="CB36" s="65"/>
      <c r="CC36" s="65"/>
      <c r="CD36" s="67">
        <f t="shared" si="28"/>
        <v>0</v>
      </c>
      <c r="CE36" s="68">
        <f t="shared" si="29"/>
        <v>0</v>
      </c>
      <c r="CF36" s="68">
        <f t="shared" si="30"/>
        <v>0</v>
      </c>
      <c r="CG36" s="69" t="str">
        <f t="shared" si="6"/>
        <v>D</v>
      </c>
      <c r="CH36" s="70" t="str">
        <f>IF(CF36="  ","  ",IF(CF36&gt;=menu!$D$19,"Tuntas","Tidak Tuntas"))</f>
        <v>Tuntas</v>
      </c>
      <c r="CI36" s="65"/>
      <c r="CJ36" s="65"/>
      <c r="CK36" s="65"/>
      <c r="CL36" s="66"/>
      <c r="CM36" s="65"/>
      <c r="CN36" s="65"/>
      <c r="CO36" s="65"/>
      <c r="CP36" s="67">
        <f t="shared" si="31"/>
        <v>0</v>
      </c>
      <c r="CQ36" s="68">
        <f t="shared" si="32"/>
        <v>0</v>
      </c>
      <c r="CR36" s="68">
        <f t="shared" si="33"/>
        <v>0</v>
      </c>
      <c r="CS36" s="69" t="str">
        <f t="shared" si="7"/>
        <v>D</v>
      </c>
      <c r="CT36" s="70" t="str">
        <f>IF(CR36="  ","  ",IF(CR36&gt;=menu!$D$19,"Tuntas","Tidak Tuntas"))</f>
        <v>Tuntas</v>
      </c>
      <c r="CU36" s="65"/>
      <c r="CV36" s="65"/>
      <c r="CW36" s="65"/>
      <c r="CX36" s="66"/>
      <c r="CY36" s="65"/>
      <c r="CZ36" s="65"/>
      <c r="DA36" s="65"/>
      <c r="DB36" s="67">
        <f t="shared" si="34"/>
        <v>0</v>
      </c>
      <c r="DC36" s="68">
        <f t="shared" si="35"/>
        <v>0</v>
      </c>
      <c r="DD36" s="68">
        <f t="shared" si="36"/>
        <v>0</v>
      </c>
      <c r="DE36" s="69" t="str">
        <f t="shared" si="8"/>
        <v>D</v>
      </c>
      <c r="DF36" s="70" t="str">
        <f>IF(DD36="  ","  ",IF(DD36&gt;=menu!$D$19,"Tuntas","Tidak Tuntas"))</f>
        <v>Tuntas</v>
      </c>
      <c r="DG36" s="65"/>
      <c r="DH36" s="65"/>
      <c r="DI36" s="65"/>
      <c r="DJ36" s="66"/>
      <c r="DK36" s="65"/>
      <c r="DL36" s="65"/>
      <c r="DM36" s="65"/>
      <c r="DN36" s="67">
        <f t="shared" si="37"/>
        <v>0</v>
      </c>
      <c r="DO36" s="68">
        <f t="shared" si="38"/>
        <v>0</v>
      </c>
      <c r="DP36" s="68">
        <f t="shared" si="39"/>
        <v>0</v>
      </c>
      <c r="DQ36" s="69" t="str">
        <f t="shared" si="9"/>
        <v>D</v>
      </c>
      <c r="DR36" s="70" t="str">
        <f>IF(DP36="  ","  ",IF(DP36&gt;=menu!$D$19,"Tuntas","Tidak Tuntas"))</f>
        <v>Tuntas</v>
      </c>
    </row>
    <row r="37" spans="1:122">
      <c r="A37" s="64">
        <f>'DATA SISWA'!A23</f>
        <v>19</v>
      </c>
      <c r="B37" s="76" t="str">
        <f>'DATA SISWA'!C23</f>
        <v>MAR'ATUS SOLEHAH</v>
      </c>
      <c r="C37" s="65"/>
      <c r="D37" s="65"/>
      <c r="E37" s="65"/>
      <c r="F37" s="66"/>
      <c r="G37" s="65"/>
      <c r="H37" s="65"/>
      <c r="I37" s="65"/>
      <c r="J37" s="67">
        <f t="shared" si="10"/>
        <v>0</v>
      </c>
      <c r="K37" s="68">
        <f t="shared" si="11"/>
        <v>0</v>
      </c>
      <c r="L37" s="68">
        <f t="shared" si="12"/>
        <v>0</v>
      </c>
      <c r="M37" s="69" t="str">
        <f t="shared" si="0"/>
        <v>D</v>
      </c>
      <c r="N37" s="70" t="str">
        <f>IF(L37="  ","  ",IF(L37&gt;=menu!$D$19,"Tuntas","Tidak Tuntas"))</f>
        <v>Tuntas</v>
      </c>
      <c r="O37" s="65"/>
      <c r="P37" s="65"/>
      <c r="Q37" s="65"/>
      <c r="R37" s="66"/>
      <c r="S37" s="65"/>
      <c r="T37" s="65"/>
      <c r="U37" s="65"/>
      <c r="V37" s="67">
        <f t="shared" si="13"/>
        <v>0</v>
      </c>
      <c r="W37" s="68">
        <f t="shared" si="14"/>
        <v>0</v>
      </c>
      <c r="X37" s="68">
        <f t="shared" si="15"/>
        <v>0</v>
      </c>
      <c r="Y37" s="69" t="str">
        <f t="shared" si="1"/>
        <v>D</v>
      </c>
      <c r="Z37" s="70" t="str">
        <f>IF(X37="  ","  ",IF(X37&gt;=menu!$D$19,"Tuntas","Tidak Tuntas"))</f>
        <v>Tuntas</v>
      </c>
      <c r="AA37" s="65"/>
      <c r="AB37" s="65"/>
      <c r="AC37" s="65"/>
      <c r="AD37" s="66"/>
      <c r="AE37" s="65"/>
      <c r="AF37" s="65"/>
      <c r="AG37" s="65"/>
      <c r="AH37" s="67">
        <f t="shared" si="16"/>
        <v>0</v>
      </c>
      <c r="AI37" s="68">
        <f t="shared" si="17"/>
        <v>0</v>
      </c>
      <c r="AJ37" s="68">
        <f t="shared" si="18"/>
        <v>0</v>
      </c>
      <c r="AK37" s="69" t="str">
        <f t="shared" si="2"/>
        <v>D</v>
      </c>
      <c r="AL37" s="70" t="str">
        <f>IF(AJ37="  ","  ",IF(AJ37&gt;=menu!$D$19,"Tuntas","Tidak Tuntas"))</f>
        <v>Tuntas</v>
      </c>
      <c r="AM37" s="65"/>
      <c r="AN37" s="65"/>
      <c r="AO37" s="65"/>
      <c r="AP37" s="66"/>
      <c r="AQ37" s="65"/>
      <c r="AR37" s="65"/>
      <c r="AS37" s="65"/>
      <c r="AT37" s="67">
        <f t="shared" si="19"/>
        <v>0</v>
      </c>
      <c r="AU37" s="68">
        <f t="shared" si="20"/>
        <v>0</v>
      </c>
      <c r="AV37" s="68">
        <f t="shared" si="21"/>
        <v>0</v>
      </c>
      <c r="AW37" s="69" t="str">
        <f t="shared" si="3"/>
        <v>D</v>
      </c>
      <c r="AX37" s="70" t="str">
        <f>IF(AV37="  ","  ",IF(AV37&gt;=menu!$D$19,"Tuntas","Tidak Tuntas"))</f>
        <v>Tuntas</v>
      </c>
      <c r="AY37" s="65"/>
      <c r="AZ37" s="65"/>
      <c r="BA37" s="65"/>
      <c r="BB37" s="66"/>
      <c r="BC37" s="65"/>
      <c r="BD37" s="65"/>
      <c r="BE37" s="65"/>
      <c r="BF37" s="67">
        <f t="shared" si="22"/>
        <v>0</v>
      </c>
      <c r="BG37" s="68">
        <f t="shared" si="23"/>
        <v>0</v>
      </c>
      <c r="BH37" s="68">
        <f t="shared" si="24"/>
        <v>0</v>
      </c>
      <c r="BI37" s="69" t="str">
        <f t="shared" si="4"/>
        <v>D</v>
      </c>
      <c r="BJ37" s="70" t="str">
        <f>IF(BH37="  ","  ",IF(BH37&gt;=menu!$D$19,"Tuntas","Tidak Tuntas"))</f>
        <v>Tuntas</v>
      </c>
      <c r="BK37" s="65"/>
      <c r="BL37" s="65"/>
      <c r="BM37" s="65"/>
      <c r="BN37" s="66"/>
      <c r="BO37" s="65"/>
      <c r="BP37" s="65"/>
      <c r="BQ37" s="65"/>
      <c r="BR37" s="67">
        <f t="shared" si="25"/>
        <v>0</v>
      </c>
      <c r="BS37" s="68">
        <f t="shared" si="26"/>
        <v>0</v>
      </c>
      <c r="BT37" s="68">
        <f t="shared" si="27"/>
        <v>0</v>
      </c>
      <c r="BU37" s="69" t="str">
        <f t="shared" si="5"/>
        <v>D</v>
      </c>
      <c r="BV37" s="70" t="str">
        <f>IF(BT37="  ","  ",IF(BT37&gt;=menu!$D$19,"Tuntas","Tidak Tuntas"))</f>
        <v>Tuntas</v>
      </c>
      <c r="BW37" s="65"/>
      <c r="BX37" s="65"/>
      <c r="BY37" s="65"/>
      <c r="BZ37" s="66"/>
      <c r="CA37" s="65"/>
      <c r="CB37" s="65"/>
      <c r="CC37" s="65"/>
      <c r="CD37" s="67">
        <f t="shared" si="28"/>
        <v>0</v>
      </c>
      <c r="CE37" s="68">
        <f t="shared" si="29"/>
        <v>0</v>
      </c>
      <c r="CF37" s="68">
        <f t="shared" si="30"/>
        <v>0</v>
      </c>
      <c r="CG37" s="69" t="str">
        <f t="shared" si="6"/>
        <v>D</v>
      </c>
      <c r="CH37" s="70" t="str">
        <f>IF(CF37="  ","  ",IF(CF37&gt;=menu!$D$19,"Tuntas","Tidak Tuntas"))</f>
        <v>Tuntas</v>
      </c>
      <c r="CI37" s="65"/>
      <c r="CJ37" s="65"/>
      <c r="CK37" s="65"/>
      <c r="CL37" s="66"/>
      <c r="CM37" s="65"/>
      <c r="CN37" s="65"/>
      <c r="CO37" s="65"/>
      <c r="CP37" s="67">
        <f t="shared" si="31"/>
        <v>0</v>
      </c>
      <c r="CQ37" s="68">
        <f t="shared" si="32"/>
        <v>0</v>
      </c>
      <c r="CR37" s="68">
        <f t="shared" si="33"/>
        <v>0</v>
      </c>
      <c r="CS37" s="69" t="str">
        <f t="shared" si="7"/>
        <v>D</v>
      </c>
      <c r="CT37" s="70" t="str">
        <f>IF(CR37="  ","  ",IF(CR37&gt;=menu!$D$19,"Tuntas","Tidak Tuntas"))</f>
        <v>Tuntas</v>
      </c>
      <c r="CU37" s="65"/>
      <c r="CV37" s="65"/>
      <c r="CW37" s="65"/>
      <c r="CX37" s="66"/>
      <c r="CY37" s="65"/>
      <c r="CZ37" s="65"/>
      <c r="DA37" s="65"/>
      <c r="DB37" s="67">
        <f t="shared" si="34"/>
        <v>0</v>
      </c>
      <c r="DC37" s="68">
        <f t="shared" si="35"/>
        <v>0</v>
      </c>
      <c r="DD37" s="68">
        <f t="shared" si="36"/>
        <v>0</v>
      </c>
      <c r="DE37" s="69" t="str">
        <f t="shared" si="8"/>
        <v>D</v>
      </c>
      <c r="DF37" s="70" t="str">
        <f>IF(DD37="  ","  ",IF(DD37&gt;=menu!$D$19,"Tuntas","Tidak Tuntas"))</f>
        <v>Tuntas</v>
      </c>
      <c r="DG37" s="65"/>
      <c r="DH37" s="65"/>
      <c r="DI37" s="65"/>
      <c r="DJ37" s="66"/>
      <c r="DK37" s="65"/>
      <c r="DL37" s="65"/>
      <c r="DM37" s="65"/>
      <c r="DN37" s="67">
        <f t="shared" si="37"/>
        <v>0</v>
      </c>
      <c r="DO37" s="68">
        <f t="shared" si="38"/>
        <v>0</v>
      </c>
      <c r="DP37" s="68">
        <f t="shared" si="39"/>
        <v>0</v>
      </c>
      <c r="DQ37" s="69" t="str">
        <f t="shared" si="9"/>
        <v>D</v>
      </c>
      <c r="DR37" s="70" t="str">
        <f>IF(DP37="  ","  ",IF(DP37&gt;=menu!$D$19,"Tuntas","Tidak Tuntas"))</f>
        <v>Tuntas</v>
      </c>
    </row>
    <row r="38" spans="1:122">
      <c r="A38" s="64">
        <f>'DATA SISWA'!A24</f>
        <v>20</v>
      </c>
      <c r="B38" s="76" t="str">
        <f>'DATA SISWA'!C24</f>
        <v>MOCH.  SHOLEH W. H</v>
      </c>
      <c r="C38" s="65"/>
      <c r="D38" s="65"/>
      <c r="E38" s="65"/>
      <c r="F38" s="66"/>
      <c r="G38" s="65"/>
      <c r="H38" s="65"/>
      <c r="I38" s="65"/>
      <c r="J38" s="67">
        <f t="shared" si="10"/>
        <v>0</v>
      </c>
      <c r="K38" s="68">
        <f t="shared" si="11"/>
        <v>0</v>
      </c>
      <c r="L38" s="68">
        <f t="shared" si="12"/>
        <v>0</v>
      </c>
      <c r="M38" s="69" t="str">
        <f t="shared" si="0"/>
        <v>D</v>
      </c>
      <c r="N38" s="70" t="str">
        <f>IF(L38="  ","  ",IF(L38&gt;=menu!$D$19,"Tuntas","Tidak Tuntas"))</f>
        <v>Tuntas</v>
      </c>
      <c r="O38" s="65"/>
      <c r="P38" s="65"/>
      <c r="Q38" s="65"/>
      <c r="R38" s="66"/>
      <c r="S38" s="65"/>
      <c r="T38" s="65"/>
      <c r="U38" s="65"/>
      <c r="V38" s="67">
        <f t="shared" si="13"/>
        <v>0</v>
      </c>
      <c r="W38" s="68">
        <f t="shared" si="14"/>
        <v>0</v>
      </c>
      <c r="X38" s="68">
        <f t="shared" si="15"/>
        <v>0</v>
      </c>
      <c r="Y38" s="69" t="str">
        <f t="shared" si="1"/>
        <v>D</v>
      </c>
      <c r="Z38" s="70" t="str">
        <f>IF(X38="  ","  ",IF(X38&gt;=menu!$D$19,"Tuntas","Tidak Tuntas"))</f>
        <v>Tuntas</v>
      </c>
      <c r="AA38" s="65"/>
      <c r="AB38" s="65"/>
      <c r="AC38" s="65"/>
      <c r="AD38" s="66"/>
      <c r="AE38" s="65"/>
      <c r="AF38" s="65"/>
      <c r="AG38" s="65"/>
      <c r="AH38" s="67">
        <f t="shared" si="16"/>
        <v>0</v>
      </c>
      <c r="AI38" s="68">
        <f t="shared" si="17"/>
        <v>0</v>
      </c>
      <c r="AJ38" s="68">
        <f t="shared" si="18"/>
        <v>0</v>
      </c>
      <c r="AK38" s="69" t="str">
        <f t="shared" si="2"/>
        <v>D</v>
      </c>
      <c r="AL38" s="70" t="str">
        <f>IF(AJ38="  ","  ",IF(AJ38&gt;=menu!$D$19,"Tuntas","Tidak Tuntas"))</f>
        <v>Tuntas</v>
      </c>
      <c r="AM38" s="65"/>
      <c r="AN38" s="65"/>
      <c r="AO38" s="65"/>
      <c r="AP38" s="66"/>
      <c r="AQ38" s="65"/>
      <c r="AR38" s="65"/>
      <c r="AS38" s="65"/>
      <c r="AT38" s="67">
        <f t="shared" si="19"/>
        <v>0</v>
      </c>
      <c r="AU38" s="68">
        <f t="shared" si="20"/>
        <v>0</v>
      </c>
      <c r="AV38" s="68">
        <f t="shared" si="21"/>
        <v>0</v>
      </c>
      <c r="AW38" s="69" t="str">
        <f t="shared" si="3"/>
        <v>D</v>
      </c>
      <c r="AX38" s="70" t="str">
        <f>IF(AV38="  ","  ",IF(AV38&gt;=menu!$D$19,"Tuntas","Tidak Tuntas"))</f>
        <v>Tuntas</v>
      </c>
      <c r="AY38" s="65"/>
      <c r="AZ38" s="65"/>
      <c r="BA38" s="65"/>
      <c r="BB38" s="66"/>
      <c r="BC38" s="65"/>
      <c r="BD38" s="65"/>
      <c r="BE38" s="65"/>
      <c r="BF38" s="67">
        <f t="shared" si="22"/>
        <v>0</v>
      </c>
      <c r="BG38" s="68">
        <f t="shared" si="23"/>
        <v>0</v>
      </c>
      <c r="BH38" s="68">
        <f t="shared" si="24"/>
        <v>0</v>
      </c>
      <c r="BI38" s="69" t="str">
        <f t="shared" si="4"/>
        <v>D</v>
      </c>
      <c r="BJ38" s="70" t="str">
        <f>IF(BH38="  ","  ",IF(BH38&gt;=menu!$D$19,"Tuntas","Tidak Tuntas"))</f>
        <v>Tuntas</v>
      </c>
      <c r="BK38" s="65"/>
      <c r="BL38" s="65"/>
      <c r="BM38" s="65"/>
      <c r="BN38" s="66"/>
      <c r="BO38" s="65"/>
      <c r="BP38" s="65"/>
      <c r="BQ38" s="65"/>
      <c r="BR38" s="67">
        <f t="shared" si="25"/>
        <v>0</v>
      </c>
      <c r="BS38" s="68">
        <f t="shared" si="26"/>
        <v>0</v>
      </c>
      <c r="BT38" s="68">
        <f t="shared" si="27"/>
        <v>0</v>
      </c>
      <c r="BU38" s="69" t="str">
        <f t="shared" si="5"/>
        <v>D</v>
      </c>
      <c r="BV38" s="70" t="str">
        <f>IF(BT38="  ","  ",IF(BT38&gt;=menu!$D$19,"Tuntas","Tidak Tuntas"))</f>
        <v>Tuntas</v>
      </c>
      <c r="BW38" s="65"/>
      <c r="BX38" s="65"/>
      <c r="BY38" s="65"/>
      <c r="BZ38" s="66"/>
      <c r="CA38" s="65"/>
      <c r="CB38" s="65"/>
      <c r="CC38" s="65"/>
      <c r="CD38" s="67">
        <f t="shared" si="28"/>
        <v>0</v>
      </c>
      <c r="CE38" s="68">
        <f t="shared" si="29"/>
        <v>0</v>
      </c>
      <c r="CF38" s="68">
        <f t="shared" si="30"/>
        <v>0</v>
      </c>
      <c r="CG38" s="69" t="str">
        <f t="shared" si="6"/>
        <v>D</v>
      </c>
      <c r="CH38" s="70" t="str">
        <f>IF(CF38="  ","  ",IF(CF38&gt;=menu!$D$19,"Tuntas","Tidak Tuntas"))</f>
        <v>Tuntas</v>
      </c>
      <c r="CI38" s="65"/>
      <c r="CJ38" s="65"/>
      <c r="CK38" s="65"/>
      <c r="CL38" s="66"/>
      <c r="CM38" s="65"/>
      <c r="CN38" s="65"/>
      <c r="CO38" s="65"/>
      <c r="CP38" s="67">
        <f t="shared" si="31"/>
        <v>0</v>
      </c>
      <c r="CQ38" s="68">
        <f t="shared" si="32"/>
        <v>0</v>
      </c>
      <c r="CR38" s="68">
        <f t="shared" si="33"/>
        <v>0</v>
      </c>
      <c r="CS38" s="69" t="str">
        <f t="shared" si="7"/>
        <v>D</v>
      </c>
      <c r="CT38" s="70" t="str">
        <f>IF(CR38="  ","  ",IF(CR38&gt;=menu!$D$19,"Tuntas","Tidak Tuntas"))</f>
        <v>Tuntas</v>
      </c>
      <c r="CU38" s="65"/>
      <c r="CV38" s="65"/>
      <c r="CW38" s="65"/>
      <c r="CX38" s="66"/>
      <c r="CY38" s="65"/>
      <c r="CZ38" s="65"/>
      <c r="DA38" s="65"/>
      <c r="DB38" s="67">
        <f t="shared" si="34"/>
        <v>0</v>
      </c>
      <c r="DC38" s="68">
        <f t="shared" si="35"/>
        <v>0</v>
      </c>
      <c r="DD38" s="68">
        <f t="shared" si="36"/>
        <v>0</v>
      </c>
      <c r="DE38" s="69" t="str">
        <f t="shared" si="8"/>
        <v>D</v>
      </c>
      <c r="DF38" s="70" t="str">
        <f>IF(DD38="  ","  ",IF(DD38&gt;=menu!$D$19,"Tuntas","Tidak Tuntas"))</f>
        <v>Tuntas</v>
      </c>
      <c r="DG38" s="65"/>
      <c r="DH38" s="65"/>
      <c r="DI38" s="65"/>
      <c r="DJ38" s="66"/>
      <c r="DK38" s="65"/>
      <c r="DL38" s="65"/>
      <c r="DM38" s="65"/>
      <c r="DN38" s="67">
        <f t="shared" si="37"/>
        <v>0</v>
      </c>
      <c r="DO38" s="68">
        <f t="shared" si="38"/>
        <v>0</v>
      </c>
      <c r="DP38" s="68">
        <f t="shared" si="39"/>
        <v>0</v>
      </c>
      <c r="DQ38" s="69" t="str">
        <f t="shared" si="9"/>
        <v>D</v>
      </c>
      <c r="DR38" s="70" t="str">
        <f>IF(DP38="  ","  ",IF(DP38&gt;=menu!$D$19,"Tuntas","Tidak Tuntas"))</f>
        <v>Tuntas</v>
      </c>
    </row>
    <row r="39" spans="1:122">
      <c r="A39" s="64">
        <f>'DATA SISWA'!A25</f>
        <v>21</v>
      </c>
      <c r="B39" s="76" t="str">
        <f>'DATA SISWA'!C25</f>
        <v>MOCH. FAWES</v>
      </c>
      <c r="C39" s="65"/>
      <c r="D39" s="65"/>
      <c r="E39" s="65"/>
      <c r="F39" s="66"/>
      <c r="G39" s="65"/>
      <c r="H39" s="65"/>
      <c r="I39" s="65"/>
      <c r="J39" s="67">
        <f t="shared" si="10"/>
        <v>0</v>
      </c>
      <c r="K39" s="68">
        <f t="shared" si="11"/>
        <v>0</v>
      </c>
      <c r="L39" s="68">
        <f t="shared" si="12"/>
        <v>0</v>
      </c>
      <c r="M39" s="69" t="str">
        <f t="shared" si="0"/>
        <v>D</v>
      </c>
      <c r="N39" s="70" t="str">
        <f>IF(L39="  ","  ",IF(L39&gt;=menu!$D$19,"Tuntas","Tidak Tuntas"))</f>
        <v>Tuntas</v>
      </c>
      <c r="O39" s="65"/>
      <c r="P39" s="65"/>
      <c r="Q39" s="65"/>
      <c r="R39" s="66"/>
      <c r="S39" s="65"/>
      <c r="T39" s="65"/>
      <c r="U39" s="65"/>
      <c r="V39" s="67">
        <f t="shared" si="13"/>
        <v>0</v>
      </c>
      <c r="W39" s="68">
        <f t="shared" si="14"/>
        <v>0</v>
      </c>
      <c r="X39" s="68">
        <f t="shared" si="15"/>
        <v>0</v>
      </c>
      <c r="Y39" s="69" t="str">
        <f t="shared" si="1"/>
        <v>D</v>
      </c>
      <c r="Z39" s="70" t="str">
        <f>IF(X39="  ","  ",IF(X39&gt;=menu!$D$19,"Tuntas","Tidak Tuntas"))</f>
        <v>Tuntas</v>
      </c>
      <c r="AA39" s="65"/>
      <c r="AB39" s="65"/>
      <c r="AC39" s="65"/>
      <c r="AD39" s="66"/>
      <c r="AE39" s="65"/>
      <c r="AF39" s="65"/>
      <c r="AG39" s="65"/>
      <c r="AH39" s="67">
        <f t="shared" si="16"/>
        <v>0</v>
      </c>
      <c r="AI39" s="68">
        <f t="shared" si="17"/>
        <v>0</v>
      </c>
      <c r="AJ39" s="68">
        <f t="shared" si="18"/>
        <v>0</v>
      </c>
      <c r="AK39" s="69" t="str">
        <f t="shared" si="2"/>
        <v>D</v>
      </c>
      <c r="AL39" s="70" t="str">
        <f>IF(AJ39="  ","  ",IF(AJ39&gt;=menu!$D$19,"Tuntas","Tidak Tuntas"))</f>
        <v>Tuntas</v>
      </c>
      <c r="AM39" s="65"/>
      <c r="AN39" s="65"/>
      <c r="AO39" s="65"/>
      <c r="AP39" s="66"/>
      <c r="AQ39" s="65"/>
      <c r="AR39" s="65"/>
      <c r="AS39" s="65"/>
      <c r="AT39" s="67">
        <f t="shared" si="19"/>
        <v>0</v>
      </c>
      <c r="AU39" s="68">
        <f t="shared" si="20"/>
        <v>0</v>
      </c>
      <c r="AV39" s="68">
        <f t="shared" si="21"/>
        <v>0</v>
      </c>
      <c r="AW39" s="69" t="str">
        <f t="shared" si="3"/>
        <v>D</v>
      </c>
      <c r="AX39" s="70" t="str">
        <f>IF(AV39="  ","  ",IF(AV39&gt;=menu!$D$19,"Tuntas","Tidak Tuntas"))</f>
        <v>Tuntas</v>
      </c>
      <c r="AY39" s="65"/>
      <c r="AZ39" s="65"/>
      <c r="BA39" s="65"/>
      <c r="BB39" s="66"/>
      <c r="BC39" s="65"/>
      <c r="BD39" s="65"/>
      <c r="BE39" s="65"/>
      <c r="BF39" s="67">
        <f t="shared" si="22"/>
        <v>0</v>
      </c>
      <c r="BG39" s="68">
        <f t="shared" si="23"/>
        <v>0</v>
      </c>
      <c r="BH39" s="68">
        <f t="shared" si="24"/>
        <v>0</v>
      </c>
      <c r="BI39" s="69" t="str">
        <f t="shared" si="4"/>
        <v>D</v>
      </c>
      <c r="BJ39" s="70" t="str">
        <f>IF(BH39="  ","  ",IF(BH39&gt;=menu!$D$19,"Tuntas","Tidak Tuntas"))</f>
        <v>Tuntas</v>
      </c>
      <c r="BK39" s="65"/>
      <c r="BL39" s="65"/>
      <c r="BM39" s="65"/>
      <c r="BN39" s="66"/>
      <c r="BO39" s="65"/>
      <c r="BP39" s="65"/>
      <c r="BQ39" s="65"/>
      <c r="BR39" s="67">
        <f t="shared" si="25"/>
        <v>0</v>
      </c>
      <c r="BS39" s="68">
        <f t="shared" si="26"/>
        <v>0</v>
      </c>
      <c r="BT39" s="68">
        <f t="shared" si="27"/>
        <v>0</v>
      </c>
      <c r="BU39" s="69" t="str">
        <f t="shared" si="5"/>
        <v>D</v>
      </c>
      <c r="BV39" s="70" t="str">
        <f>IF(BT39="  ","  ",IF(BT39&gt;=menu!$D$19,"Tuntas","Tidak Tuntas"))</f>
        <v>Tuntas</v>
      </c>
      <c r="BW39" s="65"/>
      <c r="BX39" s="65"/>
      <c r="BY39" s="65"/>
      <c r="BZ39" s="66"/>
      <c r="CA39" s="65"/>
      <c r="CB39" s="65"/>
      <c r="CC39" s="65"/>
      <c r="CD39" s="67">
        <f t="shared" si="28"/>
        <v>0</v>
      </c>
      <c r="CE39" s="68">
        <f t="shared" si="29"/>
        <v>0</v>
      </c>
      <c r="CF39" s="68">
        <f t="shared" si="30"/>
        <v>0</v>
      </c>
      <c r="CG39" s="69" t="str">
        <f t="shared" si="6"/>
        <v>D</v>
      </c>
      <c r="CH39" s="70" t="str">
        <f>IF(CF39="  ","  ",IF(CF39&gt;=menu!$D$19,"Tuntas","Tidak Tuntas"))</f>
        <v>Tuntas</v>
      </c>
      <c r="CI39" s="65"/>
      <c r="CJ39" s="65"/>
      <c r="CK39" s="65"/>
      <c r="CL39" s="66"/>
      <c r="CM39" s="65"/>
      <c r="CN39" s="65"/>
      <c r="CO39" s="65"/>
      <c r="CP39" s="67">
        <f t="shared" si="31"/>
        <v>0</v>
      </c>
      <c r="CQ39" s="68">
        <f t="shared" si="32"/>
        <v>0</v>
      </c>
      <c r="CR39" s="68">
        <f t="shared" si="33"/>
        <v>0</v>
      </c>
      <c r="CS39" s="69" t="str">
        <f t="shared" si="7"/>
        <v>D</v>
      </c>
      <c r="CT39" s="70" t="str">
        <f>IF(CR39="  ","  ",IF(CR39&gt;=menu!$D$19,"Tuntas","Tidak Tuntas"))</f>
        <v>Tuntas</v>
      </c>
      <c r="CU39" s="65"/>
      <c r="CV39" s="65"/>
      <c r="CW39" s="65"/>
      <c r="CX39" s="66"/>
      <c r="CY39" s="65"/>
      <c r="CZ39" s="65"/>
      <c r="DA39" s="65"/>
      <c r="DB39" s="67">
        <f t="shared" si="34"/>
        <v>0</v>
      </c>
      <c r="DC39" s="68">
        <f t="shared" si="35"/>
        <v>0</v>
      </c>
      <c r="DD39" s="68">
        <f t="shared" si="36"/>
        <v>0</v>
      </c>
      <c r="DE39" s="69" t="str">
        <f t="shared" si="8"/>
        <v>D</v>
      </c>
      <c r="DF39" s="70" t="str">
        <f>IF(DD39="  ","  ",IF(DD39&gt;=menu!$D$19,"Tuntas","Tidak Tuntas"))</f>
        <v>Tuntas</v>
      </c>
      <c r="DG39" s="65"/>
      <c r="DH39" s="65"/>
      <c r="DI39" s="65"/>
      <c r="DJ39" s="66"/>
      <c r="DK39" s="65"/>
      <c r="DL39" s="65"/>
      <c r="DM39" s="65"/>
      <c r="DN39" s="67">
        <f t="shared" si="37"/>
        <v>0</v>
      </c>
      <c r="DO39" s="68">
        <f t="shared" si="38"/>
        <v>0</v>
      </c>
      <c r="DP39" s="68">
        <f t="shared" si="39"/>
        <v>0</v>
      </c>
      <c r="DQ39" s="69" t="str">
        <f t="shared" si="9"/>
        <v>D</v>
      </c>
      <c r="DR39" s="70" t="str">
        <f>IF(DP39="  ","  ",IF(DP39&gt;=menu!$D$19,"Tuntas","Tidak Tuntas"))</f>
        <v>Tuntas</v>
      </c>
    </row>
    <row r="40" spans="1:122">
      <c r="A40" s="64">
        <f>'DATA SISWA'!A26</f>
        <v>22</v>
      </c>
      <c r="B40" s="76" t="str">
        <f>'DATA SISWA'!C26</f>
        <v>MOH SAHRUL RAMADON</v>
      </c>
      <c r="C40" s="65"/>
      <c r="D40" s="65"/>
      <c r="E40" s="65"/>
      <c r="F40" s="66"/>
      <c r="G40" s="65"/>
      <c r="H40" s="65"/>
      <c r="I40" s="65"/>
      <c r="J40" s="67">
        <f t="shared" si="10"/>
        <v>0</v>
      </c>
      <c r="K40" s="68">
        <f t="shared" si="11"/>
        <v>0</v>
      </c>
      <c r="L40" s="68">
        <f t="shared" si="12"/>
        <v>0</v>
      </c>
      <c r="M40" s="69" t="str">
        <f t="shared" si="0"/>
        <v>D</v>
      </c>
      <c r="N40" s="70" t="str">
        <f>IF(L40="  ","  ",IF(L40&gt;=menu!$D$19,"Tuntas","Tidak Tuntas"))</f>
        <v>Tuntas</v>
      </c>
      <c r="O40" s="65"/>
      <c r="P40" s="65"/>
      <c r="Q40" s="65"/>
      <c r="R40" s="66"/>
      <c r="S40" s="65"/>
      <c r="T40" s="65"/>
      <c r="U40" s="65"/>
      <c r="V40" s="67">
        <f t="shared" si="13"/>
        <v>0</v>
      </c>
      <c r="W40" s="68">
        <f t="shared" si="14"/>
        <v>0</v>
      </c>
      <c r="X40" s="68">
        <f t="shared" si="15"/>
        <v>0</v>
      </c>
      <c r="Y40" s="69" t="str">
        <f t="shared" si="1"/>
        <v>D</v>
      </c>
      <c r="Z40" s="70" t="str">
        <f>IF(X40="  ","  ",IF(X40&gt;=menu!$D$19,"Tuntas","Tidak Tuntas"))</f>
        <v>Tuntas</v>
      </c>
      <c r="AA40" s="65"/>
      <c r="AB40" s="65"/>
      <c r="AC40" s="65"/>
      <c r="AD40" s="66"/>
      <c r="AE40" s="65"/>
      <c r="AF40" s="65"/>
      <c r="AG40" s="65"/>
      <c r="AH40" s="67">
        <f t="shared" si="16"/>
        <v>0</v>
      </c>
      <c r="AI40" s="68">
        <f t="shared" si="17"/>
        <v>0</v>
      </c>
      <c r="AJ40" s="68">
        <f t="shared" si="18"/>
        <v>0</v>
      </c>
      <c r="AK40" s="69" t="str">
        <f t="shared" si="2"/>
        <v>D</v>
      </c>
      <c r="AL40" s="70" t="str">
        <f>IF(AJ40="  ","  ",IF(AJ40&gt;=menu!$D$19,"Tuntas","Tidak Tuntas"))</f>
        <v>Tuntas</v>
      </c>
      <c r="AM40" s="65"/>
      <c r="AN40" s="65"/>
      <c r="AO40" s="65"/>
      <c r="AP40" s="66"/>
      <c r="AQ40" s="65"/>
      <c r="AR40" s="65"/>
      <c r="AS40" s="65"/>
      <c r="AT40" s="67">
        <f t="shared" si="19"/>
        <v>0</v>
      </c>
      <c r="AU40" s="68">
        <f t="shared" si="20"/>
        <v>0</v>
      </c>
      <c r="AV40" s="68">
        <f t="shared" si="21"/>
        <v>0</v>
      </c>
      <c r="AW40" s="69" t="str">
        <f t="shared" si="3"/>
        <v>D</v>
      </c>
      <c r="AX40" s="70" t="str">
        <f>IF(AV40="  ","  ",IF(AV40&gt;=menu!$D$19,"Tuntas","Tidak Tuntas"))</f>
        <v>Tuntas</v>
      </c>
      <c r="AY40" s="65"/>
      <c r="AZ40" s="65"/>
      <c r="BA40" s="65"/>
      <c r="BB40" s="66"/>
      <c r="BC40" s="65"/>
      <c r="BD40" s="65"/>
      <c r="BE40" s="65"/>
      <c r="BF40" s="67">
        <f t="shared" si="22"/>
        <v>0</v>
      </c>
      <c r="BG40" s="68">
        <f t="shared" si="23"/>
        <v>0</v>
      </c>
      <c r="BH40" s="68">
        <f t="shared" si="24"/>
        <v>0</v>
      </c>
      <c r="BI40" s="69" t="str">
        <f t="shared" si="4"/>
        <v>D</v>
      </c>
      <c r="BJ40" s="70" t="str">
        <f>IF(BH40="  ","  ",IF(BH40&gt;=menu!$D$19,"Tuntas","Tidak Tuntas"))</f>
        <v>Tuntas</v>
      </c>
      <c r="BK40" s="65"/>
      <c r="BL40" s="65"/>
      <c r="BM40" s="65"/>
      <c r="BN40" s="66"/>
      <c r="BO40" s="65"/>
      <c r="BP40" s="65"/>
      <c r="BQ40" s="65"/>
      <c r="BR40" s="67">
        <f t="shared" si="25"/>
        <v>0</v>
      </c>
      <c r="BS40" s="68">
        <f t="shared" si="26"/>
        <v>0</v>
      </c>
      <c r="BT40" s="68">
        <f t="shared" si="27"/>
        <v>0</v>
      </c>
      <c r="BU40" s="69" t="str">
        <f t="shared" si="5"/>
        <v>D</v>
      </c>
      <c r="BV40" s="70" t="str">
        <f>IF(BT40="  ","  ",IF(BT40&gt;=menu!$D$19,"Tuntas","Tidak Tuntas"))</f>
        <v>Tuntas</v>
      </c>
      <c r="BW40" s="65"/>
      <c r="BX40" s="65"/>
      <c r="BY40" s="65"/>
      <c r="BZ40" s="66"/>
      <c r="CA40" s="65"/>
      <c r="CB40" s="65"/>
      <c r="CC40" s="65"/>
      <c r="CD40" s="67">
        <f t="shared" si="28"/>
        <v>0</v>
      </c>
      <c r="CE40" s="68">
        <f t="shared" si="29"/>
        <v>0</v>
      </c>
      <c r="CF40" s="68">
        <f t="shared" si="30"/>
        <v>0</v>
      </c>
      <c r="CG40" s="69" t="str">
        <f t="shared" si="6"/>
        <v>D</v>
      </c>
      <c r="CH40" s="70" t="str">
        <f>IF(CF40="  ","  ",IF(CF40&gt;=menu!$D$19,"Tuntas","Tidak Tuntas"))</f>
        <v>Tuntas</v>
      </c>
      <c r="CI40" s="65"/>
      <c r="CJ40" s="65"/>
      <c r="CK40" s="65"/>
      <c r="CL40" s="66"/>
      <c r="CM40" s="65"/>
      <c r="CN40" s="65"/>
      <c r="CO40" s="65"/>
      <c r="CP40" s="67">
        <f t="shared" si="31"/>
        <v>0</v>
      </c>
      <c r="CQ40" s="68">
        <f t="shared" si="32"/>
        <v>0</v>
      </c>
      <c r="CR40" s="68">
        <f t="shared" si="33"/>
        <v>0</v>
      </c>
      <c r="CS40" s="69" t="str">
        <f t="shared" si="7"/>
        <v>D</v>
      </c>
      <c r="CT40" s="70" t="str">
        <f>IF(CR40="  ","  ",IF(CR40&gt;=menu!$D$19,"Tuntas","Tidak Tuntas"))</f>
        <v>Tuntas</v>
      </c>
      <c r="CU40" s="65"/>
      <c r="CV40" s="65"/>
      <c r="CW40" s="65"/>
      <c r="CX40" s="66"/>
      <c r="CY40" s="65"/>
      <c r="CZ40" s="65"/>
      <c r="DA40" s="65"/>
      <c r="DB40" s="67">
        <f t="shared" si="34"/>
        <v>0</v>
      </c>
      <c r="DC40" s="68">
        <f t="shared" si="35"/>
        <v>0</v>
      </c>
      <c r="DD40" s="68">
        <f t="shared" si="36"/>
        <v>0</v>
      </c>
      <c r="DE40" s="69" t="str">
        <f t="shared" si="8"/>
        <v>D</v>
      </c>
      <c r="DF40" s="70" t="str">
        <f>IF(DD40="  ","  ",IF(DD40&gt;=menu!$D$19,"Tuntas","Tidak Tuntas"))</f>
        <v>Tuntas</v>
      </c>
      <c r="DG40" s="65"/>
      <c r="DH40" s="65"/>
      <c r="DI40" s="65"/>
      <c r="DJ40" s="66"/>
      <c r="DK40" s="65"/>
      <c r="DL40" s="65"/>
      <c r="DM40" s="65"/>
      <c r="DN40" s="67">
        <f t="shared" si="37"/>
        <v>0</v>
      </c>
      <c r="DO40" s="68">
        <f t="shared" si="38"/>
        <v>0</v>
      </c>
      <c r="DP40" s="68">
        <f t="shared" si="39"/>
        <v>0</v>
      </c>
      <c r="DQ40" s="69" t="str">
        <f t="shared" si="9"/>
        <v>D</v>
      </c>
      <c r="DR40" s="70" t="str">
        <f>IF(DP40="  ","  ",IF(DP40&gt;=menu!$D$19,"Tuntas","Tidak Tuntas"))</f>
        <v>Tuntas</v>
      </c>
    </row>
    <row r="41" spans="1:122">
      <c r="A41" s="64">
        <f>'DATA SISWA'!A27</f>
        <v>23</v>
      </c>
      <c r="B41" s="76" t="str">
        <f>'DATA SISWA'!C27</f>
        <v>MOHAMMAD RAMADAN PURNOMO</v>
      </c>
      <c r="C41" s="65"/>
      <c r="D41" s="65"/>
      <c r="E41" s="65"/>
      <c r="F41" s="66"/>
      <c r="G41" s="65"/>
      <c r="H41" s="65"/>
      <c r="I41" s="65"/>
      <c r="J41" s="67">
        <f t="shared" si="10"/>
        <v>0</v>
      </c>
      <c r="K41" s="68">
        <f t="shared" si="11"/>
        <v>0</v>
      </c>
      <c r="L41" s="68">
        <f t="shared" si="12"/>
        <v>0</v>
      </c>
      <c r="M41" s="69" t="str">
        <f t="shared" si="0"/>
        <v>D</v>
      </c>
      <c r="N41" s="70" t="str">
        <f>IF(L41="  ","  ",IF(L41&gt;=menu!$D$19,"Tuntas","Tidak Tuntas"))</f>
        <v>Tuntas</v>
      </c>
      <c r="O41" s="65"/>
      <c r="P41" s="65"/>
      <c r="Q41" s="65"/>
      <c r="R41" s="66"/>
      <c r="S41" s="65"/>
      <c r="T41" s="65"/>
      <c r="U41" s="65"/>
      <c r="V41" s="67">
        <f t="shared" si="13"/>
        <v>0</v>
      </c>
      <c r="W41" s="68">
        <f t="shared" si="14"/>
        <v>0</v>
      </c>
      <c r="X41" s="68">
        <f t="shared" si="15"/>
        <v>0</v>
      </c>
      <c r="Y41" s="69" t="str">
        <f t="shared" si="1"/>
        <v>D</v>
      </c>
      <c r="Z41" s="70" t="str">
        <f>IF(X41="  ","  ",IF(X41&gt;=menu!$D$19,"Tuntas","Tidak Tuntas"))</f>
        <v>Tuntas</v>
      </c>
      <c r="AA41" s="65"/>
      <c r="AB41" s="65"/>
      <c r="AC41" s="65"/>
      <c r="AD41" s="66"/>
      <c r="AE41" s="65"/>
      <c r="AF41" s="65"/>
      <c r="AG41" s="65"/>
      <c r="AH41" s="67">
        <f t="shared" si="16"/>
        <v>0</v>
      </c>
      <c r="AI41" s="68">
        <f t="shared" si="17"/>
        <v>0</v>
      </c>
      <c r="AJ41" s="68">
        <f t="shared" si="18"/>
        <v>0</v>
      </c>
      <c r="AK41" s="69" t="str">
        <f t="shared" si="2"/>
        <v>D</v>
      </c>
      <c r="AL41" s="70" t="str">
        <f>IF(AJ41="  ","  ",IF(AJ41&gt;=menu!$D$19,"Tuntas","Tidak Tuntas"))</f>
        <v>Tuntas</v>
      </c>
      <c r="AM41" s="65"/>
      <c r="AN41" s="65"/>
      <c r="AO41" s="65"/>
      <c r="AP41" s="66"/>
      <c r="AQ41" s="65"/>
      <c r="AR41" s="65"/>
      <c r="AS41" s="65"/>
      <c r="AT41" s="67">
        <f t="shared" si="19"/>
        <v>0</v>
      </c>
      <c r="AU41" s="68">
        <f t="shared" si="20"/>
        <v>0</v>
      </c>
      <c r="AV41" s="68">
        <f t="shared" si="21"/>
        <v>0</v>
      </c>
      <c r="AW41" s="69" t="str">
        <f t="shared" si="3"/>
        <v>D</v>
      </c>
      <c r="AX41" s="70" t="str">
        <f>IF(AV41="  ","  ",IF(AV41&gt;=menu!$D$19,"Tuntas","Tidak Tuntas"))</f>
        <v>Tuntas</v>
      </c>
      <c r="AY41" s="65"/>
      <c r="AZ41" s="65"/>
      <c r="BA41" s="65"/>
      <c r="BB41" s="66"/>
      <c r="BC41" s="65"/>
      <c r="BD41" s="65"/>
      <c r="BE41" s="65"/>
      <c r="BF41" s="67">
        <f t="shared" si="22"/>
        <v>0</v>
      </c>
      <c r="BG41" s="68">
        <f t="shared" si="23"/>
        <v>0</v>
      </c>
      <c r="BH41" s="68">
        <f t="shared" si="24"/>
        <v>0</v>
      </c>
      <c r="BI41" s="69" t="str">
        <f t="shared" si="4"/>
        <v>D</v>
      </c>
      <c r="BJ41" s="70" t="str">
        <f>IF(BH41="  ","  ",IF(BH41&gt;=menu!$D$19,"Tuntas","Tidak Tuntas"))</f>
        <v>Tuntas</v>
      </c>
      <c r="BK41" s="65"/>
      <c r="BL41" s="65"/>
      <c r="BM41" s="65"/>
      <c r="BN41" s="66"/>
      <c r="BO41" s="65"/>
      <c r="BP41" s="65"/>
      <c r="BQ41" s="65"/>
      <c r="BR41" s="67">
        <f t="shared" si="25"/>
        <v>0</v>
      </c>
      <c r="BS41" s="68">
        <f t="shared" si="26"/>
        <v>0</v>
      </c>
      <c r="BT41" s="68">
        <f t="shared" si="27"/>
        <v>0</v>
      </c>
      <c r="BU41" s="69" t="str">
        <f t="shared" si="5"/>
        <v>D</v>
      </c>
      <c r="BV41" s="70" t="str">
        <f>IF(BT41="  ","  ",IF(BT41&gt;=menu!$D$19,"Tuntas","Tidak Tuntas"))</f>
        <v>Tuntas</v>
      </c>
      <c r="BW41" s="65"/>
      <c r="BX41" s="65"/>
      <c r="BY41" s="65"/>
      <c r="BZ41" s="66"/>
      <c r="CA41" s="65"/>
      <c r="CB41" s="65"/>
      <c r="CC41" s="65"/>
      <c r="CD41" s="67">
        <f t="shared" si="28"/>
        <v>0</v>
      </c>
      <c r="CE41" s="68">
        <f t="shared" si="29"/>
        <v>0</v>
      </c>
      <c r="CF41" s="68">
        <f t="shared" si="30"/>
        <v>0</v>
      </c>
      <c r="CG41" s="69" t="str">
        <f t="shared" si="6"/>
        <v>D</v>
      </c>
      <c r="CH41" s="70" t="str">
        <f>IF(CF41="  ","  ",IF(CF41&gt;=menu!$D$19,"Tuntas","Tidak Tuntas"))</f>
        <v>Tuntas</v>
      </c>
      <c r="CI41" s="65"/>
      <c r="CJ41" s="65"/>
      <c r="CK41" s="65"/>
      <c r="CL41" s="66"/>
      <c r="CM41" s="65"/>
      <c r="CN41" s="65"/>
      <c r="CO41" s="65"/>
      <c r="CP41" s="67">
        <f t="shared" si="31"/>
        <v>0</v>
      </c>
      <c r="CQ41" s="68">
        <f t="shared" si="32"/>
        <v>0</v>
      </c>
      <c r="CR41" s="68">
        <f t="shared" si="33"/>
        <v>0</v>
      </c>
      <c r="CS41" s="69" t="str">
        <f t="shared" si="7"/>
        <v>D</v>
      </c>
      <c r="CT41" s="70" t="str">
        <f>IF(CR41="  ","  ",IF(CR41&gt;=menu!$D$19,"Tuntas","Tidak Tuntas"))</f>
        <v>Tuntas</v>
      </c>
      <c r="CU41" s="65"/>
      <c r="CV41" s="65"/>
      <c r="CW41" s="65"/>
      <c r="CX41" s="66"/>
      <c r="CY41" s="65"/>
      <c r="CZ41" s="65"/>
      <c r="DA41" s="65"/>
      <c r="DB41" s="67">
        <f t="shared" si="34"/>
        <v>0</v>
      </c>
      <c r="DC41" s="68">
        <f t="shared" si="35"/>
        <v>0</v>
      </c>
      <c r="DD41" s="68">
        <f t="shared" si="36"/>
        <v>0</v>
      </c>
      <c r="DE41" s="69" t="str">
        <f t="shared" si="8"/>
        <v>D</v>
      </c>
      <c r="DF41" s="70" t="str">
        <f>IF(DD41="  ","  ",IF(DD41&gt;=menu!$D$19,"Tuntas","Tidak Tuntas"))</f>
        <v>Tuntas</v>
      </c>
      <c r="DG41" s="65"/>
      <c r="DH41" s="65"/>
      <c r="DI41" s="65"/>
      <c r="DJ41" s="66"/>
      <c r="DK41" s="65"/>
      <c r="DL41" s="65"/>
      <c r="DM41" s="65"/>
      <c r="DN41" s="67">
        <f t="shared" si="37"/>
        <v>0</v>
      </c>
      <c r="DO41" s="68">
        <f t="shared" si="38"/>
        <v>0</v>
      </c>
      <c r="DP41" s="68">
        <f t="shared" si="39"/>
        <v>0</v>
      </c>
      <c r="DQ41" s="69" t="str">
        <f t="shared" si="9"/>
        <v>D</v>
      </c>
      <c r="DR41" s="70" t="str">
        <f>IF(DP41="  ","  ",IF(DP41&gt;=menu!$D$19,"Tuntas","Tidak Tuntas"))</f>
        <v>Tuntas</v>
      </c>
    </row>
    <row r="42" spans="1:122">
      <c r="A42" s="64">
        <f>'DATA SISWA'!A28</f>
        <v>24</v>
      </c>
      <c r="B42" s="76" t="str">
        <f>'DATA SISWA'!C28</f>
        <v>MOHAMMAD ROFI'I</v>
      </c>
      <c r="C42" s="65"/>
      <c r="D42" s="65"/>
      <c r="E42" s="65"/>
      <c r="F42" s="66"/>
      <c r="G42" s="65"/>
      <c r="H42" s="65"/>
      <c r="I42" s="65"/>
      <c r="J42" s="67">
        <f t="shared" si="10"/>
        <v>0</v>
      </c>
      <c r="K42" s="68">
        <f t="shared" si="11"/>
        <v>0</v>
      </c>
      <c r="L42" s="68">
        <f t="shared" si="12"/>
        <v>0</v>
      </c>
      <c r="M42" s="69" t="str">
        <f t="shared" si="0"/>
        <v>D</v>
      </c>
      <c r="N42" s="70" t="str">
        <f>IF(L42="  ","  ",IF(L42&gt;=menu!$D$19,"Tuntas","Tidak Tuntas"))</f>
        <v>Tuntas</v>
      </c>
      <c r="O42" s="65"/>
      <c r="P42" s="65"/>
      <c r="Q42" s="65"/>
      <c r="R42" s="66"/>
      <c r="S42" s="65"/>
      <c r="T42" s="65"/>
      <c r="U42" s="65"/>
      <c r="V42" s="67">
        <f t="shared" si="13"/>
        <v>0</v>
      </c>
      <c r="W42" s="68">
        <f t="shared" si="14"/>
        <v>0</v>
      </c>
      <c r="X42" s="68">
        <f t="shared" si="15"/>
        <v>0</v>
      </c>
      <c r="Y42" s="69" t="str">
        <f t="shared" si="1"/>
        <v>D</v>
      </c>
      <c r="Z42" s="70" t="str">
        <f>IF(X42="  ","  ",IF(X42&gt;=menu!$D$19,"Tuntas","Tidak Tuntas"))</f>
        <v>Tuntas</v>
      </c>
      <c r="AA42" s="65"/>
      <c r="AB42" s="65"/>
      <c r="AC42" s="65"/>
      <c r="AD42" s="66"/>
      <c r="AE42" s="65"/>
      <c r="AF42" s="65"/>
      <c r="AG42" s="65"/>
      <c r="AH42" s="67">
        <f t="shared" si="16"/>
        <v>0</v>
      </c>
      <c r="AI42" s="68">
        <f t="shared" si="17"/>
        <v>0</v>
      </c>
      <c r="AJ42" s="68">
        <f t="shared" si="18"/>
        <v>0</v>
      </c>
      <c r="AK42" s="69" t="str">
        <f t="shared" si="2"/>
        <v>D</v>
      </c>
      <c r="AL42" s="70" t="str">
        <f>IF(AJ42="  ","  ",IF(AJ42&gt;=menu!$D$19,"Tuntas","Tidak Tuntas"))</f>
        <v>Tuntas</v>
      </c>
      <c r="AM42" s="65"/>
      <c r="AN42" s="65"/>
      <c r="AO42" s="65"/>
      <c r="AP42" s="66"/>
      <c r="AQ42" s="65"/>
      <c r="AR42" s="65"/>
      <c r="AS42" s="65"/>
      <c r="AT42" s="67">
        <f t="shared" si="19"/>
        <v>0</v>
      </c>
      <c r="AU42" s="68">
        <f t="shared" si="20"/>
        <v>0</v>
      </c>
      <c r="AV42" s="68">
        <f t="shared" si="21"/>
        <v>0</v>
      </c>
      <c r="AW42" s="69" t="str">
        <f t="shared" si="3"/>
        <v>D</v>
      </c>
      <c r="AX42" s="70" t="str">
        <f>IF(AV42="  ","  ",IF(AV42&gt;=menu!$D$19,"Tuntas","Tidak Tuntas"))</f>
        <v>Tuntas</v>
      </c>
      <c r="AY42" s="65"/>
      <c r="AZ42" s="65"/>
      <c r="BA42" s="65"/>
      <c r="BB42" s="66"/>
      <c r="BC42" s="65"/>
      <c r="BD42" s="65"/>
      <c r="BE42" s="65"/>
      <c r="BF42" s="67">
        <f t="shared" si="22"/>
        <v>0</v>
      </c>
      <c r="BG42" s="68">
        <f t="shared" si="23"/>
        <v>0</v>
      </c>
      <c r="BH42" s="68">
        <f t="shared" si="24"/>
        <v>0</v>
      </c>
      <c r="BI42" s="69" t="str">
        <f t="shared" si="4"/>
        <v>D</v>
      </c>
      <c r="BJ42" s="70" t="str">
        <f>IF(BH42="  ","  ",IF(BH42&gt;=menu!$D$19,"Tuntas","Tidak Tuntas"))</f>
        <v>Tuntas</v>
      </c>
      <c r="BK42" s="65"/>
      <c r="BL42" s="65"/>
      <c r="BM42" s="65"/>
      <c r="BN42" s="66"/>
      <c r="BO42" s="65"/>
      <c r="BP42" s="65"/>
      <c r="BQ42" s="65"/>
      <c r="BR42" s="67">
        <f t="shared" si="25"/>
        <v>0</v>
      </c>
      <c r="BS42" s="68">
        <f t="shared" si="26"/>
        <v>0</v>
      </c>
      <c r="BT42" s="68">
        <f t="shared" si="27"/>
        <v>0</v>
      </c>
      <c r="BU42" s="69" t="str">
        <f t="shared" si="5"/>
        <v>D</v>
      </c>
      <c r="BV42" s="70" t="str">
        <f>IF(BT42="  ","  ",IF(BT42&gt;=menu!$D$19,"Tuntas","Tidak Tuntas"))</f>
        <v>Tuntas</v>
      </c>
      <c r="BW42" s="65"/>
      <c r="BX42" s="65"/>
      <c r="BY42" s="65"/>
      <c r="BZ42" s="66"/>
      <c r="CA42" s="65"/>
      <c r="CB42" s="65"/>
      <c r="CC42" s="65"/>
      <c r="CD42" s="67">
        <f t="shared" si="28"/>
        <v>0</v>
      </c>
      <c r="CE42" s="68">
        <f t="shared" si="29"/>
        <v>0</v>
      </c>
      <c r="CF42" s="68">
        <f t="shared" si="30"/>
        <v>0</v>
      </c>
      <c r="CG42" s="69" t="str">
        <f t="shared" si="6"/>
        <v>D</v>
      </c>
      <c r="CH42" s="70" t="str">
        <f>IF(CF42="  ","  ",IF(CF42&gt;=menu!$D$19,"Tuntas","Tidak Tuntas"))</f>
        <v>Tuntas</v>
      </c>
      <c r="CI42" s="65"/>
      <c r="CJ42" s="65"/>
      <c r="CK42" s="65"/>
      <c r="CL42" s="66"/>
      <c r="CM42" s="65"/>
      <c r="CN42" s="65"/>
      <c r="CO42" s="65"/>
      <c r="CP42" s="67">
        <f t="shared" si="31"/>
        <v>0</v>
      </c>
      <c r="CQ42" s="68">
        <f t="shared" si="32"/>
        <v>0</v>
      </c>
      <c r="CR42" s="68">
        <f t="shared" si="33"/>
        <v>0</v>
      </c>
      <c r="CS42" s="69" t="str">
        <f t="shared" si="7"/>
        <v>D</v>
      </c>
      <c r="CT42" s="70" t="str">
        <f>IF(CR42="  ","  ",IF(CR42&gt;=menu!$D$19,"Tuntas","Tidak Tuntas"))</f>
        <v>Tuntas</v>
      </c>
      <c r="CU42" s="65"/>
      <c r="CV42" s="65"/>
      <c r="CW42" s="65"/>
      <c r="CX42" s="66"/>
      <c r="CY42" s="65"/>
      <c r="CZ42" s="65"/>
      <c r="DA42" s="65"/>
      <c r="DB42" s="67">
        <f t="shared" si="34"/>
        <v>0</v>
      </c>
      <c r="DC42" s="68">
        <f t="shared" si="35"/>
        <v>0</v>
      </c>
      <c r="DD42" s="68">
        <f t="shared" si="36"/>
        <v>0</v>
      </c>
      <c r="DE42" s="69" t="str">
        <f t="shared" si="8"/>
        <v>D</v>
      </c>
      <c r="DF42" s="70" t="str">
        <f>IF(DD42="  ","  ",IF(DD42&gt;=menu!$D$19,"Tuntas","Tidak Tuntas"))</f>
        <v>Tuntas</v>
      </c>
      <c r="DG42" s="65"/>
      <c r="DH42" s="65"/>
      <c r="DI42" s="65"/>
      <c r="DJ42" s="66"/>
      <c r="DK42" s="65"/>
      <c r="DL42" s="65"/>
      <c r="DM42" s="65"/>
      <c r="DN42" s="67">
        <f t="shared" si="37"/>
        <v>0</v>
      </c>
      <c r="DO42" s="68">
        <f t="shared" si="38"/>
        <v>0</v>
      </c>
      <c r="DP42" s="68">
        <f t="shared" si="39"/>
        <v>0</v>
      </c>
      <c r="DQ42" s="69" t="str">
        <f t="shared" si="9"/>
        <v>D</v>
      </c>
      <c r="DR42" s="70" t="str">
        <f>IF(DP42="  ","  ",IF(DP42&gt;=menu!$D$19,"Tuntas","Tidak Tuntas"))</f>
        <v>Tuntas</v>
      </c>
    </row>
    <row r="43" spans="1:122">
      <c r="A43" s="64">
        <f>'DATA SISWA'!A29</f>
        <v>25</v>
      </c>
      <c r="B43" s="76" t="str">
        <f>'DATA SISWA'!C29</f>
        <v>NI'MATUS SHOLIHA</v>
      </c>
      <c r="C43" s="65"/>
      <c r="D43" s="65"/>
      <c r="E43" s="65"/>
      <c r="F43" s="66"/>
      <c r="G43" s="65"/>
      <c r="H43" s="65"/>
      <c r="I43" s="65"/>
      <c r="J43" s="67">
        <f t="shared" si="10"/>
        <v>0</v>
      </c>
      <c r="K43" s="68">
        <f t="shared" si="11"/>
        <v>0</v>
      </c>
      <c r="L43" s="68">
        <f t="shared" si="12"/>
        <v>0</v>
      </c>
      <c r="M43" s="69" t="str">
        <f t="shared" si="0"/>
        <v>D</v>
      </c>
      <c r="N43" s="70" t="str">
        <f>IF(L43="  ","  ",IF(L43&gt;=menu!$D$19,"Tuntas","Tidak Tuntas"))</f>
        <v>Tuntas</v>
      </c>
      <c r="O43" s="65"/>
      <c r="P43" s="65"/>
      <c r="Q43" s="65"/>
      <c r="R43" s="66"/>
      <c r="S43" s="65"/>
      <c r="T43" s="65"/>
      <c r="U43" s="65"/>
      <c r="V43" s="67">
        <f t="shared" si="13"/>
        <v>0</v>
      </c>
      <c r="W43" s="68">
        <f t="shared" si="14"/>
        <v>0</v>
      </c>
      <c r="X43" s="68">
        <f t="shared" si="15"/>
        <v>0</v>
      </c>
      <c r="Y43" s="69" t="str">
        <f t="shared" si="1"/>
        <v>D</v>
      </c>
      <c r="Z43" s="70" t="str">
        <f>IF(X43="  ","  ",IF(X43&gt;=menu!$D$19,"Tuntas","Tidak Tuntas"))</f>
        <v>Tuntas</v>
      </c>
      <c r="AA43" s="65"/>
      <c r="AB43" s="65"/>
      <c r="AC43" s="65"/>
      <c r="AD43" s="66"/>
      <c r="AE43" s="65"/>
      <c r="AF43" s="65"/>
      <c r="AG43" s="65"/>
      <c r="AH43" s="67">
        <f t="shared" si="16"/>
        <v>0</v>
      </c>
      <c r="AI43" s="68">
        <f t="shared" si="17"/>
        <v>0</v>
      </c>
      <c r="AJ43" s="68">
        <f t="shared" si="18"/>
        <v>0</v>
      </c>
      <c r="AK43" s="69" t="str">
        <f t="shared" si="2"/>
        <v>D</v>
      </c>
      <c r="AL43" s="70" t="str">
        <f>IF(AJ43="  ","  ",IF(AJ43&gt;=menu!$D$19,"Tuntas","Tidak Tuntas"))</f>
        <v>Tuntas</v>
      </c>
      <c r="AM43" s="65"/>
      <c r="AN43" s="65"/>
      <c r="AO43" s="65"/>
      <c r="AP43" s="66"/>
      <c r="AQ43" s="65"/>
      <c r="AR43" s="65"/>
      <c r="AS43" s="65"/>
      <c r="AT43" s="67">
        <f t="shared" si="19"/>
        <v>0</v>
      </c>
      <c r="AU43" s="68">
        <f t="shared" si="20"/>
        <v>0</v>
      </c>
      <c r="AV43" s="68">
        <f t="shared" si="21"/>
        <v>0</v>
      </c>
      <c r="AW43" s="69" t="str">
        <f t="shared" si="3"/>
        <v>D</v>
      </c>
      <c r="AX43" s="70" t="str">
        <f>IF(AV43="  ","  ",IF(AV43&gt;=menu!$D$19,"Tuntas","Tidak Tuntas"))</f>
        <v>Tuntas</v>
      </c>
      <c r="AY43" s="65"/>
      <c r="AZ43" s="65"/>
      <c r="BA43" s="65"/>
      <c r="BB43" s="66"/>
      <c r="BC43" s="65"/>
      <c r="BD43" s="65"/>
      <c r="BE43" s="65"/>
      <c r="BF43" s="67">
        <f t="shared" si="22"/>
        <v>0</v>
      </c>
      <c r="BG43" s="68">
        <f t="shared" si="23"/>
        <v>0</v>
      </c>
      <c r="BH43" s="68">
        <f t="shared" si="24"/>
        <v>0</v>
      </c>
      <c r="BI43" s="69" t="str">
        <f t="shared" si="4"/>
        <v>D</v>
      </c>
      <c r="BJ43" s="70" t="str">
        <f>IF(BH43="  ","  ",IF(BH43&gt;=menu!$D$19,"Tuntas","Tidak Tuntas"))</f>
        <v>Tuntas</v>
      </c>
      <c r="BK43" s="65"/>
      <c r="BL43" s="65"/>
      <c r="BM43" s="65"/>
      <c r="BN43" s="66"/>
      <c r="BO43" s="65"/>
      <c r="BP43" s="65"/>
      <c r="BQ43" s="65"/>
      <c r="BR43" s="67">
        <f t="shared" si="25"/>
        <v>0</v>
      </c>
      <c r="BS43" s="68">
        <f t="shared" si="26"/>
        <v>0</v>
      </c>
      <c r="BT43" s="68">
        <f t="shared" si="27"/>
        <v>0</v>
      </c>
      <c r="BU43" s="69" t="str">
        <f t="shared" si="5"/>
        <v>D</v>
      </c>
      <c r="BV43" s="70" t="str">
        <f>IF(BT43="  ","  ",IF(BT43&gt;=menu!$D$19,"Tuntas","Tidak Tuntas"))</f>
        <v>Tuntas</v>
      </c>
      <c r="BW43" s="65"/>
      <c r="BX43" s="65"/>
      <c r="BY43" s="65"/>
      <c r="BZ43" s="66"/>
      <c r="CA43" s="65"/>
      <c r="CB43" s="65"/>
      <c r="CC43" s="65"/>
      <c r="CD43" s="67">
        <f t="shared" si="28"/>
        <v>0</v>
      </c>
      <c r="CE43" s="68">
        <f t="shared" si="29"/>
        <v>0</v>
      </c>
      <c r="CF43" s="68">
        <f t="shared" si="30"/>
        <v>0</v>
      </c>
      <c r="CG43" s="69" t="str">
        <f t="shared" si="6"/>
        <v>D</v>
      </c>
      <c r="CH43" s="70" t="str">
        <f>IF(CF43="  ","  ",IF(CF43&gt;=menu!$D$19,"Tuntas","Tidak Tuntas"))</f>
        <v>Tuntas</v>
      </c>
      <c r="CI43" s="65"/>
      <c r="CJ43" s="65"/>
      <c r="CK43" s="65"/>
      <c r="CL43" s="66"/>
      <c r="CM43" s="65"/>
      <c r="CN43" s="65"/>
      <c r="CO43" s="65"/>
      <c r="CP43" s="67">
        <f t="shared" si="31"/>
        <v>0</v>
      </c>
      <c r="CQ43" s="68">
        <f t="shared" si="32"/>
        <v>0</v>
      </c>
      <c r="CR43" s="68">
        <f t="shared" si="33"/>
        <v>0</v>
      </c>
      <c r="CS43" s="69" t="str">
        <f t="shared" si="7"/>
        <v>D</v>
      </c>
      <c r="CT43" s="70" t="str">
        <f>IF(CR43="  ","  ",IF(CR43&gt;=menu!$D$19,"Tuntas","Tidak Tuntas"))</f>
        <v>Tuntas</v>
      </c>
      <c r="CU43" s="65"/>
      <c r="CV43" s="65"/>
      <c r="CW43" s="65"/>
      <c r="CX43" s="66"/>
      <c r="CY43" s="65"/>
      <c r="CZ43" s="65"/>
      <c r="DA43" s="65"/>
      <c r="DB43" s="67">
        <f t="shared" si="34"/>
        <v>0</v>
      </c>
      <c r="DC43" s="68">
        <f t="shared" si="35"/>
        <v>0</v>
      </c>
      <c r="DD43" s="68">
        <f t="shared" si="36"/>
        <v>0</v>
      </c>
      <c r="DE43" s="69" t="str">
        <f t="shared" si="8"/>
        <v>D</v>
      </c>
      <c r="DF43" s="70" t="str">
        <f>IF(DD43="  ","  ",IF(DD43&gt;=menu!$D$19,"Tuntas","Tidak Tuntas"))</f>
        <v>Tuntas</v>
      </c>
      <c r="DG43" s="65"/>
      <c r="DH43" s="65"/>
      <c r="DI43" s="65"/>
      <c r="DJ43" s="66"/>
      <c r="DK43" s="65"/>
      <c r="DL43" s="65"/>
      <c r="DM43" s="65"/>
      <c r="DN43" s="67">
        <f t="shared" si="37"/>
        <v>0</v>
      </c>
      <c r="DO43" s="68">
        <f t="shared" si="38"/>
        <v>0</v>
      </c>
      <c r="DP43" s="68">
        <f t="shared" si="39"/>
        <v>0</v>
      </c>
      <c r="DQ43" s="69" t="str">
        <f t="shared" si="9"/>
        <v>D</v>
      </c>
      <c r="DR43" s="70" t="str">
        <f>IF(DP43="  ","  ",IF(DP43&gt;=menu!$D$19,"Tuntas","Tidak Tuntas"))</f>
        <v>Tuntas</v>
      </c>
    </row>
    <row r="44" spans="1:122">
      <c r="A44" s="64">
        <f>'DATA SISWA'!A30</f>
        <v>26</v>
      </c>
      <c r="B44" s="76" t="str">
        <f>'DATA SISWA'!C30</f>
        <v>PANJI FIKRI ISLAMI</v>
      </c>
      <c r="C44" s="65"/>
      <c r="D44" s="65"/>
      <c r="E44" s="65"/>
      <c r="F44" s="66"/>
      <c r="G44" s="65"/>
      <c r="H44" s="65"/>
      <c r="I44" s="65"/>
      <c r="J44" s="67">
        <f t="shared" si="10"/>
        <v>0</v>
      </c>
      <c r="K44" s="68">
        <f t="shared" si="11"/>
        <v>0</v>
      </c>
      <c r="L44" s="68">
        <f t="shared" si="12"/>
        <v>0</v>
      </c>
      <c r="M44" s="69" t="str">
        <f t="shared" si="0"/>
        <v>D</v>
      </c>
      <c r="N44" s="70" t="str">
        <f>IF(L44="  ","  ",IF(L44&gt;=menu!$D$19,"Tuntas","Tidak Tuntas"))</f>
        <v>Tuntas</v>
      </c>
      <c r="O44" s="65"/>
      <c r="P44" s="65"/>
      <c r="Q44" s="65"/>
      <c r="R44" s="66"/>
      <c r="S44" s="65"/>
      <c r="T44" s="65"/>
      <c r="U44" s="65"/>
      <c r="V44" s="67">
        <f t="shared" si="13"/>
        <v>0</v>
      </c>
      <c r="W44" s="68">
        <f t="shared" si="14"/>
        <v>0</v>
      </c>
      <c r="X44" s="68">
        <f t="shared" si="15"/>
        <v>0</v>
      </c>
      <c r="Y44" s="69" t="str">
        <f t="shared" si="1"/>
        <v>D</v>
      </c>
      <c r="Z44" s="70" t="str">
        <f>IF(X44="  ","  ",IF(X44&gt;=menu!$D$19,"Tuntas","Tidak Tuntas"))</f>
        <v>Tuntas</v>
      </c>
      <c r="AA44" s="65"/>
      <c r="AB44" s="65"/>
      <c r="AC44" s="65"/>
      <c r="AD44" s="66"/>
      <c r="AE44" s="65"/>
      <c r="AF44" s="65"/>
      <c r="AG44" s="65"/>
      <c r="AH44" s="67">
        <f t="shared" si="16"/>
        <v>0</v>
      </c>
      <c r="AI44" s="68">
        <f t="shared" si="17"/>
        <v>0</v>
      </c>
      <c r="AJ44" s="68">
        <f t="shared" si="18"/>
        <v>0</v>
      </c>
      <c r="AK44" s="69" t="str">
        <f t="shared" si="2"/>
        <v>D</v>
      </c>
      <c r="AL44" s="70" t="str">
        <f>IF(AJ44="  ","  ",IF(AJ44&gt;=menu!$D$19,"Tuntas","Tidak Tuntas"))</f>
        <v>Tuntas</v>
      </c>
      <c r="AM44" s="65"/>
      <c r="AN44" s="65"/>
      <c r="AO44" s="65"/>
      <c r="AP44" s="66"/>
      <c r="AQ44" s="65"/>
      <c r="AR44" s="65"/>
      <c r="AS44" s="65"/>
      <c r="AT44" s="67">
        <f t="shared" si="19"/>
        <v>0</v>
      </c>
      <c r="AU44" s="68">
        <f t="shared" si="20"/>
        <v>0</v>
      </c>
      <c r="AV44" s="68">
        <f t="shared" si="21"/>
        <v>0</v>
      </c>
      <c r="AW44" s="69" t="str">
        <f t="shared" si="3"/>
        <v>D</v>
      </c>
      <c r="AX44" s="70" t="str">
        <f>IF(AV44="  ","  ",IF(AV44&gt;=menu!$D$19,"Tuntas","Tidak Tuntas"))</f>
        <v>Tuntas</v>
      </c>
      <c r="AY44" s="65"/>
      <c r="AZ44" s="65"/>
      <c r="BA44" s="65"/>
      <c r="BB44" s="66"/>
      <c r="BC44" s="65"/>
      <c r="BD44" s="65"/>
      <c r="BE44" s="65"/>
      <c r="BF44" s="67">
        <f t="shared" si="22"/>
        <v>0</v>
      </c>
      <c r="BG44" s="68">
        <f t="shared" si="23"/>
        <v>0</v>
      </c>
      <c r="BH44" s="68">
        <f t="shared" si="24"/>
        <v>0</v>
      </c>
      <c r="BI44" s="69" t="str">
        <f t="shared" si="4"/>
        <v>D</v>
      </c>
      <c r="BJ44" s="70" t="str">
        <f>IF(BH44="  ","  ",IF(BH44&gt;=menu!$D$19,"Tuntas","Tidak Tuntas"))</f>
        <v>Tuntas</v>
      </c>
      <c r="BK44" s="65"/>
      <c r="BL44" s="65"/>
      <c r="BM44" s="65"/>
      <c r="BN44" s="66"/>
      <c r="BO44" s="65"/>
      <c r="BP44" s="65"/>
      <c r="BQ44" s="65"/>
      <c r="BR44" s="67">
        <f t="shared" si="25"/>
        <v>0</v>
      </c>
      <c r="BS44" s="68">
        <f t="shared" si="26"/>
        <v>0</v>
      </c>
      <c r="BT44" s="68">
        <f t="shared" si="27"/>
        <v>0</v>
      </c>
      <c r="BU44" s="69" t="str">
        <f t="shared" si="5"/>
        <v>D</v>
      </c>
      <c r="BV44" s="70" t="str">
        <f>IF(BT44="  ","  ",IF(BT44&gt;=menu!$D$19,"Tuntas","Tidak Tuntas"))</f>
        <v>Tuntas</v>
      </c>
      <c r="BW44" s="65"/>
      <c r="BX44" s="65"/>
      <c r="BY44" s="65"/>
      <c r="BZ44" s="66"/>
      <c r="CA44" s="65"/>
      <c r="CB44" s="65"/>
      <c r="CC44" s="65"/>
      <c r="CD44" s="67">
        <f t="shared" si="28"/>
        <v>0</v>
      </c>
      <c r="CE44" s="68">
        <f t="shared" si="29"/>
        <v>0</v>
      </c>
      <c r="CF44" s="68">
        <f t="shared" si="30"/>
        <v>0</v>
      </c>
      <c r="CG44" s="69" t="str">
        <f t="shared" si="6"/>
        <v>D</v>
      </c>
      <c r="CH44" s="70" t="str">
        <f>IF(CF44="  ","  ",IF(CF44&gt;=menu!$D$19,"Tuntas","Tidak Tuntas"))</f>
        <v>Tuntas</v>
      </c>
      <c r="CI44" s="65"/>
      <c r="CJ44" s="65"/>
      <c r="CK44" s="65"/>
      <c r="CL44" s="66"/>
      <c r="CM44" s="65"/>
      <c r="CN44" s="65"/>
      <c r="CO44" s="65"/>
      <c r="CP44" s="67">
        <f t="shared" si="31"/>
        <v>0</v>
      </c>
      <c r="CQ44" s="68">
        <f t="shared" si="32"/>
        <v>0</v>
      </c>
      <c r="CR44" s="68">
        <f t="shared" si="33"/>
        <v>0</v>
      </c>
      <c r="CS44" s="69" t="str">
        <f t="shared" si="7"/>
        <v>D</v>
      </c>
      <c r="CT44" s="70" t="str">
        <f>IF(CR44="  ","  ",IF(CR44&gt;=menu!$D$19,"Tuntas","Tidak Tuntas"))</f>
        <v>Tuntas</v>
      </c>
      <c r="CU44" s="65"/>
      <c r="CV44" s="65"/>
      <c r="CW44" s="65"/>
      <c r="CX44" s="66"/>
      <c r="CY44" s="65"/>
      <c r="CZ44" s="65"/>
      <c r="DA44" s="65"/>
      <c r="DB44" s="67">
        <f t="shared" si="34"/>
        <v>0</v>
      </c>
      <c r="DC44" s="68">
        <f t="shared" si="35"/>
        <v>0</v>
      </c>
      <c r="DD44" s="68">
        <f t="shared" si="36"/>
        <v>0</v>
      </c>
      <c r="DE44" s="69" t="str">
        <f t="shared" si="8"/>
        <v>D</v>
      </c>
      <c r="DF44" s="70" t="str">
        <f>IF(DD44="  ","  ",IF(DD44&gt;=menu!$D$19,"Tuntas","Tidak Tuntas"))</f>
        <v>Tuntas</v>
      </c>
      <c r="DG44" s="65"/>
      <c r="DH44" s="65"/>
      <c r="DI44" s="65"/>
      <c r="DJ44" s="66"/>
      <c r="DK44" s="65"/>
      <c r="DL44" s="65"/>
      <c r="DM44" s="65"/>
      <c r="DN44" s="67">
        <f t="shared" si="37"/>
        <v>0</v>
      </c>
      <c r="DO44" s="68">
        <f t="shared" si="38"/>
        <v>0</v>
      </c>
      <c r="DP44" s="68">
        <f t="shared" si="39"/>
        <v>0</v>
      </c>
      <c r="DQ44" s="69" t="str">
        <f t="shared" si="9"/>
        <v>D</v>
      </c>
      <c r="DR44" s="70" t="str">
        <f>IF(DP44="  ","  ",IF(DP44&gt;=menu!$D$19,"Tuntas","Tidak Tuntas"))</f>
        <v>Tuntas</v>
      </c>
    </row>
    <row r="45" spans="1:122">
      <c r="A45" s="64">
        <f>'DATA SISWA'!A31</f>
        <v>27</v>
      </c>
      <c r="B45" s="76" t="str">
        <f>'DATA SISWA'!C31</f>
        <v>RACMAT MAULIDI ABDANY</v>
      </c>
      <c r="C45" s="65"/>
      <c r="D45" s="65"/>
      <c r="E45" s="65"/>
      <c r="F45" s="66"/>
      <c r="G45" s="65"/>
      <c r="H45" s="65"/>
      <c r="I45" s="65"/>
      <c r="J45" s="67">
        <f t="shared" si="10"/>
        <v>0</v>
      </c>
      <c r="K45" s="68">
        <f t="shared" si="11"/>
        <v>0</v>
      </c>
      <c r="L45" s="68">
        <f t="shared" si="12"/>
        <v>0</v>
      </c>
      <c r="M45" s="69" t="str">
        <f t="shared" si="0"/>
        <v>D</v>
      </c>
      <c r="N45" s="70" t="str">
        <f>IF(L45="  ","  ",IF(L45&gt;=menu!$D$19,"Tuntas","Tidak Tuntas"))</f>
        <v>Tuntas</v>
      </c>
      <c r="O45" s="65"/>
      <c r="P45" s="65"/>
      <c r="Q45" s="65"/>
      <c r="R45" s="66"/>
      <c r="S45" s="65"/>
      <c r="T45" s="65"/>
      <c r="U45" s="65"/>
      <c r="V45" s="67">
        <f t="shared" si="13"/>
        <v>0</v>
      </c>
      <c r="W45" s="68">
        <f t="shared" si="14"/>
        <v>0</v>
      </c>
      <c r="X45" s="68">
        <f t="shared" si="15"/>
        <v>0</v>
      </c>
      <c r="Y45" s="69" t="str">
        <f t="shared" si="1"/>
        <v>D</v>
      </c>
      <c r="Z45" s="70" t="str">
        <f>IF(X45="  ","  ",IF(X45&gt;=menu!$D$19,"Tuntas","Tidak Tuntas"))</f>
        <v>Tuntas</v>
      </c>
      <c r="AA45" s="65"/>
      <c r="AB45" s="65"/>
      <c r="AC45" s="65"/>
      <c r="AD45" s="66"/>
      <c r="AE45" s="65"/>
      <c r="AF45" s="65"/>
      <c r="AG45" s="65"/>
      <c r="AH45" s="67">
        <f t="shared" si="16"/>
        <v>0</v>
      </c>
      <c r="AI45" s="68">
        <f t="shared" si="17"/>
        <v>0</v>
      </c>
      <c r="AJ45" s="68">
        <f t="shared" si="18"/>
        <v>0</v>
      </c>
      <c r="AK45" s="69" t="str">
        <f t="shared" si="2"/>
        <v>D</v>
      </c>
      <c r="AL45" s="70" t="str">
        <f>IF(AJ45="  ","  ",IF(AJ45&gt;=menu!$D$19,"Tuntas","Tidak Tuntas"))</f>
        <v>Tuntas</v>
      </c>
      <c r="AM45" s="65"/>
      <c r="AN45" s="65"/>
      <c r="AO45" s="65"/>
      <c r="AP45" s="66"/>
      <c r="AQ45" s="65"/>
      <c r="AR45" s="65"/>
      <c r="AS45" s="65"/>
      <c r="AT45" s="67">
        <f t="shared" si="19"/>
        <v>0</v>
      </c>
      <c r="AU45" s="68">
        <f t="shared" si="20"/>
        <v>0</v>
      </c>
      <c r="AV45" s="68">
        <f t="shared" si="21"/>
        <v>0</v>
      </c>
      <c r="AW45" s="69" t="str">
        <f t="shared" si="3"/>
        <v>D</v>
      </c>
      <c r="AX45" s="70" t="str">
        <f>IF(AV45="  ","  ",IF(AV45&gt;=menu!$D$19,"Tuntas","Tidak Tuntas"))</f>
        <v>Tuntas</v>
      </c>
      <c r="AY45" s="65"/>
      <c r="AZ45" s="65"/>
      <c r="BA45" s="65"/>
      <c r="BB45" s="66"/>
      <c r="BC45" s="65"/>
      <c r="BD45" s="65"/>
      <c r="BE45" s="65"/>
      <c r="BF45" s="67">
        <f t="shared" si="22"/>
        <v>0</v>
      </c>
      <c r="BG45" s="68">
        <f t="shared" si="23"/>
        <v>0</v>
      </c>
      <c r="BH45" s="68">
        <f t="shared" si="24"/>
        <v>0</v>
      </c>
      <c r="BI45" s="69" t="str">
        <f t="shared" si="4"/>
        <v>D</v>
      </c>
      <c r="BJ45" s="70" t="str">
        <f>IF(BH45="  ","  ",IF(BH45&gt;=menu!$D$19,"Tuntas","Tidak Tuntas"))</f>
        <v>Tuntas</v>
      </c>
      <c r="BK45" s="65"/>
      <c r="BL45" s="65"/>
      <c r="BM45" s="65"/>
      <c r="BN45" s="66"/>
      <c r="BO45" s="65"/>
      <c r="BP45" s="65"/>
      <c r="BQ45" s="65"/>
      <c r="BR45" s="67">
        <f t="shared" si="25"/>
        <v>0</v>
      </c>
      <c r="BS45" s="68">
        <f t="shared" si="26"/>
        <v>0</v>
      </c>
      <c r="BT45" s="68">
        <f t="shared" si="27"/>
        <v>0</v>
      </c>
      <c r="BU45" s="69" t="str">
        <f t="shared" si="5"/>
        <v>D</v>
      </c>
      <c r="BV45" s="70" t="str">
        <f>IF(BT45="  ","  ",IF(BT45&gt;=menu!$D$19,"Tuntas","Tidak Tuntas"))</f>
        <v>Tuntas</v>
      </c>
      <c r="BW45" s="65"/>
      <c r="BX45" s="65"/>
      <c r="BY45" s="65"/>
      <c r="BZ45" s="66"/>
      <c r="CA45" s="65"/>
      <c r="CB45" s="65"/>
      <c r="CC45" s="65"/>
      <c r="CD45" s="67">
        <f t="shared" si="28"/>
        <v>0</v>
      </c>
      <c r="CE45" s="68">
        <f t="shared" si="29"/>
        <v>0</v>
      </c>
      <c r="CF45" s="68">
        <f t="shared" si="30"/>
        <v>0</v>
      </c>
      <c r="CG45" s="69" t="str">
        <f t="shared" si="6"/>
        <v>D</v>
      </c>
      <c r="CH45" s="70" t="str">
        <f>IF(CF45="  ","  ",IF(CF45&gt;=menu!$D$19,"Tuntas","Tidak Tuntas"))</f>
        <v>Tuntas</v>
      </c>
      <c r="CI45" s="65"/>
      <c r="CJ45" s="65"/>
      <c r="CK45" s="65"/>
      <c r="CL45" s="66"/>
      <c r="CM45" s="65"/>
      <c r="CN45" s="65"/>
      <c r="CO45" s="65"/>
      <c r="CP45" s="67">
        <f t="shared" si="31"/>
        <v>0</v>
      </c>
      <c r="CQ45" s="68">
        <f t="shared" si="32"/>
        <v>0</v>
      </c>
      <c r="CR45" s="68">
        <f t="shared" si="33"/>
        <v>0</v>
      </c>
      <c r="CS45" s="69" t="str">
        <f t="shared" si="7"/>
        <v>D</v>
      </c>
      <c r="CT45" s="70" t="str">
        <f>IF(CR45="  ","  ",IF(CR45&gt;=menu!$D$19,"Tuntas","Tidak Tuntas"))</f>
        <v>Tuntas</v>
      </c>
      <c r="CU45" s="65"/>
      <c r="CV45" s="65"/>
      <c r="CW45" s="65"/>
      <c r="CX45" s="66"/>
      <c r="CY45" s="65"/>
      <c r="CZ45" s="65"/>
      <c r="DA45" s="65"/>
      <c r="DB45" s="67">
        <f t="shared" si="34"/>
        <v>0</v>
      </c>
      <c r="DC45" s="68">
        <f t="shared" si="35"/>
        <v>0</v>
      </c>
      <c r="DD45" s="68">
        <f t="shared" si="36"/>
        <v>0</v>
      </c>
      <c r="DE45" s="69" t="str">
        <f t="shared" si="8"/>
        <v>D</v>
      </c>
      <c r="DF45" s="70" t="str">
        <f>IF(DD45="  ","  ",IF(DD45&gt;=menu!$D$19,"Tuntas","Tidak Tuntas"))</f>
        <v>Tuntas</v>
      </c>
      <c r="DG45" s="65"/>
      <c r="DH45" s="65"/>
      <c r="DI45" s="65"/>
      <c r="DJ45" s="66"/>
      <c r="DK45" s="65"/>
      <c r="DL45" s="65"/>
      <c r="DM45" s="65"/>
      <c r="DN45" s="67">
        <f t="shared" si="37"/>
        <v>0</v>
      </c>
      <c r="DO45" s="68">
        <f t="shared" si="38"/>
        <v>0</v>
      </c>
      <c r="DP45" s="68">
        <f t="shared" si="39"/>
        <v>0</v>
      </c>
      <c r="DQ45" s="69" t="str">
        <f t="shared" si="9"/>
        <v>D</v>
      </c>
      <c r="DR45" s="70" t="str">
        <f>IF(DP45="  ","  ",IF(DP45&gt;=menu!$D$19,"Tuntas","Tidak Tuntas"))</f>
        <v>Tuntas</v>
      </c>
    </row>
    <row r="46" spans="1:122">
      <c r="A46" s="64">
        <f>'DATA SISWA'!A32</f>
        <v>28</v>
      </c>
      <c r="B46" s="76" t="str">
        <f>'DATA SISWA'!C32</f>
        <v>RAIHAN</v>
      </c>
      <c r="C46" s="65"/>
      <c r="D46" s="65"/>
      <c r="E46" s="65"/>
      <c r="F46" s="66"/>
      <c r="G46" s="65"/>
      <c r="H46" s="65"/>
      <c r="I46" s="65"/>
      <c r="J46" s="67">
        <f t="shared" si="10"/>
        <v>0</v>
      </c>
      <c r="K46" s="68">
        <f t="shared" si="11"/>
        <v>0</v>
      </c>
      <c r="L46" s="68">
        <f t="shared" si="12"/>
        <v>0</v>
      </c>
      <c r="M46" s="69" t="str">
        <f t="shared" si="0"/>
        <v>D</v>
      </c>
      <c r="N46" s="70" t="str">
        <f>IF(L46="  ","  ",IF(L46&gt;=menu!$D$19,"Tuntas","Tidak Tuntas"))</f>
        <v>Tuntas</v>
      </c>
      <c r="O46" s="65"/>
      <c r="P46" s="65"/>
      <c r="Q46" s="65"/>
      <c r="R46" s="66"/>
      <c r="S46" s="65"/>
      <c r="T46" s="65"/>
      <c r="U46" s="65"/>
      <c r="V46" s="67">
        <f t="shared" si="13"/>
        <v>0</v>
      </c>
      <c r="W46" s="68">
        <f t="shared" si="14"/>
        <v>0</v>
      </c>
      <c r="X46" s="68">
        <f t="shared" si="15"/>
        <v>0</v>
      </c>
      <c r="Y46" s="69" t="str">
        <f t="shared" si="1"/>
        <v>D</v>
      </c>
      <c r="Z46" s="70" t="str">
        <f>IF(X46="  ","  ",IF(X46&gt;=menu!$D$19,"Tuntas","Tidak Tuntas"))</f>
        <v>Tuntas</v>
      </c>
      <c r="AA46" s="65"/>
      <c r="AB46" s="65"/>
      <c r="AC46" s="65"/>
      <c r="AD46" s="66"/>
      <c r="AE46" s="65"/>
      <c r="AF46" s="65"/>
      <c r="AG46" s="65"/>
      <c r="AH46" s="67">
        <f t="shared" si="16"/>
        <v>0</v>
      </c>
      <c r="AI46" s="68">
        <f t="shared" si="17"/>
        <v>0</v>
      </c>
      <c r="AJ46" s="68">
        <f t="shared" si="18"/>
        <v>0</v>
      </c>
      <c r="AK46" s="69" t="str">
        <f t="shared" si="2"/>
        <v>D</v>
      </c>
      <c r="AL46" s="70" t="str">
        <f>IF(AJ46="  ","  ",IF(AJ46&gt;=menu!$D$19,"Tuntas","Tidak Tuntas"))</f>
        <v>Tuntas</v>
      </c>
      <c r="AM46" s="65"/>
      <c r="AN46" s="65"/>
      <c r="AO46" s="65"/>
      <c r="AP46" s="66"/>
      <c r="AQ46" s="65"/>
      <c r="AR46" s="65"/>
      <c r="AS46" s="65"/>
      <c r="AT46" s="67">
        <f t="shared" si="19"/>
        <v>0</v>
      </c>
      <c r="AU46" s="68">
        <f t="shared" si="20"/>
        <v>0</v>
      </c>
      <c r="AV46" s="68">
        <f t="shared" si="21"/>
        <v>0</v>
      </c>
      <c r="AW46" s="69" t="str">
        <f t="shared" si="3"/>
        <v>D</v>
      </c>
      <c r="AX46" s="70" t="str">
        <f>IF(AV46="  ","  ",IF(AV46&gt;=menu!$D$19,"Tuntas","Tidak Tuntas"))</f>
        <v>Tuntas</v>
      </c>
      <c r="AY46" s="65"/>
      <c r="AZ46" s="65"/>
      <c r="BA46" s="65"/>
      <c r="BB46" s="66"/>
      <c r="BC46" s="65"/>
      <c r="BD46" s="65"/>
      <c r="BE46" s="65"/>
      <c r="BF46" s="67">
        <f t="shared" si="22"/>
        <v>0</v>
      </c>
      <c r="BG46" s="68">
        <f t="shared" si="23"/>
        <v>0</v>
      </c>
      <c r="BH46" s="68">
        <f t="shared" si="24"/>
        <v>0</v>
      </c>
      <c r="BI46" s="69" t="str">
        <f t="shared" si="4"/>
        <v>D</v>
      </c>
      <c r="BJ46" s="70" t="str">
        <f>IF(BH46="  ","  ",IF(BH46&gt;=menu!$D$19,"Tuntas","Tidak Tuntas"))</f>
        <v>Tuntas</v>
      </c>
      <c r="BK46" s="65"/>
      <c r="BL46" s="65"/>
      <c r="BM46" s="65"/>
      <c r="BN46" s="66"/>
      <c r="BO46" s="65"/>
      <c r="BP46" s="65"/>
      <c r="BQ46" s="65"/>
      <c r="BR46" s="67">
        <f t="shared" si="25"/>
        <v>0</v>
      </c>
      <c r="BS46" s="68">
        <f t="shared" si="26"/>
        <v>0</v>
      </c>
      <c r="BT46" s="68">
        <f t="shared" si="27"/>
        <v>0</v>
      </c>
      <c r="BU46" s="69" t="str">
        <f t="shared" si="5"/>
        <v>D</v>
      </c>
      <c r="BV46" s="70" t="str">
        <f>IF(BT46="  ","  ",IF(BT46&gt;=menu!$D$19,"Tuntas","Tidak Tuntas"))</f>
        <v>Tuntas</v>
      </c>
      <c r="BW46" s="65"/>
      <c r="BX46" s="65"/>
      <c r="BY46" s="65"/>
      <c r="BZ46" s="66"/>
      <c r="CA46" s="65"/>
      <c r="CB46" s="65"/>
      <c r="CC46" s="65"/>
      <c r="CD46" s="67">
        <f t="shared" si="28"/>
        <v>0</v>
      </c>
      <c r="CE46" s="68">
        <f t="shared" si="29"/>
        <v>0</v>
      </c>
      <c r="CF46" s="68">
        <f t="shared" si="30"/>
        <v>0</v>
      </c>
      <c r="CG46" s="69" t="str">
        <f t="shared" si="6"/>
        <v>D</v>
      </c>
      <c r="CH46" s="70" t="str">
        <f>IF(CF46="  ","  ",IF(CF46&gt;=menu!$D$19,"Tuntas","Tidak Tuntas"))</f>
        <v>Tuntas</v>
      </c>
      <c r="CI46" s="65"/>
      <c r="CJ46" s="65"/>
      <c r="CK46" s="65"/>
      <c r="CL46" s="66"/>
      <c r="CM46" s="65"/>
      <c r="CN46" s="65"/>
      <c r="CO46" s="65"/>
      <c r="CP46" s="67">
        <f t="shared" si="31"/>
        <v>0</v>
      </c>
      <c r="CQ46" s="68">
        <f t="shared" si="32"/>
        <v>0</v>
      </c>
      <c r="CR46" s="68">
        <f t="shared" si="33"/>
        <v>0</v>
      </c>
      <c r="CS46" s="69" t="str">
        <f t="shared" si="7"/>
        <v>D</v>
      </c>
      <c r="CT46" s="70" t="str">
        <f>IF(CR46="  ","  ",IF(CR46&gt;=menu!$D$19,"Tuntas","Tidak Tuntas"))</f>
        <v>Tuntas</v>
      </c>
      <c r="CU46" s="65"/>
      <c r="CV46" s="65"/>
      <c r="CW46" s="65"/>
      <c r="CX46" s="66"/>
      <c r="CY46" s="65"/>
      <c r="CZ46" s="65"/>
      <c r="DA46" s="65"/>
      <c r="DB46" s="67">
        <f t="shared" si="34"/>
        <v>0</v>
      </c>
      <c r="DC46" s="68">
        <f t="shared" si="35"/>
        <v>0</v>
      </c>
      <c r="DD46" s="68">
        <f t="shared" si="36"/>
        <v>0</v>
      </c>
      <c r="DE46" s="69" t="str">
        <f t="shared" si="8"/>
        <v>D</v>
      </c>
      <c r="DF46" s="70" t="str">
        <f>IF(DD46="  ","  ",IF(DD46&gt;=menu!$D$19,"Tuntas","Tidak Tuntas"))</f>
        <v>Tuntas</v>
      </c>
      <c r="DG46" s="65"/>
      <c r="DH46" s="65"/>
      <c r="DI46" s="65"/>
      <c r="DJ46" s="66"/>
      <c r="DK46" s="65"/>
      <c r="DL46" s="65"/>
      <c r="DM46" s="65"/>
      <c r="DN46" s="67">
        <f t="shared" si="37"/>
        <v>0</v>
      </c>
      <c r="DO46" s="68">
        <f t="shared" si="38"/>
        <v>0</v>
      </c>
      <c r="DP46" s="68">
        <f t="shared" si="39"/>
        <v>0</v>
      </c>
      <c r="DQ46" s="69" t="str">
        <f t="shared" si="9"/>
        <v>D</v>
      </c>
      <c r="DR46" s="70" t="str">
        <f>IF(DP46="  ","  ",IF(DP46&gt;=menu!$D$19,"Tuntas","Tidak Tuntas"))</f>
        <v>Tuntas</v>
      </c>
    </row>
    <row r="47" spans="1:122">
      <c r="A47" s="64">
        <f>'DATA SISWA'!A33</f>
        <v>29</v>
      </c>
      <c r="B47" s="76" t="str">
        <f>'DATA SISWA'!C33</f>
        <v>REFITA ANNASTASYA</v>
      </c>
      <c r="C47" s="65"/>
      <c r="D47" s="65"/>
      <c r="E47" s="65"/>
      <c r="F47" s="66"/>
      <c r="G47" s="65"/>
      <c r="H47" s="65"/>
      <c r="I47" s="65"/>
      <c r="J47" s="67">
        <f t="shared" si="10"/>
        <v>0</v>
      </c>
      <c r="K47" s="68">
        <f t="shared" si="11"/>
        <v>0</v>
      </c>
      <c r="L47" s="68">
        <f t="shared" si="12"/>
        <v>0</v>
      </c>
      <c r="M47" s="69" t="str">
        <f t="shared" si="0"/>
        <v>D</v>
      </c>
      <c r="N47" s="70" t="str">
        <f>IF(L47="  ","  ",IF(L47&gt;=menu!$D$19,"Tuntas","Tidak Tuntas"))</f>
        <v>Tuntas</v>
      </c>
      <c r="O47" s="65"/>
      <c r="P47" s="65"/>
      <c r="Q47" s="65"/>
      <c r="R47" s="66"/>
      <c r="S47" s="65"/>
      <c r="T47" s="65"/>
      <c r="U47" s="65"/>
      <c r="V47" s="67">
        <f t="shared" si="13"/>
        <v>0</v>
      </c>
      <c r="W47" s="68">
        <f t="shared" si="14"/>
        <v>0</v>
      </c>
      <c r="X47" s="68">
        <f t="shared" si="15"/>
        <v>0</v>
      </c>
      <c r="Y47" s="69" t="str">
        <f t="shared" si="1"/>
        <v>D</v>
      </c>
      <c r="Z47" s="70" t="str">
        <f>IF(X47="  ","  ",IF(X47&gt;=menu!$D$19,"Tuntas","Tidak Tuntas"))</f>
        <v>Tuntas</v>
      </c>
      <c r="AA47" s="65"/>
      <c r="AB47" s="65"/>
      <c r="AC47" s="65"/>
      <c r="AD47" s="66"/>
      <c r="AE47" s="65"/>
      <c r="AF47" s="65"/>
      <c r="AG47" s="65"/>
      <c r="AH47" s="67">
        <f t="shared" si="16"/>
        <v>0</v>
      </c>
      <c r="AI47" s="68">
        <f t="shared" si="17"/>
        <v>0</v>
      </c>
      <c r="AJ47" s="68">
        <f t="shared" si="18"/>
        <v>0</v>
      </c>
      <c r="AK47" s="69" t="str">
        <f t="shared" si="2"/>
        <v>D</v>
      </c>
      <c r="AL47" s="70" t="str">
        <f>IF(AJ47="  ","  ",IF(AJ47&gt;=menu!$D$19,"Tuntas","Tidak Tuntas"))</f>
        <v>Tuntas</v>
      </c>
      <c r="AM47" s="65"/>
      <c r="AN47" s="65"/>
      <c r="AO47" s="65"/>
      <c r="AP47" s="66"/>
      <c r="AQ47" s="65"/>
      <c r="AR47" s="65"/>
      <c r="AS47" s="65"/>
      <c r="AT47" s="67">
        <f t="shared" si="19"/>
        <v>0</v>
      </c>
      <c r="AU47" s="68">
        <f t="shared" si="20"/>
        <v>0</v>
      </c>
      <c r="AV47" s="68">
        <f t="shared" si="21"/>
        <v>0</v>
      </c>
      <c r="AW47" s="69" t="str">
        <f t="shared" si="3"/>
        <v>D</v>
      </c>
      <c r="AX47" s="70" t="str">
        <f>IF(AV47="  ","  ",IF(AV47&gt;=menu!$D$19,"Tuntas","Tidak Tuntas"))</f>
        <v>Tuntas</v>
      </c>
      <c r="AY47" s="65"/>
      <c r="AZ47" s="65"/>
      <c r="BA47" s="65"/>
      <c r="BB47" s="66"/>
      <c r="BC47" s="65"/>
      <c r="BD47" s="65"/>
      <c r="BE47" s="65"/>
      <c r="BF47" s="67">
        <f t="shared" si="22"/>
        <v>0</v>
      </c>
      <c r="BG47" s="68">
        <f t="shared" si="23"/>
        <v>0</v>
      </c>
      <c r="BH47" s="68">
        <f t="shared" si="24"/>
        <v>0</v>
      </c>
      <c r="BI47" s="69" t="str">
        <f t="shared" si="4"/>
        <v>D</v>
      </c>
      <c r="BJ47" s="70" t="str">
        <f>IF(BH47="  ","  ",IF(BH47&gt;=menu!$D$19,"Tuntas","Tidak Tuntas"))</f>
        <v>Tuntas</v>
      </c>
      <c r="BK47" s="65"/>
      <c r="BL47" s="65"/>
      <c r="BM47" s="65"/>
      <c r="BN47" s="66"/>
      <c r="BO47" s="65"/>
      <c r="BP47" s="65"/>
      <c r="BQ47" s="65"/>
      <c r="BR47" s="67">
        <f t="shared" si="25"/>
        <v>0</v>
      </c>
      <c r="BS47" s="68">
        <f t="shared" si="26"/>
        <v>0</v>
      </c>
      <c r="BT47" s="68">
        <f t="shared" si="27"/>
        <v>0</v>
      </c>
      <c r="BU47" s="69" t="str">
        <f t="shared" si="5"/>
        <v>D</v>
      </c>
      <c r="BV47" s="70" t="str">
        <f>IF(BT47="  ","  ",IF(BT47&gt;=menu!$D$19,"Tuntas","Tidak Tuntas"))</f>
        <v>Tuntas</v>
      </c>
      <c r="BW47" s="65"/>
      <c r="BX47" s="65"/>
      <c r="BY47" s="65"/>
      <c r="BZ47" s="66"/>
      <c r="CA47" s="65"/>
      <c r="CB47" s="65"/>
      <c r="CC47" s="65"/>
      <c r="CD47" s="67">
        <f t="shared" si="28"/>
        <v>0</v>
      </c>
      <c r="CE47" s="68">
        <f t="shared" si="29"/>
        <v>0</v>
      </c>
      <c r="CF47" s="68">
        <f t="shared" si="30"/>
        <v>0</v>
      </c>
      <c r="CG47" s="69" t="str">
        <f t="shared" si="6"/>
        <v>D</v>
      </c>
      <c r="CH47" s="70" t="str">
        <f>IF(CF47="  ","  ",IF(CF47&gt;=menu!$D$19,"Tuntas","Tidak Tuntas"))</f>
        <v>Tuntas</v>
      </c>
      <c r="CI47" s="65"/>
      <c r="CJ47" s="65"/>
      <c r="CK47" s="65"/>
      <c r="CL47" s="66"/>
      <c r="CM47" s="65"/>
      <c r="CN47" s="65"/>
      <c r="CO47" s="65"/>
      <c r="CP47" s="67">
        <f t="shared" si="31"/>
        <v>0</v>
      </c>
      <c r="CQ47" s="68">
        <f t="shared" si="32"/>
        <v>0</v>
      </c>
      <c r="CR47" s="68">
        <f t="shared" si="33"/>
        <v>0</v>
      </c>
      <c r="CS47" s="69" t="str">
        <f t="shared" si="7"/>
        <v>D</v>
      </c>
      <c r="CT47" s="70" t="str">
        <f>IF(CR47="  ","  ",IF(CR47&gt;=menu!$D$19,"Tuntas","Tidak Tuntas"))</f>
        <v>Tuntas</v>
      </c>
      <c r="CU47" s="65"/>
      <c r="CV47" s="65"/>
      <c r="CW47" s="65"/>
      <c r="CX47" s="66"/>
      <c r="CY47" s="65"/>
      <c r="CZ47" s="65"/>
      <c r="DA47" s="65"/>
      <c r="DB47" s="67">
        <f t="shared" si="34"/>
        <v>0</v>
      </c>
      <c r="DC47" s="68">
        <f t="shared" si="35"/>
        <v>0</v>
      </c>
      <c r="DD47" s="68">
        <f t="shared" si="36"/>
        <v>0</v>
      </c>
      <c r="DE47" s="69" t="str">
        <f t="shared" si="8"/>
        <v>D</v>
      </c>
      <c r="DF47" s="70" t="str">
        <f>IF(DD47="  ","  ",IF(DD47&gt;=menu!$D$19,"Tuntas","Tidak Tuntas"))</f>
        <v>Tuntas</v>
      </c>
      <c r="DG47" s="65"/>
      <c r="DH47" s="65"/>
      <c r="DI47" s="65"/>
      <c r="DJ47" s="66"/>
      <c r="DK47" s="65"/>
      <c r="DL47" s="65"/>
      <c r="DM47" s="65"/>
      <c r="DN47" s="67">
        <f t="shared" si="37"/>
        <v>0</v>
      </c>
      <c r="DO47" s="68">
        <f t="shared" si="38"/>
        <v>0</v>
      </c>
      <c r="DP47" s="68">
        <f t="shared" si="39"/>
        <v>0</v>
      </c>
      <c r="DQ47" s="69" t="str">
        <f t="shared" si="9"/>
        <v>D</v>
      </c>
      <c r="DR47" s="70" t="str">
        <f>IF(DP47="  ","  ",IF(DP47&gt;=menu!$D$19,"Tuntas","Tidak Tuntas"))</f>
        <v>Tuntas</v>
      </c>
    </row>
    <row r="48" spans="1:122">
      <c r="A48" s="64">
        <f>'DATA SISWA'!A34</f>
        <v>30</v>
      </c>
      <c r="B48" s="76" t="str">
        <f>'DATA SISWA'!C34</f>
        <v>RISKIYAH</v>
      </c>
      <c r="C48" s="65"/>
      <c r="D48" s="65"/>
      <c r="E48" s="65"/>
      <c r="F48" s="66"/>
      <c r="G48" s="65"/>
      <c r="H48" s="65"/>
      <c r="I48" s="65"/>
      <c r="J48" s="67">
        <f t="shared" si="10"/>
        <v>0</v>
      </c>
      <c r="K48" s="68">
        <f t="shared" si="11"/>
        <v>0</v>
      </c>
      <c r="L48" s="68">
        <f t="shared" si="12"/>
        <v>0</v>
      </c>
      <c r="M48" s="69" t="str">
        <f t="shared" si="0"/>
        <v>D</v>
      </c>
      <c r="N48" s="70" t="str">
        <f>IF(L48="  ","  ",IF(L48&gt;=menu!$D$19,"Tuntas","Tidak Tuntas"))</f>
        <v>Tuntas</v>
      </c>
      <c r="O48" s="65"/>
      <c r="P48" s="65"/>
      <c r="Q48" s="65"/>
      <c r="R48" s="66"/>
      <c r="S48" s="65"/>
      <c r="T48" s="65"/>
      <c r="U48" s="65"/>
      <c r="V48" s="67">
        <f t="shared" si="13"/>
        <v>0</v>
      </c>
      <c r="W48" s="68">
        <f t="shared" si="14"/>
        <v>0</v>
      </c>
      <c r="X48" s="68">
        <f t="shared" si="15"/>
        <v>0</v>
      </c>
      <c r="Y48" s="69" t="str">
        <f t="shared" si="1"/>
        <v>D</v>
      </c>
      <c r="Z48" s="70" t="str">
        <f>IF(X48="  ","  ",IF(X48&gt;=menu!$D$19,"Tuntas","Tidak Tuntas"))</f>
        <v>Tuntas</v>
      </c>
      <c r="AA48" s="65"/>
      <c r="AB48" s="65"/>
      <c r="AC48" s="65"/>
      <c r="AD48" s="66"/>
      <c r="AE48" s="65"/>
      <c r="AF48" s="65"/>
      <c r="AG48" s="65"/>
      <c r="AH48" s="67">
        <f t="shared" si="16"/>
        <v>0</v>
      </c>
      <c r="AI48" s="68">
        <f t="shared" si="17"/>
        <v>0</v>
      </c>
      <c r="AJ48" s="68">
        <f t="shared" si="18"/>
        <v>0</v>
      </c>
      <c r="AK48" s="69" t="str">
        <f t="shared" si="2"/>
        <v>D</v>
      </c>
      <c r="AL48" s="70" t="str">
        <f>IF(AJ48="  ","  ",IF(AJ48&gt;=menu!$D$19,"Tuntas","Tidak Tuntas"))</f>
        <v>Tuntas</v>
      </c>
      <c r="AM48" s="65"/>
      <c r="AN48" s="65"/>
      <c r="AO48" s="65"/>
      <c r="AP48" s="66"/>
      <c r="AQ48" s="65"/>
      <c r="AR48" s="65"/>
      <c r="AS48" s="65"/>
      <c r="AT48" s="67">
        <f t="shared" si="19"/>
        <v>0</v>
      </c>
      <c r="AU48" s="68">
        <f t="shared" si="20"/>
        <v>0</v>
      </c>
      <c r="AV48" s="68">
        <f t="shared" si="21"/>
        <v>0</v>
      </c>
      <c r="AW48" s="69" t="str">
        <f t="shared" si="3"/>
        <v>D</v>
      </c>
      <c r="AX48" s="70" t="str">
        <f>IF(AV48="  ","  ",IF(AV48&gt;=menu!$D$19,"Tuntas","Tidak Tuntas"))</f>
        <v>Tuntas</v>
      </c>
      <c r="AY48" s="65"/>
      <c r="AZ48" s="65"/>
      <c r="BA48" s="65"/>
      <c r="BB48" s="66"/>
      <c r="BC48" s="65"/>
      <c r="BD48" s="65"/>
      <c r="BE48" s="65"/>
      <c r="BF48" s="67">
        <f t="shared" si="22"/>
        <v>0</v>
      </c>
      <c r="BG48" s="68">
        <f t="shared" si="23"/>
        <v>0</v>
      </c>
      <c r="BH48" s="68">
        <f t="shared" si="24"/>
        <v>0</v>
      </c>
      <c r="BI48" s="69" t="str">
        <f t="shared" si="4"/>
        <v>D</v>
      </c>
      <c r="BJ48" s="70" t="str">
        <f>IF(BH48="  ","  ",IF(BH48&gt;=menu!$D$19,"Tuntas","Tidak Tuntas"))</f>
        <v>Tuntas</v>
      </c>
      <c r="BK48" s="65"/>
      <c r="BL48" s="65"/>
      <c r="BM48" s="65"/>
      <c r="BN48" s="66"/>
      <c r="BO48" s="65"/>
      <c r="BP48" s="65"/>
      <c r="BQ48" s="65"/>
      <c r="BR48" s="67">
        <f t="shared" si="25"/>
        <v>0</v>
      </c>
      <c r="BS48" s="68">
        <f t="shared" si="26"/>
        <v>0</v>
      </c>
      <c r="BT48" s="68">
        <f t="shared" si="27"/>
        <v>0</v>
      </c>
      <c r="BU48" s="69" t="str">
        <f t="shared" si="5"/>
        <v>D</v>
      </c>
      <c r="BV48" s="70" t="str">
        <f>IF(BT48="  ","  ",IF(BT48&gt;=menu!$D$19,"Tuntas","Tidak Tuntas"))</f>
        <v>Tuntas</v>
      </c>
      <c r="BW48" s="65"/>
      <c r="BX48" s="65"/>
      <c r="BY48" s="65"/>
      <c r="BZ48" s="66"/>
      <c r="CA48" s="65"/>
      <c r="CB48" s="65"/>
      <c r="CC48" s="65"/>
      <c r="CD48" s="67">
        <f t="shared" si="28"/>
        <v>0</v>
      </c>
      <c r="CE48" s="68">
        <f t="shared" si="29"/>
        <v>0</v>
      </c>
      <c r="CF48" s="68">
        <f t="shared" si="30"/>
        <v>0</v>
      </c>
      <c r="CG48" s="69" t="str">
        <f t="shared" si="6"/>
        <v>D</v>
      </c>
      <c r="CH48" s="70" t="str">
        <f>IF(CF48="  ","  ",IF(CF48&gt;=menu!$D$19,"Tuntas","Tidak Tuntas"))</f>
        <v>Tuntas</v>
      </c>
      <c r="CI48" s="65"/>
      <c r="CJ48" s="65"/>
      <c r="CK48" s="65"/>
      <c r="CL48" s="66"/>
      <c r="CM48" s="65"/>
      <c r="CN48" s="65"/>
      <c r="CO48" s="65"/>
      <c r="CP48" s="67">
        <f t="shared" si="31"/>
        <v>0</v>
      </c>
      <c r="CQ48" s="68">
        <f t="shared" si="32"/>
        <v>0</v>
      </c>
      <c r="CR48" s="68">
        <f t="shared" si="33"/>
        <v>0</v>
      </c>
      <c r="CS48" s="69" t="str">
        <f t="shared" si="7"/>
        <v>D</v>
      </c>
      <c r="CT48" s="70" t="str">
        <f>IF(CR48="  ","  ",IF(CR48&gt;=menu!$D$19,"Tuntas","Tidak Tuntas"))</f>
        <v>Tuntas</v>
      </c>
      <c r="CU48" s="65"/>
      <c r="CV48" s="65"/>
      <c r="CW48" s="65"/>
      <c r="CX48" s="66"/>
      <c r="CY48" s="65"/>
      <c r="CZ48" s="65"/>
      <c r="DA48" s="65"/>
      <c r="DB48" s="67">
        <f t="shared" si="34"/>
        <v>0</v>
      </c>
      <c r="DC48" s="68">
        <f t="shared" si="35"/>
        <v>0</v>
      </c>
      <c r="DD48" s="68">
        <f t="shared" si="36"/>
        <v>0</v>
      </c>
      <c r="DE48" s="69" t="str">
        <f t="shared" si="8"/>
        <v>D</v>
      </c>
      <c r="DF48" s="70" t="str">
        <f>IF(DD48="  ","  ",IF(DD48&gt;=menu!$D$19,"Tuntas","Tidak Tuntas"))</f>
        <v>Tuntas</v>
      </c>
      <c r="DG48" s="65"/>
      <c r="DH48" s="65"/>
      <c r="DI48" s="65"/>
      <c r="DJ48" s="66"/>
      <c r="DK48" s="65"/>
      <c r="DL48" s="65"/>
      <c r="DM48" s="65"/>
      <c r="DN48" s="67">
        <f t="shared" si="37"/>
        <v>0</v>
      </c>
      <c r="DO48" s="68">
        <f t="shared" si="38"/>
        <v>0</v>
      </c>
      <c r="DP48" s="68">
        <f t="shared" si="39"/>
        <v>0</v>
      </c>
      <c r="DQ48" s="69" t="str">
        <f t="shared" si="9"/>
        <v>D</v>
      </c>
      <c r="DR48" s="70" t="str">
        <f>IF(DP48="  ","  ",IF(DP48&gt;=menu!$D$19,"Tuntas","Tidak Tuntas"))</f>
        <v>Tuntas</v>
      </c>
    </row>
    <row r="49" spans="1:122">
      <c r="A49" s="64">
        <f>'DATA SISWA'!A35</f>
        <v>31</v>
      </c>
      <c r="B49" s="76" t="str">
        <f>'DATA SISWA'!C35</f>
        <v>SALILATUL HUSNA</v>
      </c>
      <c r="C49" s="65"/>
      <c r="D49" s="65"/>
      <c r="E49" s="65"/>
      <c r="F49" s="66"/>
      <c r="G49" s="65"/>
      <c r="H49" s="65"/>
      <c r="I49" s="65"/>
      <c r="J49" s="67">
        <f t="shared" si="10"/>
        <v>0</v>
      </c>
      <c r="K49" s="68">
        <f t="shared" si="11"/>
        <v>0</v>
      </c>
      <c r="L49" s="68">
        <f t="shared" si="12"/>
        <v>0</v>
      </c>
      <c r="M49" s="69" t="str">
        <f t="shared" si="0"/>
        <v>D</v>
      </c>
      <c r="N49" s="70" t="str">
        <f>IF(L49="  ","  ",IF(L49&gt;=menu!$D$19,"Tuntas","Tidak Tuntas"))</f>
        <v>Tuntas</v>
      </c>
      <c r="O49" s="65"/>
      <c r="P49" s="65"/>
      <c r="Q49" s="65"/>
      <c r="R49" s="66"/>
      <c r="S49" s="65"/>
      <c r="T49" s="65"/>
      <c r="U49" s="65"/>
      <c r="V49" s="67">
        <f t="shared" si="13"/>
        <v>0</v>
      </c>
      <c r="W49" s="68">
        <f t="shared" si="14"/>
        <v>0</v>
      </c>
      <c r="X49" s="68">
        <f t="shared" si="15"/>
        <v>0</v>
      </c>
      <c r="Y49" s="69" t="str">
        <f t="shared" si="1"/>
        <v>D</v>
      </c>
      <c r="Z49" s="70" t="str">
        <f>IF(X49="  ","  ",IF(X49&gt;=menu!$D$19,"Tuntas","Tidak Tuntas"))</f>
        <v>Tuntas</v>
      </c>
      <c r="AA49" s="65"/>
      <c r="AB49" s="65"/>
      <c r="AC49" s="65"/>
      <c r="AD49" s="66"/>
      <c r="AE49" s="65"/>
      <c r="AF49" s="65"/>
      <c r="AG49" s="65"/>
      <c r="AH49" s="67">
        <f t="shared" si="16"/>
        <v>0</v>
      </c>
      <c r="AI49" s="68">
        <f t="shared" si="17"/>
        <v>0</v>
      </c>
      <c r="AJ49" s="68">
        <f t="shared" si="18"/>
        <v>0</v>
      </c>
      <c r="AK49" s="69" t="str">
        <f t="shared" si="2"/>
        <v>D</v>
      </c>
      <c r="AL49" s="70" t="str">
        <f>IF(AJ49="  ","  ",IF(AJ49&gt;=menu!$D$19,"Tuntas","Tidak Tuntas"))</f>
        <v>Tuntas</v>
      </c>
      <c r="AM49" s="65"/>
      <c r="AN49" s="65"/>
      <c r="AO49" s="65"/>
      <c r="AP49" s="66"/>
      <c r="AQ49" s="65"/>
      <c r="AR49" s="65"/>
      <c r="AS49" s="65"/>
      <c r="AT49" s="67">
        <f t="shared" si="19"/>
        <v>0</v>
      </c>
      <c r="AU49" s="68">
        <f t="shared" si="20"/>
        <v>0</v>
      </c>
      <c r="AV49" s="68">
        <f t="shared" si="21"/>
        <v>0</v>
      </c>
      <c r="AW49" s="69" t="str">
        <f t="shared" si="3"/>
        <v>D</v>
      </c>
      <c r="AX49" s="70" t="str">
        <f>IF(AV49="  ","  ",IF(AV49&gt;=menu!$D$19,"Tuntas","Tidak Tuntas"))</f>
        <v>Tuntas</v>
      </c>
      <c r="AY49" s="65"/>
      <c r="AZ49" s="65"/>
      <c r="BA49" s="65"/>
      <c r="BB49" s="66"/>
      <c r="BC49" s="65"/>
      <c r="BD49" s="65"/>
      <c r="BE49" s="65"/>
      <c r="BF49" s="67">
        <f t="shared" si="22"/>
        <v>0</v>
      </c>
      <c r="BG49" s="68">
        <f t="shared" si="23"/>
        <v>0</v>
      </c>
      <c r="BH49" s="68">
        <f t="shared" si="24"/>
        <v>0</v>
      </c>
      <c r="BI49" s="69" t="str">
        <f t="shared" si="4"/>
        <v>D</v>
      </c>
      <c r="BJ49" s="70" t="str">
        <f>IF(BH49="  ","  ",IF(BH49&gt;=menu!$D$19,"Tuntas","Tidak Tuntas"))</f>
        <v>Tuntas</v>
      </c>
      <c r="BK49" s="65"/>
      <c r="BL49" s="65"/>
      <c r="BM49" s="65"/>
      <c r="BN49" s="66"/>
      <c r="BO49" s="65"/>
      <c r="BP49" s="65"/>
      <c r="BQ49" s="65"/>
      <c r="BR49" s="67">
        <f t="shared" si="25"/>
        <v>0</v>
      </c>
      <c r="BS49" s="68">
        <f t="shared" si="26"/>
        <v>0</v>
      </c>
      <c r="BT49" s="68">
        <f t="shared" si="27"/>
        <v>0</v>
      </c>
      <c r="BU49" s="69" t="str">
        <f t="shared" si="5"/>
        <v>D</v>
      </c>
      <c r="BV49" s="70" t="str">
        <f>IF(BT49="  ","  ",IF(BT49&gt;=menu!$D$19,"Tuntas","Tidak Tuntas"))</f>
        <v>Tuntas</v>
      </c>
      <c r="BW49" s="65"/>
      <c r="BX49" s="65"/>
      <c r="BY49" s="65"/>
      <c r="BZ49" s="66"/>
      <c r="CA49" s="65"/>
      <c r="CB49" s="65"/>
      <c r="CC49" s="65"/>
      <c r="CD49" s="67">
        <f t="shared" si="28"/>
        <v>0</v>
      </c>
      <c r="CE49" s="68">
        <f t="shared" si="29"/>
        <v>0</v>
      </c>
      <c r="CF49" s="68">
        <f t="shared" si="30"/>
        <v>0</v>
      </c>
      <c r="CG49" s="69" t="str">
        <f t="shared" si="6"/>
        <v>D</v>
      </c>
      <c r="CH49" s="70" t="str">
        <f>IF(CF49="  ","  ",IF(CF49&gt;=menu!$D$19,"Tuntas","Tidak Tuntas"))</f>
        <v>Tuntas</v>
      </c>
      <c r="CI49" s="65"/>
      <c r="CJ49" s="65"/>
      <c r="CK49" s="65"/>
      <c r="CL49" s="66"/>
      <c r="CM49" s="65"/>
      <c r="CN49" s="65"/>
      <c r="CO49" s="65"/>
      <c r="CP49" s="67">
        <f t="shared" si="31"/>
        <v>0</v>
      </c>
      <c r="CQ49" s="68">
        <f t="shared" si="32"/>
        <v>0</v>
      </c>
      <c r="CR49" s="68">
        <f t="shared" si="33"/>
        <v>0</v>
      </c>
      <c r="CS49" s="69" t="str">
        <f t="shared" si="7"/>
        <v>D</v>
      </c>
      <c r="CT49" s="70" t="str">
        <f>IF(CR49="  ","  ",IF(CR49&gt;=menu!$D$19,"Tuntas","Tidak Tuntas"))</f>
        <v>Tuntas</v>
      </c>
      <c r="CU49" s="65"/>
      <c r="CV49" s="65"/>
      <c r="CW49" s="65"/>
      <c r="CX49" s="66"/>
      <c r="CY49" s="65"/>
      <c r="CZ49" s="65"/>
      <c r="DA49" s="65"/>
      <c r="DB49" s="67">
        <f t="shared" si="34"/>
        <v>0</v>
      </c>
      <c r="DC49" s="68">
        <f t="shared" si="35"/>
        <v>0</v>
      </c>
      <c r="DD49" s="68">
        <f t="shared" si="36"/>
        <v>0</v>
      </c>
      <c r="DE49" s="69" t="str">
        <f t="shared" si="8"/>
        <v>D</v>
      </c>
      <c r="DF49" s="70" t="str">
        <f>IF(DD49="  ","  ",IF(DD49&gt;=menu!$D$19,"Tuntas","Tidak Tuntas"))</f>
        <v>Tuntas</v>
      </c>
      <c r="DG49" s="65"/>
      <c r="DH49" s="65"/>
      <c r="DI49" s="65"/>
      <c r="DJ49" s="66"/>
      <c r="DK49" s="65"/>
      <c r="DL49" s="65"/>
      <c r="DM49" s="65"/>
      <c r="DN49" s="67">
        <f t="shared" si="37"/>
        <v>0</v>
      </c>
      <c r="DO49" s="68">
        <f t="shared" si="38"/>
        <v>0</v>
      </c>
      <c r="DP49" s="68">
        <f t="shared" si="39"/>
        <v>0</v>
      </c>
      <c r="DQ49" s="69" t="str">
        <f t="shared" si="9"/>
        <v>D</v>
      </c>
      <c r="DR49" s="70" t="str">
        <f>IF(DP49="  ","  ",IF(DP49&gt;=menu!$D$19,"Tuntas","Tidak Tuntas"))</f>
        <v>Tuntas</v>
      </c>
    </row>
    <row r="50" spans="1:122">
      <c r="A50" s="64">
        <f>'DATA SISWA'!A36</f>
        <v>32</v>
      </c>
      <c r="B50" s="76" t="str">
        <f>'DATA SISWA'!C36</f>
        <v>SALMA NABILA</v>
      </c>
      <c r="C50" s="65"/>
      <c r="D50" s="65"/>
      <c r="E50" s="65"/>
      <c r="F50" s="66"/>
      <c r="G50" s="65"/>
      <c r="H50" s="65"/>
      <c r="I50" s="65"/>
      <c r="J50" s="67">
        <f t="shared" si="10"/>
        <v>0</v>
      </c>
      <c r="K50" s="68">
        <f t="shared" si="11"/>
        <v>0</v>
      </c>
      <c r="L50" s="68">
        <f t="shared" si="12"/>
        <v>0</v>
      </c>
      <c r="M50" s="69" t="str">
        <f t="shared" si="0"/>
        <v>D</v>
      </c>
      <c r="N50" s="70" t="str">
        <f>IF(L50="  ","  ",IF(L50&gt;=menu!$D$19,"Tuntas","Tidak Tuntas"))</f>
        <v>Tuntas</v>
      </c>
      <c r="O50" s="65"/>
      <c r="P50" s="65"/>
      <c r="Q50" s="65"/>
      <c r="R50" s="66"/>
      <c r="S50" s="65"/>
      <c r="T50" s="65"/>
      <c r="U50" s="65"/>
      <c r="V50" s="67">
        <f t="shared" si="13"/>
        <v>0</v>
      </c>
      <c r="W50" s="68">
        <f t="shared" si="14"/>
        <v>0</v>
      </c>
      <c r="X50" s="68">
        <f t="shared" si="15"/>
        <v>0</v>
      </c>
      <c r="Y50" s="69" t="str">
        <f t="shared" si="1"/>
        <v>D</v>
      </c>
      <c r="Z50" s="70" t="str">
        <f>IF(X50="  ","  ",IF(X50&gt;=menu!$D$19,"Tuntas","Tidak Tuntas"))</f>
        <v>Tuntas</v>
      </c>
      <c r="AA50" s="65"/>
      <c r="AB50" s="65"/>
      <c r="AC50" s="65"/>
      <c r="AD50" s="66"/>
      <c r="AE50" s="65"/>
      <c r="AF50" s="65"/>
      <c r="AG50" s="65"/>
      <c r="AH50" s="67">
        <f t="shared" si="16"/>
        <v>0</v>
      </c>
      <c r="AI50" s="68">
        <f t="shared" si="17"/>
        <v>0</v>
      </c>
      <c r="AJ50" s="68">
        <f t="shared" si="18"/>
        <v>0</v>
      </c>
      <c r="AK50" s="69" t="str">
        <f t="shared" si="2"/>
        <v>D</v>
      </c>
      <c r="AL50" s="70" t="str">
        <f>IF(AJ50="  ","  ",IF(AJ50&gt;=menu!$D$19,"Tuntas","Tidak Tuntas"))</f>
        <v>Tuntas</v>
      </c>
      <c r="AM50" s="65"/>
      <c r="AN50" s="65"/>
      <c r="AO50" s="65"/>
      <c r="AP50" s="66"/>
      <c r="AQ50" s="65"/>
      <c r="AR50" s="65"/>
      <c r="AS50" s="65"/>
      <c r="AT50" s="67">
        <f t="shared" si="19"/>
        <v>0</v>
      </c>
      <c r="AU50" s="68">
        <f t="shared" si="20"/>
        <v>0</v>
      </c>
      <c r="AV50" s="68">
        <f t="shared" si="21"/>
        <v>0</v>
      </c>
      <c r="AW50" s="69" t="str">
        <f t="shared" si="3"/>
        <v>D</v>
      </c>
      <c r="AX50" s="70" t="str">
        <f>IF(AV50="  ","  ",IF(AV50&gt;=menu!$D$19,"Tuntas","Tidak Tuntas"))</f>
        <v>Tuntas</v>
      </c>
      <c r="AY50" s="65"/>
      <c r="AZ50" s="65"/>
      <c r="BA50" s="65"/>
      <c r="BB50" s="66"/>
      <c r="BC50" s="65"/>
      <c r="BD50" s="65"/>
      <c r="BE50" s="65"/>
      <c r="BF50" s="67">
        <f t="shared" si="22"/>
        <v>0</v>
      </c>
      <c r="BG50" s="68">
        <f t="shared" si="23"/>
        <v>0</v>
      </c>
      <c r="BH50" s="68">
        <f t="shared" si="24"/>
        <v>0</v>
      </c>
      <c r="BI50" s="69" t="str">
        <f t="shared" si="4"/>
        <v>D</v>
      </c>
      <c r="BJ50" s="70" t="str">
        <f>IF(BH50="  ","  ",IF(BH50&gt;=menu!$D$19,"Tuntas","Tidak Tuntas"))</f>
        <v>Tuntas</v>
      </c>
      <c r="BK50" s="65"/>
      <c r="BL50" s="65"/>
      <c r="BM50" s="65"/>
      <c r="BN50" s="66"/>
      <c r="BO50" s="65"/>
      <c r="BP50" s="65"/>
      <c r="BQ50" s="65"/>
      <c r="BR50" s="67">
        <f t="shared" si="25"/>
        <v>0</v>
      </c>
      <c r="BS50" s="68">
        <f t="shared" si="26"/>
        <v>0</v>
      </c>
      <c r="BT50" s="68">
        <f t="shared" si="27"/>
        <v>0</v>
      </c>
      <c r="BU50" s="69" t="str">
        <f t="shared" si="5"/>
        <v>D</v>
      </c>
      <c r="BV50" s="70" t="str">
        <f>IF(BT50="  ","  ",IF(BT50&gt;=menu!$D$19,"Tuntas","Tidak Tuntas"))</f>
        <v>Tuntas</v>
      </c>
      <c r="BW50" s="65"/>
      <c r="BX50" s="65"/>
      <c r="BY50" s="65"/>
      <c r="BZ50" s="66"/>
      <c r="CA50" s="65"/>
      <c r="CB50" s="65"/>
      <c r="CC50" s="65"/>
      <c r="CD50" s="67">
        <f t="shared" si="28"/>
        <v>0</v>
      </c>
      <c r="CE50" s="68">
        <f t="shared" si="29"/>
        <v>0</v>
      </c>
      <c r="CF50" s="68">
        <f t="shared" si="30"/>
        <v>0</v>
      </c>
      <c r="CG50" s="69" t="str">
        <f t="shared" si="6"/>
        <v>D</v>
      </c>
      <c r="CH50" s="70" t="str">
        <f>IF(CF50="  ","  ",IF(CF50&gt;=menu!$D$19,"Tuntas","Tidak Tuntas"))</f>
        <v>Tuntas</v>
      </c>
      <c r="CI50" s="65"/>
      <c r="CJ50" s="65"/>
      <c r="CK50" s="65"/>
      <c r="CL50" s="66"/>
      <c r="CM50" s="65"/>
      <c r="CN50" s="65"/>
      <c r="CO50" s="65"/>
      <c r="CP50" s="67">
        <f t="shared" si="31"/>
        <v>0</v>
      </c>
      <c r="CQ50" s="68">
        <f t="shared" si="32"/>
        <v>0</v>
      </c>
      <c r="CR50" s="68">
        <f t="shared" si="33"/>
        <v>0</v>
      </c>
      <c r="CS50" s="69" t="str">
        <f t="shared" si="7"/>
        <v>D</v>
      </c>
      <c r="CT50" s="70" t="str">
        <f>IF(CR50="  ","  ",IF(CR50&gt;=menu!$D$19,"Tuntas","Tidak Tuntas"))</f>
        <v>Tuntas</v>
      </c>
      <c r="CU50" s="65"/>
      <c r="CV50" s="65"/>
      <c r="CW50" s="65"/>
      <c r="CX50" s="66"/>
      <c r="CY50" s="65"/>
      <c r="CZ50" s="65"/>
      <c r="DA50" s="65"/>
      <c r="DB50" s="67">
        <f t="shared" si="34"/>
        <v>0</v>
      </c>
      <c r="DC50" s="68">
        <f t="shared" si="35"/>
        <v>0</v>
      </c>
      <c r="DD50" s="68">
        <f t="shared" si="36"/>
        <v>0</v>
      </c>
      <c r="DE50" s="69" t="str">
        <f t="shared" si="8"/>
        <v>D</v>
      </c>
      <c r="DF50" s="70" t="str">
        <f>IF(DD50="  ","  ",IF(DD50&gt;=menu!$D$19,"Tuntas","Tidak Tuntas"))</f>
        <v>Tuntas</v>
      </c>
      <c r="DG50" s="65"/>
      <c r="DH50" s="65"/>
      <c r="DI50" s="65"/>
      <c r="DJ50" s="66"/>
      <c r="DK50" s="65"/>
      <c r="DL50" s="65"/>
      <c r="DM50" s="65"/>
      <c r="DN50" s="67">
        <f t="shared" si="37"/>
        <v>0</v>
      </c>
      <c r="DO50" s="68">
        <f t="shared" si="38"/>
        <v>0</v>
      </c>
      <c r="DP50" s="68">
        <f t="shared" si="39"/>
        <v>0</v>
      </c>
      <c r="DQ50" s="69" t="str">
        <f t="shared" si="9"/>
        <v>D</v>
      </c>
      <c r="DR50" s="70" t="str">
        <f>IF(DP50="  ","  ",IF(DP50&gt;=menu!$D$19,"Tuntas","Tidak Tuntas"))</f>
        <v>Tuntas</v>
      </c>
    </row>
    <row r="51" spans="1:122">
      <c r="A51" s="64">
        <f>'DATA SISWA'!A37</f>
        <v>33</v>
      </c>
      <c r="B51" s="76" t="str">
        <f>'DATA SISWA'!C37</f>
        <v>SITI AINUR ROHIMAH</v>
      </c>
      <c r="C51" s="65"/>
      <c r="D51" s="65"/>
      <c r="E51" s="65"/>
      <c r="F51" s="66"/>
      <c r="G51" s="65"/>
      <c r="H51" s="65"/>
      <c r="I51" s="65"/>
      <c r="J51" s="67">
        <f t="shared" si="10"/>
        <v>0</v>
      </c>
      <c r="K51" s="68">
        <f t="shared" si="11"/>
        <v>0</v>
      </c>
      <c r="L51" s="68">
        <f t="shared" si="12"/>
        <v>0</v>
      </c>
      <c r="M51" s="69" t="str">
        <f t="shared" si="0"/>
        <v>D</v>
      </c>
      <c r="N51" s="70" t="str">
        <f>IF(L51="  ","  ",IF(L51&gt;=menu!$D$19,"Tuntas","Tidak Tuntas"))</f>
        <v>Tuntas</v>
      </c>
      <c r="O51" s="65"/>
      <c r="P51" s="65"/>
      <c r="Q51" s="65"/>
      <c r="R51" s="66"/>
      <c r="S51" s="65"/>
      <c r="T51" s="65"/>
      <c r="U51" s="65"/>
      <c r="V51" s="67">
        <f t="shared" si="13"/>
        <v>0</v>
      </c>
      <c r="W51" s="68">
        <f t="shared" si="14"/>
        <v>0</v>
      </c>
      <c r="X51" s="68">
        <f t="shared" si="15"/>
        <v>0</v>
      </c>
      <c r="Y51" s="69" t="str">
        <f t="shared" si="1"/>
        <v>D</v>
      </c>
      <c r="Z51" s="70" t="str">
        <f>IF(X51="  ","  ",IF(X51&gt;=menu!$D$19,"Tuntas","Tidak Tuntas"))</f>
        <v>Tuntas</v>
      </c>
      <c r="AA51" s="65"/>
      <c r="AB51" s="65"/>
      <c r="AC51" s="65"/>
      <c r="AD51" s="66"/>
      <c r="AE51" s="65"/>
      <c r="AF51" s="65"/>
      <c r="AG51" s="65"/>
      <c r="AH51" s="67">
        <f t="shared" si="16"/>
        <v>0</v>
      </c>
      <c r="AI51" s="68">
        <f t="shared" si="17"/>
        <v>0</v>
      </c>
      <c r="AJ51" s="68">
        <f t="shared" si="18"/>
        <v>0</v>
      </c>
      <c r="AK51" s="69" t="str">
        <f t="shared" si="2"/>
        <v>D</v>
      </c>
      <c r="AL51" s="70" t="str">
        <f>IF(AJ51="  ","  ",IF(AJ51&gt;=menu!$D$19,"Tuntas","Tidak Tuntas"))</f>
        <v>Tuntas</v>
      </c>
      <c r="AM51" s="65"/>
      <c r="AN51" s="65"/>
      <c r="AO51" s="65"/>
      <c r="AP51" s="66"/>
      <c r="AQ51" s="65"/>
      <c r="AR51" s="65"/>
      <c r="AS51" s="65"/>
      <c r="AT51" s="67">
        <f t="shared" si="19"/>
        <v>0</v>
      </c>
      <c r="AU51" s="68">
        <f t="shared" si="20"/>
        <v>0</v>
      </c>
      <c r="AV51" s="68">
        <f t="shared" si="21"/>
        <v>0</v>
      </c>
      <c r="AW51" s="69" t="str">
        <f t="shared" si="3"/>
        <v>D</v>
      </c>
      <c r="AX51" s="70" t="str">
        <f>IF(AV51="  ","  ",IF(AV51&gt;=menu!$D$19,"Tuntas","Tidak Tuntas"))</f>
        <v>Tuntas</v>
      </c>
      <c r="AY51" s="65"/>
      <c r="AZ51" s="65"/>
      <c r="BA51" s="65"/>
      <c r="BB51" s="66"/>
      <c r="BC51" s="65"/>
      <c r="BD51" s="65"/>
      <c r="BE51" s="65"/>
      <c r="BF51" s="67">
        <f t="shared" si="22"/>
        <v>0</v>
      </c>
      <c r="BG51" s="68">
        <f t="shared" si="23"/>
        <v>0</v>
      </c>
      <c r="BH51" s="68">
        <f t="shared" si="24"/>
        <v>0</v>
      </c>
      <c r="BI51" s="69" t="str">
        <f t="shared" si="4"/>
        <v>D</v>
      </c>
      <c r="BJ51" s="70" t="str">
        <f>IF(BH51="  ","  ",IF(BH51&gt;=menu!$D$19,"Tuntas","Tidak Tuntas"))</f>
        <v>Tuntas</v>
      </c>
      <c r="BK51" s="65"/>
      <c r="BL51" s="65"/>
      <c r="BM51" s="65"/>
      <c r="BN51" s="66"/>
      <c r="BO51" s="65"/>
      <c r="BP51" s="65"/>
      <c r="BQ51" s="65"/>
      <c r="BR51" s="67">
        <f t="shared" si="25"/>
        <v>0</v>
      </c>
      <c r="BS51" s="68">
        <f t="shared" si="26"/>
        <v>0</v>
      </c>
      <c r="BT51" s="68">
        <f t="shared" si="27"/>
        <v>0</v>
      </c>
      <c r="BU51" s="69" t="str">
        <f t="shared" si="5"/>
        <v>D</v>
      </c>
      <c r="BV51" s="70" t="str">
        <f>IF(BT51="  ","  ",IF(BT51&gt;=menu!$D$19,"Tuntas","Tidak Tuntas"))</f>
        <v>Tuntas</v>
      </c>
      <c r="BW51" s="65"/>
      <c r="BX51" s="65"/>
      <c r="BY51" s="65"/>
      <c r="BZ51" s="66"/>
      <c r="CA51" s="65"/>
      <c r="CB51" s="65"/>
      <c r="CC51" s="65"/>
      <c r="CD51" s="67">
        <f t="shared" si="28"/>
        <v>0</v>
      </c>
      <c r="CE51" s="68">
        <f t="shared" si="29"/>
        <v>0</v>
      </c>
      <c r="CF51" s="68">
        <f t="shared" si="30"/>
        <v>0</v>
      </c>
      <c r="CG51" s="69" t="str">
        <f t="shared" si="6"/>
        <v>D</v>
      </c>
      <c r="CH51" s="70" t="str">
        <f>IF(CF51="  ","  ",IF(CF51&gt;=menu!$D$19,"Tuntas","Tidak Tuntas"))</f>
        <v>Tuntas</v>
      </c>
      <c r="CI51" s="65"/>
      <c r="CJ51" s="65"/>
      <c r="CK51" s="65"/>
      <c r="CL51" s="66"/>
      <c r="CM51" s="65"/>
      <c r="CN51" s="65"/>
      <c r="CO51" s="65"/>
      <c r="CP51" s="67">
        <f t="shared" si="31"/>
        <v>0</v>
      </c>
      <c r="CQ51" s="68">
        <f t="shared" si="32"/>
        <v>0</v>
      </c>
      <c r="CR51" s="68">
        <f t="shared" si="33"/>
        <v>0</v>
      </c>
      <c r="CS51" s="69" t="str">
        <f t="shared" si="7"/>
        <v>D</v>
      </c>
      <c r="CT51" s="70" t="str">
        <f>IF(CR51="  ","  ",IF(CR51&gt;=menu!$D$19,"Tuntas","Tidak Tuntas"))</f>
        <v>Tuntas</v>
      </c>
      <c r="CU51" s="65"/>
      <c r="CV51" s="65"/>
      <c r="CW51" s="65"/>
      <c r="CX51" s="66"/>
      <c r="CY51" s="65"/>
      <c r="CZ51" s="65"/>
      <c r="DA51" s="65"/>
      <c r="DB51" s="67">
        <f t="shared" si="34"/>
        <v>0</v>
      </c>
      <c r="DC51" s="68">
        <f t="shared" si="35"/>
        <v>0</v>
      </c>
      <c r="DD51" s="68">
        <f t="shared" si="36"/>
        <v>0</v>
      </c>
      <c r="DE51" s="69" t="str">
        <f t="shared" si="8"/>
        <v>D</v>
      </c>
      <c r="DF51" s="70" t="str">
        <f>IF(DD51="  ","  ",IF(DD51&gt;=menu!$D$19,"Tuntas","Tidak Tuntas"))</f>
        <v>Tuntas</v>
      </c>
      <c r="DG51" s="65"/>
      <c r="DH51" s="65"/>
      <c r="DI51" s="65"/>
      <c r="DJ51" s="66"/>
      <c r="DK51" s="65"/>
      <c r="DL51" s="65"/>
      <c r="DM51" s="65"/>
      <c r="DN51" s="67">
        <f t="shared" si="37"/>
        <v>0</v>
      </c>
      <c r="DO51" s="68">
        <f t="shared" si="38"/>
        <v>0</v>
      </c>
      <c r="DP51" s="68">
        <f t="shared" si="39"/>
        <v>0</v>
      </c>
      <c r="DQ51" s="69" t="str">
        <f t="shared" si="9"/>
        <v>D</v>
      </c>
      <c r="DR51" s="70" t="str">
        <f>IF(DP51="  ","  ",IF(DP51&gt;=menu!$D$19,"Tuntas","Tidak Tuntas"))</f>
        <v>Tuntas</v>
      </c>
    </row>
    <row r="52" spans="1:122">
      <c r="A52" s="64">
        <f>'DATA SISWA'!A38</f>
        <v>34</v>
      </c>
      <c r="B52" s="76" t="str">
        <f>'DATA SISWA'!C38</f>
        <v>SYARIF HIDAYATULLOH</v>
      </c>
      <c r="C52" s="65"/>
      <c r="D52" s="65"/>
      <c r="E52" s="65"/>
      <c r="F52" s="66"/>
      <c r="G52" s="65"/>
      <c r="H52" s="65"/>
      <c r="I52" s="65"/>
      <c r="J52" s="67">
        <f t="shared" si="10"/>
        <v>0</v>
      </c>
      <c r="K52" s="68">
        <f t="shared" si="11"/>
        <v>0</v>
      </c>
      <c r="L52" s="68">
        <f t="shared" si="12"/>
        <v>0</v>
      </c>
      <c r="M52" s="69" t="str">
        <f t="shared" si="0"/>
        <v>D</v>
      </c>
      <c r="N52" s="70" t="str">
        <f>IF(L52="  ","  ",IF(L52&gt;=menu!$D$19,"Tuntas","Tidak Tuntas"))</f>
        <v>Tuntas</v>
      </c>
      <c r="O52" s="65"/>
      <c r="P52" s="65"/>
      <c r="Q52" s="65"/>
      <c r="R52" s="66"/>
      <c r="S52" s="65"/>
      <c r="T52" s="65"/>
      <c r="U52" s="65"/>
      <c r="V52" s="67">
        <f t="shared" si="13"/>
        <v>0</v>
      </c>
      <c r="W52" s="68">
        <f t="shared" si="14"/>
        <v>0</v>
      </c>
      <c r="X52" s="68">
        <f t="shared" si="15"/>
        <v>0</v>
      </c>
      <c r="Y52" s="69" t="str">
        <f t="shared" si="1"/>
        <v>D</v>
      </c>
      <c r="Z52" s="70" t="str">
        <f>IF(X52="  ","  ",IF(X52&gt;=menu!$D$19,"Tuntas","Tidak Tuntas"))</f>
        <v>Tuntas</v>
      </c>
      <c r="AA52" s="65"/>
      <c r="AB52" s="65"/>
      <c r="AC52" s="65"/>
      <c r="AD52" s="66"/>
      <c r="AE52" s="65"/>
      <c r="AF52" s="65"/>
      <c r="AG52" s="65"/>
      <c r="AH52" s="67">
        <f t="shared" si="16"/>
        <v>0</v>
      </c>
      <c r="AI52" s="68">
        <f t="shared" si="17"/>
        <v>0</v>
      </c>
      <c r="AJ52" s="68">
        <f t="shared" si="18"/>
        <v>0</v>
      </c>
      <c r="AK52" s="69" t="str">
        <f t="shared" si="2"/>
        <v>D</v>
      </c>
      <c r="AL52" s="70" t="str">
        <f>IF(AJ52="  ","  ",IF(AJ52&gt;=menu!$D$19,"Tuntas","Tidak Tuntas"))</f>
        <v>Tuntas</v>
      </c>
      <c r="AM52" s="65"/>
      <c r="AN52" s="65"/>
      <c r="AO52" s="65"/>
      <c r="AP52" s="66"/>
      <c r="AQ52" s="65"/>
      <c r="AR52" s="65"/>
      <c r="AS52" s="65"/>
      <c r="AT52" s="67">
        <f t="shared" si="19"/>
        <v>0</v>
      </c>
      <c r="AU52" s="68">
        <f t="shared" si="20"/>
        <v>0</v>
      </c>
      <c r="AV52" s="68">
        <f t="shared" si="21"/>
        <v>0</v>
      </c>
      <c r="AW52" s="69" t="str">
        <f t="shared" si="3"/>
        <v>D</v>
      </c>
      <c r="AX52" s="70" t="str">
        <f>IF(AV52="  ","  ",IF(AV52&gt;=menu!$D$19,"Tuntas","Tidak Tuntas"))</f>
        <v>Tuntas</v>
      </c>
      <c r="AY52" s="65"/>
      <c r="AZ52" s="65"/>
      <c r="BA52" s="65"/>
      <c r="BB52" s="66"/>
      <c r="BC52" s="65"/>
      <c r="BD52" s="65"/>
      <c r="BE52" s="65"/>
      <c r="BF52" s="67">
        <f t="shared" si="22"/>
        <v>0</v>
      </c>
      <c r="BG52" s="68">
        <f t="shared" si="23"/>
        <v>0</v>
      </c>
      <c r="BH52" s="68">
        <f t="shared" si="24"/>
        <v>0</v>
      </c>
      <c r="BI52" s="69" t="str">
        <f t="shared" si="4"/>
        <v>D</v>
      </c>
      <c r="BJ52" s="70" t="str">
        <f>IF(BH52="  ","  ",IF(BH52&gt;=menu!$D$19,"Tuntas","Tidak Tuntas"))</f>
        <v>Tuntas</v>
      </c>
      <c r="BK52" s="65"/>
      <c r="BL52" s="65"/>
      <c r="BM52" s="65"/>
      <c r="BN52" s="66"/>
      <c r="BO52" s="65"/>
      <c r="BP52" s="65"/>
      <c r="BQ52" s="65"/>
      <c r="BR52" s="67">
        <f t="shared" si="25"/>
        <v>0</v>
      </c>
      <c r="BS52" s="68">
        <f t="shared" si="26"/>
        <v>0</v>
      </c>
      <c r="BT52" s="68">
        <f t="shared" si="27"/>
        <v>0</v>
      </c>
      <c r="BU52" s="69" t="str">
        <f t="shared" si="5"/>
        <v>D</v>
      </c>
      <c r="BV52" s="70" t="str">
        <f>IF(BT52="  ","  ",IF(BT52&gt;=menu!$D$19,"Tuntas","Tidak Tuntas"))</f>
        <v>Tuntas</v>
      </c>
      <c r="BW52" s="65"/>
      <c r="BX52" s="65"/>
      <c r="BY52" s="65"/>
      <c r="BZ52" s="66"/>
      <c r="CA52" s="65"/>
      <c r="CB52" s="65"/>
      <c r="CC52" s="65"/>
      <c r="CD52" s="67">
        <f t="shared" si="28"/>
        <v>0</v>
      </c>
      <c r="CE52" s="68">
        <f t="shared" si="29"/>
        <v>0</v>
      </c>
      <c r="CF52" s="68">
        <f t="shared" si="30"/>
        <v>0</v>
      </c>
      <c r="CG52" s="69" t="str">
        <f t="shared" si="6"/>
        <v>D</v>
      </c>
      <c r="CH52" s="70" t="str">
        <f>IF(CF52="  ","  ",IF(CF52&gt;=menu!$D$19,"Tuntas","Tidak Tuntas"))</f>
        <v>Tuntas</v>
      </c>
      <c r="CI52" s="65"/>
      <c r="CJ52" s="65"/>
      <c r="CK52" s="65"/>
      <c r="CL52" s="66"/>
      <c r="CM52" s="65"/>
      <c r="CN52" s="65"/>
      <c r="CO52" s="65"/>
      <c r="CP52" s="67">
        <f t="shared" si="31"/>
        <v>0</v>
      </c>
      <c r="CQ52" s="68">
        <f t="shared" si="32"/>
        <v>0</v>
      </c>
      <c r="CR52" s="68">
        <f t="shared" si="33"/>
        <v>0</v>
      </c>
      <c r="CS52" s="69" t="str">
        <f t="shared" si="7"/>
        <v>D</v>
      </c>
      <c r="CT52" s="70" t="str">
        <f>IF(CR52="  ","  ",IF(CR52&gt;=menu!$D$19,"Tuntas","Tidak Tuntas"))</f>
        <v>Tuntas</v>
      </c>
      <c r="CU52" s="65"/>
      <c r="CV52" s="65"/>
      <c r="CW52" s="65"/>
      <c r="CX52" s="66"/>
      <c r="CY52" s="65"/>
      <c r="CZ52" s="65"/>
      <c r="DA52" s="65"/>
      <c r="DB52" s="67">
        <f t="shared" si="34"/>
        <v>0</v>
      </c>
      <c r="DC52" s="68">
        <f t="shared" si="35"/>
        <v>0</v>
      </c>
      <c r="DD52" s="68">
        <f t="shared" si="36"/>
        <v>0</v>
      </c>
      <c r="DE52" s="69" t="str">
        <f t="shared" si="8"/>
        <v>D</v>
      </c>
      <c r="DF52" s="70" t="str">
        <f>IF(DD52="  ","  ",IF(DD52&gt;=menu!$D$19,"Tuntas","Tidak Tuntas"))</f>
        <v>Tuntas</v>
      </c>
      <c r="DG52" s="65"/>
      <c r="DH52" s="65"/>
      <c r="DI52" s="65"/>
      <c r="DJ52" s="66"/>
      <c r="DK52" s="65"/>
      <c r="DL52" s="65"/>
      <c r="DM52" s="65"/>
      <c r="DN52" s="67">
        <f t="shared" si="37"/>
        <v>0</v>
      </c>
      <c r="DO52" s="68">
        <f t="shared" si="38"/>
        <v>0</v>
      </c>
      <c r="DP52" s="68">
        <f t="shared" si="39"/>
        <v>0</v>
      </c>
      <c r="DQ52" s="69" t="str">
        <f t="shared" si="9"/>
        <v>D</v>
      </c>
      <c r="DR52" s="70" t="str">
        <f>IF(DP52="  ","  ",IF(DP52&gt;=menu!$D$19,"Tuntas","Tidak Tuntas"))</f>
        <v>Tuntas</v>
      </c>
    </row>
    <row r="53" spans="1:122">
      <c r="A53" s="64">
        <f>'DATA SISWA'!A39</f>
        <v>35</v>
      </c>
      <c r="B53" s="76" t="str">
        <f>'DATA SISWA'!C39</f>
        <v>URVIA ZAHNA ROHANDY</v>
      </c>
      <c r="C53" s="65"/>
      <c r="D53" s="65"/>
      <c r="E53" s="65"/>
      <c r="F53" s="66"/>
      <c r="G53" s="65"/>
      <c r="H53" s="65"/>
      <c r="I53" s="65"/>
      <c r="J53" s="67">
        <f t="shared" si="10"/>
        <v>0</v>
      </c>
      <c r="K53" s="68">
        <f t="shared" si="11"/>
        <v>0</v>
      </c>
      <c r="L53" s="68">
        <f t="shared" si="12"/>
        <v>0</v>
      </c>
      <c r="M53" s="69" t="str">
        <f t="shared" si="0"/>
        <v>D</v>
      </c>
      <c r="N53" s="70" t="str">
        <f>IF(L53="  ","  ",IF(L53&gt;=menu!$D$19,"Tuntas","Tidak Tuntas"))</f>
        <v>Tuntas</v>
      </c>
      <c r="O53" s="65"/>
      <c r="P53" s="65"/>
      <c r="Q53" s="65"/>
      <c r="R53" s="66"/>
      <c r="S53" s="65"/>
      <c r="T53" s="65"/>
      <c r="U53" s="65"/>
      <c r="V53" s="67">
        <f t="shared" si="13"/>
        <v>0</v>
      </c>
      <c r="W53" s="68">
        <f t="shared" si="14"/>
        <v>0</v>
      </c>
      <c r="X53" s="68">
        <f t="shared" si="15"/>
        <v>0</v>
      </c>
      <c r="Y53" s="69" t="str">
        <f t="shared" si="1"/>
        <v>D</v>
      </c>
      <c r="Z53" s="70" t="str">
        <f>IF(X53="  ","  ",IF(X53&gt;=menu!$D$19,"Tuntas","Tidak Tuntas"))</f>
        <v>Tuntas</v>
      </c>
      <c r="AA53" s="65"/>
      <c r="AB53" s="65"/>
      <c r="AC53" s="65"/>
      <c r="AD53" s="66"/>
      <c r="AE53" s="65"/>
      <c r="AF53" s="65"/>
      <c r="AG53" s="65"/>
      <c r="AH53" s="67">
        <f t="shared" si="16"/>
        <v>0</v>
      </c>
      <c r="AI53" s="68">
        <f t="shared" si="17"/>
        <v>0</v>
      </c>
      <c r="AJ53" s="68">
        <f t="shared" si="18"/>
        <v>0</v>
      </c>
      <c r="AK53" s="69" t="str">
        <f t="shared" si="2"/>
        <v>D</v>
      </c>
      <c r="AL53" s="70" t="str">
        <f>IF(AJ53="  ","  ",IF(AJ53&gt;=menu!$D$19,"Tuntas","Tidak Tuntas"))</f>
        <v>Tuntas</v>
      </c>
      <c r="AM53" s="65"/>
      <c r="AN53" s="65"/>
      <c r="AO53" s="65"/>
      <c r="AP53" s="66"/>
      <c r="AQ53" s="65"/>
      <c r="AR53" s="65"/>
      <c r="AS53" s="65"/>
      <c r="AT53" s="67">
        <f t="shared" si="19"/>
        <v>0</v>
      </c>
      <c r="AU53" s="68">
        <f t="shared" si="20"/>
        <v>0</v>
      </c>
      <c r="AV53" s="68">
        <f t="shared" si="21"/>
        <v>0</v>
      </c>
      <c r="AW53" s="69" t="str">
        <f t="shared" si="3"/>
        <v>D</v>
      </c>
      <c r="AX53" s="70" t="str">
        <f>IF(AV53="  ","  ",IF(AV53&gt;=menu!$D$19,"Tuntas","Tidak Tuntas"))</f>
        <v>Tuntas</v>
      </c>
      <c r="AY53" s="65"/>
      <c r="AZ53" s="65"/>
      <c r="BA53" s="65"/>
      <c r="BB53" s="66"/>
      <c r="BC53" s="65"/>
      <c r="BD53" s="65"/>
      <c r="BE53" s="65"/>
      <c r="BF53" s="67">
        <f t="shared" si="22"/>
        <v>0</v>
      </c>
      <c r="BG53" s="68">
        <f t="shared" si="23"/>
        <v>0</v>
      </c>
      <c r="BH53" s="68">
        <f t="shared" si="24"/>
        <v>0</v>
      </c>
      <c r="BI53" s="69" t="str">
        <f t="shared" si="4"/>
        <v>D</v>
      </c>
      <c r="BJ53" s="70" t="str">
        <f>IF(BH53="  ","  ",IF(BH53&gt;=menu!$D$19,"Tuntas","Tidak Tuntas"))</f>
        <v>Tuntas</v>
      </c>
      <c r="BK53" s="65"/>
      <c r="BL53" s="65"/>
      <c r="BM53" s="65"/>
      <c r="BN53" s="66"/>
      <c r="BO53" s="65"/>
      <c r="BP53" s="65"/>
      <c r="BQ53" s="65"/>
      <c r="BR53" s="67">
        <f t="shared" si="25"/>
        <v>0</v>
      </c>
      <c r="BS53" s="68">
        <f t="shared" si="26"/>
        <v>0</v>
      </c>
      <c r="BT53" s="68">
        <f t="shared" si="27"/>
        <v>0</v>
      </c>
      <c r="BU53" s="69" t="str">
        <f t="shared" si="5"/>
        <v>D</v>
      </c>
      <c r="BV53" s="70" t="str">
        <f>IF(BT53="  ","  ",IF(BT53&gt;=menu!$D$19,"Tuntas","Tidak Tuntas"))</f>
        <v>Tuntas</v>
      </c>
      <c r="BW53" s="65"/>
      <c r="BX53" s="65"/>
      <c r="BY53" s="65"/>
      <c r="BZ53" s="66"/>
      <c r="CA53" s="65"/>
      <c r="CB53" s="65"/>
      <c r="CC53" s="65"/>
      <c r="CD53" s="67">
        <f t="shared" si="28"/>
        <v>0</v>
      </c>
      <c r="CE53" s="68">
        <f t="shared" si="29"/>
        <v>0</v>
      </c>
      <c r="CF53" s="68">
        <f t="shared" si="30"/>
        <v>0</v>
      </c>
      <c r="CG53" s="69" t="str">
        <f t="shared" si="6"/>
        <v>D</v>
      </c>
      <c r="CH53" s="70" t="str">
        <f>IF(CF53="  ","  ",IF(CF53&gt;=menu!$D$19,"Tuntas","Tidak Tuntas"))</f>
        <v>Tuntas</v>
      </c>
      <c r="CI53" s="65"/>
      <c r="CJ53" s="65"/>
      <c r="CK53" s="65"/>
      <c r="CL53" s="66"/>
      <c r="CM53" s="65"/>
      <c r="CN53" s="65"/>
      <c r="CO53" s="65"/>
      <c r="CP53" s="67">
        <f t="shared" si="31"/>
        <v>0</v>
      </c>
      <c r="CQ53" s="68">
        <f t="shared" si="32"/>
        <v>0</v>
      </c>
      <c r="CR53" s="68">
        <f t="shared" si="33"/>
        <v>0</v>
      </c>
      <c r="CS53" s="69" t="str">
        <f t="shared" si="7"/>
        <v>D</v>
      </c>
      <c r="CT53" s="70" t="str">
        <f>IF(CR53="  ","  ",IF(CR53&gt;=menu!$D$19,"Tuntas","Tidak Tuntas"))</f>
        <v>Tuntas</v>
      </c>
      <c r="CU53" s="65"/>
      <c r="CV53" s="65"/>
      <c r="CW53" s="65"/>
      <c r="CX53" s="66"/>
      <c r="CY53" s="65"/>
      <c r="CZ53" s="65"/>
      <c r="DA53" s="65"/>
      <c r="DB53" s="67">
        <f t="shared" si="34"/>
        <v>0</v>
      </c>
      <c r="DC53" s="68">
        <f t="shared" si="35"/>
        <v>0</v>
      </c>
      <c r="DD53" s="68">
        <f t="shared" si="36"/>
        <v>0</v>
      </c>
      <c r="DE53" s="69" t="str">
        <f t="shared" si="8"/>
        <v>D</v>
      </c>
      <c r="DF53" s="70" t="str">
        <f>IF(DD53="  ","  ",IF(DD53&gt;=menu!$D$19,"Tuntas","Tidak Tuntas"))</f>
        <v>Tuntas</v>
      </c>
      <c r="DG53" s="65"/>
      <c r="DH53" s="65"/>
      <c r="DI53" s="65"/>
      <c r="DJ53" s="66"/>
      <c r="DK53" s="65"/>
      <c r="DL53" s="65"/>
      <c r="DM53" s="65"/>
      <c r="DN53" s="67">
        <f t="shared" si="37"/>
        <v>0</v>
      </c>
      <c r="DO53" s="68">
        <f t="shared" si="38"/>
        <v>0</v>
      </c>
      <c r="DP53" s="68">
        <f t="shared" si="39"/>
        <v>0</v>
      </c>
      <c r="DQ53" s="69" t="str">
        <f t="shared" si="9"/>
        <v>D</v>
      </c>
      <c r="DR53" s="70" t="str">
        <f>IF(DP53="  ","  ",IF(DP53&gt;=menu!$D$19,"Tuntas","Tidak Tuntas"))</f>
        <v>Tuntas</v>
      </c>
    </row>
    <row r="54" spans="1:122">
      <c r="A54" s="64">
        <f>'DATA SISWA'!A40</f>
        <v>36</v>
      </c>
      <c r="B54" s="76">
        <f>'DATA SISWA'!C40</f>
        <v>0</v>
      </c>
      <c r="C54" s="65"/>
      <c r="D54" s="65"/>
      <c r="E54" s="65"/>
      <c r="F54" s="66"/>
      <c r="G54" s="65"/>
      <c r="H54" s="65"/>
      <c r="I54" s="65"/>
      <c r="J54" s="67">
        <f t="shared" si="10"/>
        <v>0</v>
      </c>
      <c r="K54" s="68">
        <f t="shared" si="11"/>
        <v>0</v>
      </c>
      <c r="L54" s="68">
        <f t="shared" si="12"/>
        <v>0</v>
      </c>
      <c r="M54" s="69" t="str">
        <f t="shared" si="0"/>
        <v>D</v>
      </c>
      <c r="N54" s="70" t="str">
        <f>IF(L54="  ","  ",IF(L54&gt;=menu!$D$19,"Tuntas","Tidak Tuntas"))</f>
        <v>Tuntas</v>
      </c>
      <c r="O54" s="65"/>
      <c r="P54" s="65"/>
      <c r="Q54" s="65"/>
      <c r="R54" s="66"/>
      <c r="S54" s="65"/>
      <c r="T54" s="65"/>
      <c r="U54" s="65"/>
      <c r="V54" s="67">
        <f t="shared" si="13"/>
        <v>0</v>
      </c>
      <c r="W54" s="68">
        <f t="shared" si="14"/>
        <v>0</v>
      </c>
      <c r="X54" s="68">
        <f t="shared" si="15"/>
        <v>0</v>
      </c>
      <c r="Y54" s="69" t="str">
        <f t="shared" si="1"/>
        <v>D</v>
      </c>
      <c r="Z54" s="70" t="str">
        <f>IF(X54="  ","  ",IF(X54&gt;=menu!$D$19,"Tuntas","Tidak Tuntas"))</f>
        <v>Tuntas</v>
      </c>
      <c r="AA54" s="65"/>
      <c r="AB54" s="65"/>
      <c r="AC54" s="65"/>
      <c r="AD54" s="66"/>
      <c r="AE54" s="65"/>
      <c r="AF54" s="65"/>
      <c r="AG54" s="65"/>
      <c r="AH54" s="67">
        <f t="shared" si="16"/>
        <v>0</v>
      </c>
      <c r="AI54" s="68">
        <f t="shared" si="17"/>
        <v>0</v>
      </c>
      <c r="AJ54" s="68">
        <f t="shared" si="18"/>
        <v>0</v>
      </c>
      <c r="AK54" s="69" t="str">
        <f t="shared" si="2"/>
        <v>D</v>
      </c>
      <c r="AL54" s="70" t="str">
        <f>IF(AJ54="  ","  ",IF(AJ54&gt;=menu!$D$19,"Tuntas","Tidak Tuntas"))</f>
        <v>Tuntas</v>
      </c>
      <c r="AM54" s="65"/>
      <c r="AN54" s="65"/>
      <c r="AO54" s="65"/>
      <c r="AP54" s="66"/>
      <c r="AQ54" s="65"/>
      <c r="AR54" s="65"/>
      <c r="AS54" s="65"/>
      <c r="AT54" s="67">
        <f t="shared" si="19"/>
        <v>0</v>
      </c>
      <c r="AU54" s="68">
        <f t="shared" si="20"/>
        <v>0</v>
      </c>
      <c r="AV54" s="68">
        <f t="shared" si="21"/>
        <v>0</v>
      </c>
      <c r="AW54" s="69" t="str">
        <f t="shared" si="3"/>
        <v>D</v>
      </c>
      <c r="AX54" s="70" t="str">
        <f>IF(AV54="  ","  ",IF(AV54&gt;=menu!$D$19,"Tuntas","Tidak Tuntas"))</f>
        <v>Tuntas</v>
      </c>
      <c r="AY54" s="65"/>
      <c r="AZ54" s="65"/>
      <c r="BA54" s="65"/>
      <c r="BB54" s="66"/>
      <c r="BC54" s="65"/>
      <c r="BD54" s="65"/>
      <c r="BE54" s="65"/>
      <c r="BF54" s="67">
        <f t="shared" si="22"/>
        <v>0</v>
      </c>
      <c r="BG54" s="68">
        <f t="shared" si="23"/>
        <v>0</v>
      </c>
      <c r="BH54" s="68">
        <f t="shared" si="24"/>
        <v>0</v>
      </c>
      <c r="BI54" s="69" t="str">
        <f t="shared" si="4"/>
        <v>D</v>
      </c>
      <c r="BJ54" s="70" t="str">
        <f>IF(BH54="  ","  ",IF(BH54&gt;=menu!$D$19,"Tuntas","Tidak Tuntas"))</f>
        <v>Tuntas</v>
      </c>
      <c r="BK54" s="65"/>
      <c r="BL54" s="65"/>
      <c r="BM54" s="65"/>
      <c r="BN54" s="66"/>
      <c r="BO54" s="65"/>
      <c r="BP54" s="65"/>
      <c r="BQ54" s="65"/>
      <c r="BR54" s="67">
        <f t="shared" si="25"/>
        <v>0</v>
      </c>
      <c r="BS54" s="68">
        <f t="shared" si="26"/>
        <v>0</v>
      </c>
      <c r="BT54" s="68">
        <f t="shared" si="27"/>
        <v>0</v>
      </c>
      <c r="BU54" s="69" t="str">
        <f t="shared" si="5"/>
        <v>D</v>
      </c>
      <c r="BV54" s="70" t="str">
        <f>IF(BT54="  ","  ",IF(BT54&gt;=menu!$D$19,"Tuntas","Tidak Tuntas"))</f>
        <v>Tuntas</v>
      </c>
      <c r="BW54" s="65"/>
      <c r="BX54" s="65"/>
      <c r="BY54" s="65"/>
      <c r="BZ54" s="66"/>
      <c r="CA54" s="65"/>
      <c r="CB54" s="65"/>
      <c r="CC54" s="65"/>
      <c r="CD54" s="67">
        <f t="shared" si="28"/>
        <v>0</v>
      </c>
      <c r="CE54" s="68">
        <f t="shared" si="29"/>
        <v>0</v>
      </c>
      <c r="CF54" s="68">
        <f t="shared" si="30"/>
        <v>0</v>
      </c>
      <c r="CG54" s="69" t="str">
        <f t="shared" si="6"/>
        <v>D</v>
      </c>
      <c r="CH54" s="70" t="str">
        <f>IF(CF54="  ","  ",IF(CF54&gt;=menu!$D$19,"Tuntas","Tidak Tuntas"))</f>
        <v>Tuntas</v>
      </c>
      <c r="CI54" s="65"/>
      <c r="CJ54" s="65"/>
      <c r="CK54" s="65"/>
      <c r="CL54" s="66"/>
      <c r="CM54" s="65"/>
      <c r="CN54" s="65"/>
      <c r="CO54" s="65"/>
      <c r="CP54" s="67">
        <f t="shared" si="31"/>
        <v>0</v>
      </c>
      <c r="CQ54" s="68">
        <f t="shared" si="32"/>
        <v>0</v>
      </c>
      <c r="CR54" s="68">
        <f t="shared" si="33"/>
        <v>0</v>
      </c>
      <c r="CS54" s="69" t="str">
        <f t="shared" si="7"/>
        <v>D</v>
      </c>
      <c r="CT54" s="70" t="str">
        <f>IF(CR54="  ","  ",IF(CR54&gt;=menu!$D$19,"Tuntas","Tidak Tuntas"))</f>
        <v>Tuntas</v>
      </c>
      <c r="CU54" s="65"/>
      <c r="CV54" s="65"/>
      <c r="CW54" s="65"/>
      <c r="CX54" s="66"/>
      <c r="CY54" s="65"/>
      <c r="CZ54" s="65"/>
      <c r="DA54" s="65"/>
      <c r="DB54" s="67">
        <f t="shared" si="34"/>
        <v>0</v>
      </c>
      <c r="DC54" s="68">
        <f t="shared" si="35"/>
        <v>0</v>
      </c>
      <c r="DD54" s="68">
        <f t="shared" si="36"/>
        <v>0</v>
      </c>
      <c r="DE54" s="69" t="str">
        <f t="shared" si="8"/>
        <v>D</v>
      </c>
      <c r="DF54" s="70" t="str">
        <f>IF(DD54="  ","  ",IF(DD54&gt;=menu!$D$19,"Tuntas","Tidak Tuntas"))</f>
        <v>Tuntas</v>
      </c>
      <c r="DG54" s="65"/>
      <c r="DH54" s="65"/>
      <c r="DI54" s="65"/>
      <c r="DJ54" s="66"/>
      <c r="DK54" s="65"/>
      <c r="DL54" s="65"/>
      <c r="DM54" s="65"/>
      <c r="DN54" s="67">
        <f t="shared" si="37"/>
        <v>0</v>
      </c>
      <c r="DO54" s="68">
        <f t="shared" si="38"/>
        <v>0</v>
      </c>
      <c r="DP54" s="68">
        <f t="shared" si="39"/>
        <v>0</v>
      </c>
      <c r="DQ54" s="69" t="str">
        <f t="shared" si="9"/>
        <v>D</v>
      </c>
      <c r="DR54" s="70" t="str">
        <f>IF(DP54="  ","  ",IF(DP54&gt;=menu!$D$19,"Tuntas","Tidak Tuntas"))</f>
        <v>Tuntas</v>
      </c>
    </row>
    <row r="55" spans="1:122">
      <c r="A55" s="64">
        <f>'DATA SISWA'!A41</f>
        <v>37</v>
      </c>
      <c r="B55" s="76">
        <f>'DATA SISWA'!C41</f>
        <v>0</v>
      </c>
      <c r="C55" s="65"/>
      <c r="D55" s="65"/>
      <c r="E55" s="65"/>
      <c r="F55" s="66"/>
      <c r="G55" s="65"/>
      <c r="H55" s="65"/>
      <c r="I55" s="65"/>
      <c r="J55" s="67">
        <f t="shared" si="10"/>
        <v>0</v>
      </c>
      <c r="K55" s="68">
        <f t="shared" si="11"/>
        <v>0</v>
      </c>
      <c r="L55" s="68">
        <f t="shared" si="12"/>
        <v>0</v>
      </c>
      <c r="M55" s="69" t="str">
        <f t="shared" si="0"/>
        <v>D</v>
      </c>
      <c r="N55" s="70" t="str">
        <f>IF(L55="  ","  ",IF(L55&gt;=menu!$D$19,"Tuntas","Tidak Tuntas"))</f>
        <v>Tuntas</v>
      </c>
      <c r="O55" s="65"/>
      <c r="P55" s="65"/>
      <c r="Q55" s="65"/>
      <c r="R55" s="66"/>
      <c r="S55" s="65"/>
      <c r="T55" s="65"/>
      <c r="U55" s="65"/>
      <c r="V55" s="67">
        <f t="shared" si="13"/>
        <v>0</v>
      </c>
      <c r="W55" s="68">
        <f t="shared" si="14"/>
        <v>0</v>
      </c>
      <c r="X55" s="68">
        <f t="shared" si="15"/>
        <v>0</v>
      </c>
      <c r="Y55" s="69" t="str">
        <f t="shared" si="1"/>
        <v>D</v>
      </c>
      <c r="Z55" s="70" t="str">
        <f>IF(X55="  ","  ",IF(X55&gt;=menu!$D$19,"Tuntas","Tidak Tuntas"))</f>
        <v>Tuntas</v>
      </c>
      <c r="AA55" s="65"/>
      <c r="AB55" s="65"/>
      <c r="AC55" s="65"/>
      <c r="AD55" s="66"/>
      <c r="AE55" s="65"/>
      <c r="AF55" s="65"/>
      <c r="AG55" s="65"/>
      <c r="AH55" s="67">
        <f t="shared" si="16"/>
        <v>0</v>
      </c>
      <c r="AI55" s="68">
        <f t="shared" si="17"/>
        <v>0</v>
      </c>
      <c r="AJ55" s="68">
        <f t="shared" si="18"/>
        <v>0</v>
      </c>
      <c r="AK55" s="69" t="str">
        <f t="shared" si="2"/>
        <v>D</v>
      </c>
      <c r="AL55" s="70" t="str">
        <f>IF(AJ55="  ","  ",IF(AJ55&gt;=menu!$D$19,"Tuntas","Tidak Tuntas"))</f>
        <v>Tuntas</v>
      </c>
      <c r="AM55" s="65"/>
      <c r="AN55" s="65"/>
      <c r="AO55" s="65"/>
      <c r="AP55" s="66"/>
      <c r="AQ55" s="65"/>
      <c r="AR55" s="65"/>
      <c r="AS55" s="65"/>
      <c r="AT55" s="67">
        <f t="shared" si="19"/>
        <v>0</v>
      </c>
      <c r="AU55" s="68">
        <f t="shared" si="20"/>
        <v>0</v>
      </c>
      <c r="AV55" s="68">
        <f t="shared" si="21"/>
        <v>0</v>
      </c>
      <c r="AW55" s="69" t="str">
        <f t="shared" si="3"/>
        <v>D</v>
      </c>
      <c r="AX55" s="70" t="str">
        <f>IF(AV55="  ","  ",IF(AV55&gt;=menu!$D$19,"Tuntas","Tidak Tuntas"))</f>
        <v>Tuntas</v>
      </c>
      <c r="AY55" s="65"/>
      <c r="AZ55" s="65"/>
      <c r="BA55" s="65"/>
      <c r="BB55" s="66"/>
      <c r="BC55" s="65"/>
      <c r="BD55" s="65"/>
      <c r="BE55" s="65"/>
      <c r="BF55" s="67">
        <f t="shared" si="22"/>
        <v>0</v>
      </c>
      <c r="BG55" s="68">
        <f t="shared" si="23"/>
        <v>0</v>
      </c>
      <c r="BH55" s="68">
        <f t="shared" si="24"/>
        <v>0</v>
      </c>
      <c r="BI55" s="69" t="str">
        <f t="shared" si="4"/>
        <v>D</v>
      </c>
      <c r="BJ55" s="70" t="str">
        <f>IF(BH55="  ","  ",IF(BH55&gt;=menu!$D$19,"Tuntas","Tidak Tuntas"))</f>
        <v>Tuntas</v>
      </c>
      <c r="BK55" s="65"/>
      <c r="BL55" s="65"/>
      <c r="BM55" s="65"/>
      <c r="BN55" s="66"/>
      <c r="BO55" s="65"/>
      <c r="BP55" s="65"/>
      <c r="BQ55" s="65"/>
      <c r="BR55" s="67">
        <f t="shared" si="25"/>
        <v>0</v>
      </c>
      <c r="BS55" s="68">
        <f t="shared" si="26"/>
        <v>0</v>
      </c>
      <c r="BT55" s="68">
        <f t="shared" si="27"/>
        <v>0</v>
      </c>
      <c r="BU55" s="69" t="str">
        <f t="shared" si="5"/>
        <v>D</v>
      </c>
      <c r="BV55" s="70" t="str">
        <f>IF(BT55="  ","  ",IF(BT55&gt;=menu!$D$19,"Tuntas","Tidak Tuntas"))</f>
        <v>Tuntas</v>
      </c>
      <c r="BW55" s="65"/>
      <c r="BX55" s="65"/>
      <c r="BY55" s="65"/>
      <c r="BZ55" s="66"/>
      <c r="CA55" s="65"/>
      <c r="CB55" s="65"/>
      <c r="CC55" s="65"/>
      <c r="CD55" s="67">
        <f t="shared" si="28"/>
        <v>0</v>
      </c>
      <c r="CE55" s="68">
        <f t="shared" si="29"/>
        <v>0</v>
      </c>
      <c r="CF55" s="68">
        <f t="shared" si="30"/>
        <v>0</v>
      </c>
      <c r="CG55" s="69" t="str">
        <f t="shared" si="6"/>
        <v>D</v>
      </c>
      <c r="CH55" s="70" t="str">
        <f>IF(CF55="  ","  ",IF(CF55&gt;=menu!$D$19,"Tuntas","Tidak Tuntas"))</f>
        <v>Tuntas</v>
      </c>
      <c r="CI55" s="65"/>
      <c r="CJ55" s="65"/>
      <c r="CK55" s="65"/>
      <c r="CL55" s="66"/>
      <c r="CM55" s="65"/>
      <c r="CN55" s="65"/>
      <c r="CO55" s="65"/>
      <c r="CP55" s="67">
        <f t="shared" si="31"/>
        <v>0</v>
      </c>
      <c r="CQ55" s="68">
        <f t="shared" si="32"/>
        <v>0</v>
      </c>
      <c r="CR55" s="68">
        <f t="shared" si="33"/>
        <v>0</v>
      </c>
      <c r="CS55" s="69" t="str">
        <f t="shared" si="7"/>
        <v>D</v>
      </c>
      <c r="CT55" s="70" t="str">
        <f>IF(CR55="  ","  ",IF(CR55&gt;=menu!$D$19,"Tuntas","Tidak Tuntas"))</f>
        <v>Tuntas</v>
      </c>
      <c r="CU55" s="65"/>
      <c r="CV55" s="65"/>
      <c r="CW55" s="65"/>
      <c r="CX55" s="66"/>
      <c r="CY55" s="65"/>
      <c r="CZ55" s="65"/>
      <c r="DA55" s="65"/>
      <c r="DB55" s="67">
        <f t="shared" si="34"/>
        <v>0</v>
      </c>
      <c r="DC55" s="68">
        <f t="shared" si="35"/>
        <v>0</v>
      </c>
      <c r="DD55" s="68">
        <f t="shared" si="36"/>
        <v>0</v>
      </c>
      <c r="DE55" s="69" t="str">
        <f t="shared" si="8"/>
        <v>D</v>
      </c>
      <c r="DF55" s="70" t="str">
        <f>IF(DD55="  ","  ",IF(DD55&gt;=menu!$D$19,"Tuntas","Tidak Tuntas"))</f>
        <v>Tuntas</v>
      </c>
      <c r="DG55" s="65"/>
      <c r="DH55" s="65"/>
      <c r="DI55" s="65"/>
      <c r="DJ55" s="66"/>
      <c r="DK55" s="65"/>
      <c r="DL55" s="65"/>
      <c r="DM55" s="65"/>
      <c r="DN55" s="67">
        <f t="shared" si="37"/>
        <v>0</v>
      </c>
      <c r="DO55" s="68">
        <f t="shared" si="38"/>
        <v>0</v>
      </c>
      <c r="DP55" s="68">
        <f t="shared" si="39"/>
        <v>0</v>
      </c>
      <c r="DQ55" s="69" t="str">
        <f t="shared" si="9"/>
        <v>D</v>
      </c>
      <c r="DR55" s="70" t="str">
        <f>IF(DP55="  ","  ",IF(DP55&gt;=menu!$D$19,"Tuntas","Tidak Tuntas"))</f>
        <v>Tuntas</v>
      </c>
    </row>
    <row r="56" spans="1:122">
      <c r="A56" s="64">
        <f>'DATA SISWA'!A42</f>
        <v>38</v>
      </c>
      <c r="B56" s="76">
        <f>'DATA SISWA'!C42</f>
        <v>0</v>
      </c>
      <c r="C56" s="65"/>
      <c r="D56" s="65"/>
      <c r="E56" s="65"/>
      <c r="F56" s="66"/>
      <c r="G56" s="65"/>
      <c r="H56" s="65"/>
      <c r="I56" s="65"/>
      <c r="J56" s="67">
        <f t="shared" si="10"/>
        <v>0</v>
      </c>
      <c r="K56" s="68">
        <f t="shared" si="11"/>
        <v>0</v>
      </c>
      <c r="L56" s="68">
        <f t="shared" si="12"/>
        <v>0</v>
      </c>
      <c r="M56" s="69" t="str">
        <f t="shared" si="0"/>
        <v>D</v>
      </c>
      <c r="N56" s="70" t="str">
        <f>IF(L56="  ","  ",IF(L56&gt;=menu!$D$19,"Tuntas","Tidak Tuntas"))</f>
        <v>Tuntas</v>
      </c>
      <c r="O56" s="65"/>
      <c r="P56" s="65"/>
      <c r="Q56" s="65"/>
      <c r="R56" s="66"/>
      <c r="S56" s="65"/>
      <c r="T56" s="65"/>
      <c r="U56" s="65"/>
      <c r="V56" s="67">
        <f t="shared" si="13"/>
        <v>0</v>
      </c>
      <c r="W56" s="68">
        <f t="shared" si="14"/>
        <v>0</v>
      </c>
      <c r="X56" s="68">
        <f t="shared" si="15"/>
        <v>0</v>
      </c>
      <c r="Y56" s="69" t="str">
        <f t="shared" si="1"/>
        <v>D</v>
      </c>
      <c r="Z56" s="70" t="str">
        <f>IF(X56="  ","  ",IF(X56&gt;=menu!$D$19,"Tuntas","Tidak Tuntas"))</f>
        <v>Tuntas</v>
      </c>
      <c r="AA56" s="65"/>
      <c r="AB56" s="65"/>
      <c r="AC56" s="65"/>
      <c r="AD56" s="66"/>
      <c r="AE56" s="65"/>
      <c r="AF56" s="65"/>
      <c r="AG56" s="65"/>
      <c r="AH56" s="67">
        <f t="shared" si="16"/>
        <v>0</v>
      </c>
      <c r="AI56" s="68">
        <f t="shared" si="17"/>
        <v>0</v>
      </c>
      <c r="AJ56" s="68">
        <f t="shared" si="18"/>
        <v>0</v>
      </c>
      <c r="AK56" s="69" t="str">
        <f t="shared" si="2"/>
        <v>D</v>
      </c>
      <c r="AL56" s="70" t="str">
        <f>IF(AJ56="  ","  ",IF(AJ56&gt;=menu!$D$19,"Tuntas","Tidak Tuntas"))</f>
        <v>Tuntas</v>
      </c>
      <c r="AM56" s="65"/>
      <c r="AN56" s="65"/>
      <c r="AO56" s="65"/>
      <c r="AP56" s="66"/>
      <c r="AQ56" s="65"/>
      <c r="AR56" s="65"/>
      <c r="AS56" s="65"/>
      <c r="AT56" s="67">
        <f t="shared" si="19"/>
        <v>0</v>
      </c>
      <c r="AU56" s="68">
        <f t="shared" si="20"/>
        <v>0</v>
      </c>
      <c r="AV56" s="68">
        <f t="shared" si="21"/>
        <v>0</v>
      </c>
      <c r="AW56" s="69" t="str">
        <f t="shared" si="3"/>
        <v>D</v>
      </c>
      <c r="AX56" s="70" t="str">
        <f>IF(AV56="  ","  ",IF(AV56&gt;=menu!$D$19,"Tuntas","Tidak Tuntas"))</f>
        <v>Tuntas</v>
      </c>
      <c r="AY56" s="65"/>
      <c r="AZ56" s="65"/>
      <c r="BA56" s="65"/>
      <c r="BB56" s="66"/>
      <c r="BC56" s="65"/>
      <c r="BD56" s="65"/>
      <c r="BE56" s="65"/>
      <c r="BF56" s="67">
        <f t="shared" si="22"/>
        <v>0</v>
      </c>
      <c r="BG56" s="68">
        <f t="shared" si="23"/>
        <v>0</v>
      </c>
      <c r="BH56" s="68">
        <f t="shared" si="24"/>
        <v>0</v>
      </c>
      <c r="BI56" s="69" t="str">
        <f t="shared" si="4"/>
        <v>D</v>
      </c>
      <c r="BJ56" s="70" t="str">
        <f>IF(BH56="  ","  ",IF(BH56&gt;=menu!$D$19,"Tuntas","Tidak Tuntas"))</f>
        <v>Tuntas</v>
      </c>
      <c r="BK56" s="65"/>
      <c r="BL56" s="65"/>
      <c r="BM56" s="65"/>
      <c r="BN56" s="66"/>
      <c r="BO56" s="65"/>
      <c r="BP56" s="65"/>
      <c r="BQ56" s="65"/>
      <c r="BR56" s="67">
        <f t="shared" si="25"/>
        <v>0</v>
      </c>
      <c r="BS56" s="68">
        <f t="shared" si="26"/>
        <v>0</v>
      </c>
      <c r="BT56" s="68">
        <f t="shared" si="27"/>
        <v>0</v>
      </c>
      <c r="BU56" s="69" t="str">
        <f t="shared" si="5"/>
        <v>D</v>
      </c>
      <c r="BV56" s="70" t="str">
        <f>IF(BT56="  ","  ",IF(BT56&gt;=menu!$D$19,"Tuntas","Tidak Tuntas"))</f>
        <v>Tuntas</v>
      </c>
      <c r="BW56" s="65"/>
      <c r="BX56" s="65"/>
      <c r="BY56" s="65"/>
      <c r="BZ56" s="66"/>
      <c r="CA56" s="65"/>
      <c r="CB56" s="65"/>
      <c r="CC56" s="65"/>
      <c r="CD56" s="67">
        <f t="shared" si="28"/>
        <v>0</v>
      </c>
      <c r="CE56" s="68">
        <f t="shared" si="29"/>
        <v>0</v>
      </c>
      <c r="CF56" s="68">
        <f t="shared" si="30"/>
        <v>0</v>
      </c>
      <c r="CG56" s="69" t="str">
        <f t="shared" si="6"/>
        <v>D</v>
      </c>
      <c r="CH56" s="70" t="str">
        <f>IF(CF56="  ","  ",IF(CF56&gt;=menu!$D$19,"Tuntas","Tidak Tuntas"))</f>
        <v>Tuntas</v>
      </c>
      <c r="CI56" s="65"/>
      <c r="CJ56" s="65"/>
      <c r="CK56" s="65"/>
      <c r="CL56" s="66"/>
      <c r="CM56" s="65"/>
      <c r="CN56" s="65"/>
      <c r="CO56" s="65"/>
      <c r="CP56" s="67">
        <f t="shared" si="31"/>
        <v>0</v>
      </c>
      <c r="CQ56" s="68">
        <f t="shared" si="32"/>
        <v>0</v>
      </c>
      <c r="CR56" s="68">
        <f t="shared" si="33"/>
        <v>0</v>
      </c>
      <c r="CS56" s="69" t="str">
        <f t="shared" si="7"/>
        <v>D</v>
      </c>
      <c r="CT56" s="70" t="str">
        <f>IF(CR56="  ","  ",IF(CR56&gt;=menu!$D$19,"Tuntas","Tidak Tuntas"))</f>
        <v>Tuntas</v>
      </c>
      <c r="CU56" s="65"/>
      <c r="CV56" s="65"/>
      <c r="CW56" s="65"/>
      <c r="CX56" s="66"/>
      <c r="CY56" s="65"/>
      <c r="CZ56" s="65"/>
      <c r="DA56" s="65"/>
      <c r="DB56" s="67">
        <f t="shared" si="34"/>
        <v>0</v>
      </c>
      <c r="DC56" s="68">
        <f t="shared" si="35"/>
        <v>0</v>
      </c>
      <c r="DD56" s="68">
        <f t="shared" si="36"/>
        <v>0</v>
      </c>
      <c r="DE56" s="69" t="str">
        <f t="shared" si="8"/>
        <v>D</v>
      </c>
      <c r="DF56" s="70" t="str">
        <f>IF(DD56="  ","  ",IF(DD56&gt;=menu!$D$19,"Tuntas","Tidak Tuntas"))</f>
        <v>Tuntas</v>
      </c>
      <c r="DG56" s="65"/>
      <c r="DH56" s="65"/>
      <c r="DI56" s="65"/>
      <c r="DJ56" s="66"/>
      <c r="DK56" s="65"/>
      <c r="DL56" s="65"/>
      <c r="DM56" s="65"/>
      <c r="DN56" s="67">
        <f t="shared" si="37"/>
        <v>0</v>
      </c>
      <c r="DO56" s="68">
        <f t="shared" si="38"/>
        <v>0</v>
      </c>
      <c r="DP56" s="68">
        <f t="shared" si="39"/>
        <v>0</v>
      </c>
      <c r="DQ56" s="69" t="str">
        <f t="shared" si="9"/>
        <v>D</v>
      </c>
      <c r="DR56" s="70" t="str">
        <f>IF(DP56="  ","  ",IF(DP56&gt;=menu!$D$19,"Tuntas","Tidak Tuntas"))</f>
        <v>Tuntas</v>
      </c>
    </row>
    <row r="57" spans="1:122">
      <c r="A57" s="64">
        <f>'DATA SISWA'!A43</f>
        <v>39</v>
      </c>
      <c r="B57" s="76">
        <f>'DATA SISWA'!C43</f>
        <v>0</v>
      </c>
      <c r="C57" s="65"/>
      <c r="D57" s="65"/>
      <c r="E57" s="65"/>
      <c r="F57" s="66"/>
      <c r="G57" s="65"/>
      <c r="H57" s="65"/>
      <c r="I57" s="65"/>
      <c r="J57" s="67">
        <f t="shared" si="10"/>
        <v>0</v>
      </c>
      <c r="K57" s="68">
        <f t="shared" si="11"/>
        <v>0</v>
      </c>
      <c r="L57" s="68">
        <f t="shared" si="12"/>
        <v>0</v>
      </c>
      <c r="M57" s="69" t="str">
        <f t="shared" si="0"/>
        <v>D</v>
      </c>
      <c r="N57" s="70" t="str">
        <f>IF(L57="  ","  ",IF(L57&gt;=menu!$D$19,"Tuntas","Tidak Tuntas"))</f>
        <v>Tuntas</v>
      </c>
      <c r="O57" s="65"/>
      <c r="P57" s="65"/>
      <c r="Q57" s="65"/>
      <c r="R57" s="66"/>
      <c r="S57" s="65"/>
      <c r="T57" s="65"/>
      <c r="U57" s="65"/>
      <c r="V57" s="67">
        <f t="shared" si="13"/>
        <v>0</v>
      </c>
      <c r="W57" s="68">
        <f t="shared" si="14"/>
        <v>0</v>
      </c>
      <c r="X57" s="68">
        <f t="shared" si="15"/>
        <v>0</v>
      </c>
      <c r="Y57" s="69" t="str">
        <f t="shared" si="1"/>
        <v>D</v>
      </c>
      <c r="Z57" s="70" t="str">
        <f>IF(X57="  ","  ",IF(X57&gt;=menu!$D$19,"Tuntas","Tidak Tuntas"))</f>
        <v>Tuntas</v>
      </c>
      <c r="AA57" s="65"/>
      <c r="AB57" s="65"/>
      <c r="AC57" s="65"/>
      <c r="AD57" s="66"/>
      <c r="AE57" s="65"/>
      <c r="AF57" s="65"/>
      <c r="AG57" s="65"/>
      <c r="AH57" s="67">
        <f t="shared" si="16"/>
        <v>0</v>
      </c>
      <c r="AI57" s="68">
        <f t="shared" si="17"/>
        <v>0</v>
      </c>
      <c r="AJ57" s="68">
        <f t="shared" si="18"/>
        <v>0</v>
      </c>
      <c r="AK57" s="69" t="str">
        <f t="shared" si="2"/>
        <v>D</v>
      </c>
      <c r="AL57" s="70" t="str">
        <f>IF(AJ57="  ","  ",IF(AJ57&gt;=menu!$D$19,"Tuntas","Tidak Tuntas"))</f>
        <v>Tuntas</v>
      </c>
      <c r="AM57" s="65"/>
      <c r="AN57" s="65"/>
      <c r="AO57" s="65"/>
      <c r="AP57" s="66"/>
      <c r="AQ57" s="65"/>
      <c r="AR57" s="65"/>
      <c r="AS57" s="65"/>
      <c r="AT57" s="67">
        <f t="shared" si="19"/>
        <v>0</v>
      </c>
      <c r="AU57" s="68">
        <f t="shared" si="20"/>
        <v>0</v>
      </c>
      <c r="AV57" s="68">
        <f t="shared" si="21"/>
        <v>0</v>
      </c>
      <c r="AW57" s="69" t="str">
        <f t="shared" si="3"/>
        <v>D</v>
      </c>
      <c r="AX57" s="70" t="str">
        <f>IF(AV57="  ","  ",IF(AV57&gt;=menu!$D$19,"Tuntas","Tidak Tuntas"))</f>
        <v>Tuntas</v>
      </c>
      <c r="AY57" s="65"/>
      <c r="AZ57" s="65"/>
      <c r="BA57" s="65"/>
      <c r="BB57" s="66"/>
      <c r="BC57" s="65"/>
      <c r="BD57" s="65"/>
      <c r="BE57" s="65"/>
      <c r="BF57" s="67">
        <f t="shared" si="22"/>
        <v>0</v>
      </c>
      <c r="BG57" s="68">
        <f t="shared" si="23"/>
        <v>0</v>
      </c>
      <c r="BH57" s="68">
        <f t="shared" si="24"/>
        <v>0</v>
      </c>
      <c r="BI57" s="69" t="str">
        <f t="shared" si="4"/>
        <v>D</v>
      </c>
      <c r="BJ57" s="70" t="str">
        <f>IF(BH57="  ","  ",IF(BH57&gt;=menu!$D$19,"Tuntas","Tidak Tuntas"))</f>
        <v>Tuntas</v>
      </c>
      <c r="BK57" s="65"/>
      <c r="BL57" s="65"/>
      <c r="BM57" s="65"/>
      <c r="BN57" s="66"/>
      <c r="BO57" s="65"/>
      <c r="BP57" s="65"/>
      <c r="BQ57" s="65"/>
      <c r="BR57" s="67">
        <f t="shared" si="25"/>
        <v>0</v>
      </c>
      <c r="BS57" s="68">
        <f t="shared" si="26"/>
        <v>0</v>
      </c>
      <c r="BT57" s="68">
        <f t="shared" si="27"/>
        <v>0</v>
      </c>
      <c r="BU57" s="69" t="str">
        <f t="shared" si="5"/>
        <v>D</v>
      </c>
      <c r="BV57" s="70" t="str">
        <f>IF(BT57="  ","  ",IF(BT57&gt;=menu!$D$19,"Tuntas","Tidak Tuntas"))</f>
        <v>Tuntas</v>
      </c>
      <c r="BW57" s="65"/>
      <c r="BX57" s="65"/>
      <c r="BY57" s="65"/>
      <c r="BZ57" s="66"/>
      <c r="CA57" s="65"/>
      <c r="CB57" s="65"/>
      <c r="CC57" s="65"/>
      <c r="CD57" s="67">
        <f t="shared" si="28"/>
        <v>0</v>
      </c>
      <c r="CE57" s="68">
        <f t="shared" si="29"/>
        <v>0</v>
      </c>
      <c r="CF57" s="68">
        <f t="shared" si="30"/>
        <v>0</v>
      </c>
      <c r="CG57" s="69" t="str">
        <f t="shared" si="6"/>
        <v>D</v>
      </c>
      <c r="CH57" s="70" t="str">
        <f>IF(CF57="  ","  ",IF(CF57&gt;=menu!$D$19,"Tuntas","Tidak Tuntas"))</f>
        <v>Tuntas</v>
      </c>
      <c r="CI57" s="65"/>
      <c r="CJ57" s="65"/>
      <c r="CK57" s="65"/>
      <c r="CL57" s="66"/>
      <c r="CM57" s="65"/>
      <c r="CN57" s="65"/>
      <c r="CO57" s="65"/>
      <c r="CP57" s="67">
        <f t="shared" si="31"/>
        <v>0</v>
      </c>
      <c r="CQ57" s="68">
        <f t="shared" si="32"/>
        <v>0</v>
      </c>
      <c r="CR57" s="68">
        <f t="shared" si="33"/>
        <v>0</v>
      </c>
      <c r="CS57" s="69" t="str">
        <f t="shared" si="7"/>
        <v>D</v>
      </c>
      <c r="CT57" s="70" t="str">
        <f>IF(CR57="  ","  ",IF(CR57&gt;=menu!$D$19,"Tuntas","Tidak Tuntas"))</f>
        <v>Tuntas</v>
      </c>
      <c r="CU57" s="65"/>
      <c r="CV57" s="65"/>
      <c r="CW57" s="65"/>
      <c r="CX57" s="66"/>
      <c r="CY57" s="65"/>
      <c r="CZ57" s="65"/>
      <c r="DA57" s="65"/>
      <c r="DB57" s="67">
        <f t="shared" si="34"/>
        <v>0</v>
      </c>
      <c r="DC57" s="68">
        <f t="shared" si="35"/>
        <v>0</v>
      </c>
      <c r="DD57" s="68">
        <f t="shared" si="36"/>
        <v>0</v>
      </c>
      <c r="DE57" s="69" t="str">
        <f t="shared" si="8"/>
        <v>D</v>
      </c>
      <c r="DF57" s="70" t="str">
        <f>IF(DD57="  ","  ",IF(DD57&gt;=menu!$D$19,"Tuntas","Tidak Tuntas"))</f>
        <v>Tuntas</v>
      </c>
      <c r="DG57" s="65"/>
      <c r="DH57" s="65"/>
      <c r="DI57" s="65"/>
      <c r="DJ57" s="66"/>
      <c r="DK57" s="65"/>
      <c r="DL57" s="65"/>
      <c r="DM57" s="65"/>
      <c r="DN57" s="67">
        <f t="shared" si="37"/>
        <v>0</v>
      </c>
      <c r="DO57" s="68">
        <f t="shared" si="38"/>
        <v>0</v>
      </c>
      <c r="DP57" s="68">
        <f t="shared" si="39"/>
        <v>0</v>
      </c>
      <c r="DQ57" s="69" t="str">
        <f t="shared" si="9"/>
        <v>D</v>
      </c>
      <c r="DR57" s="70" t="str">
        <f>IF(DP57="  ","  ",IF(DP57&gt;=menu!$D$19,"Tuntas","Tidak Tuntas"))</f>
        <v>Tuntas</v>
      </c>
    </row>
    <row r="58" spans="1:122">
      <c r="A58" s="64">
        <f>'DATA SISWA'!A44</f>
        <v>40</v>
      </c>
      <c r="B58" s="76">
        <f>'DATA SISWA'!C44</f>
        <v>0</v>
      </c>
      <c r="C58" s="65"/>
      <c r="D58" s="65"/>
      <c r="E58" s="65"/>
      <c r="F58" s="66"/>
      <c r="G58" s="65"/>
      <c r="H58" s="65"/>
      <c r="I58" s="65"/>
      <c r="J58" s="67">
        <f t="shared" si="10"/>
        <v>0</v>
      </c>
      <c r="K58" s="68">
        <f t="shared" si="11"/>
        <v>0</v>
      </c>
      <c r="L58" s="68">
        <f t="shared" si="12"/>
        <v>0</v>
      </c>
      <c r="M58" s="69" t="str">
        <f t="shared" si="0"/>
        <v>D</v>
      </c>
      <c r="N58" s="70" t="str">
        <f>IF(L58="  ","  ",IF(L58&gt;=menu!$D$19,"Tuntas","Tidak Tuntas"))</f>
        <v>Tuntas</v>
      </c>
      <c r="O58" s="65"/>
      <c r="P58" s="65"/>
      <c r="Q58" s="65"/>
      <c r="R58" s="66"/>
      <c r="S58" s="65"/>
      <c r="T58" s="65"/>
      <c r="U58" s="65"/>
      <c r="V58" s="67">
        <f t="shared" si="13"/>
        <v>0</v>
      </c>
      <c r="W58" s="68">
        <f t="shared" si="14"/>
        <v>0</v>
      </c>
      <c r="X58" s="68">
        <f t="shared" si="15"/>
        <v>0</v>
      </c>
      <c r="Y58" s="69" t="str">
        <f t="shared" si="1"/>
        <v>D</v>
      </c>
      <c r="Z58" s="70" t="str">
        <f>IF(X58="  ","  ",IF(X58&gt;=menu!$D$19,"Tuntas","Tidak Tuntas"))</f>
        <v>Tuntas</v>
      </c>
      <c r="AA58" s="65"/>
      <c r="AB58" s="65"/>
      <c r="AC58" s="65"/>
      <c r="AD58" s="66"/>
      <c r="AE58" s="65"/>
      <c r="AF58" s="65"/>
      <c r="AG58" s="65"/>
      <c r="AH58" s="67">
        <f t="shared" si="16"/>
        <v>0</v>
      </c>
      <c r="AI58" s="68">
        <f t="shared" si="17"/>
        <v>0</v>
      </c>
      <c r="AJ58" s="68">
        <f t="shared" si="18"/>
        <v>0</v>
      </c>
      <c r="AK58" s="69" t="str">
        <f t="shared" si="2"/>
        <v>D</v>
      </c>
      <c r="AL58" s="70" t="str">
        <f>IF(AJ58="  ","  ",IF(AJ58&gt;=menu!$D$19,"Tuntas","Tidak Tuntas"))</f>
        <v>Tuntas</v>
      </c>
      <c r="AM58" s="65"/>
      <c r="AN58" s="65"/>
      <c r="AO58" s="65"/>
      <c r="AP58" s="66"/>
      <c r="AQ58" s="65"/>
      <c r="AR58" s="65"/>
      <c r="AS58" s="65"/>
      <c r="AT58" s="67">
        <f t="shared" si="19"/>
        <v>0</v>
      </c>
      <c r="AU58" s="68">
        <f t="shared" si="20"/>
        <v>0</v>
      </c>
      <c r="AV58" s="68">
        <f t="shared" si="21"/>
        <v>0</v>
      </c>
      <c r="AW58" s="69" t="str">
        <f t="shared" si="3"/>
        <v>D</v>
      </c>
      <c r="AX58" s="70" t="str">
        <f>IF(AV58="  ","  ",IF(AV58&gt;=menu!$D$19,"Tuntas","Tidak Tuntas"))</f>
        <v>Tuntas</v>
      </c>
      <c r="AY58" s="65"/>
      <c r="AZ58" s="65"/>
      <c r="BA58" s="65"/>
      <c r="BB58" s="66"/>
      <c r="BC58" s="65"/>
      <c r="BD58" s="65"/>
      <c r="BE58" s="65"/>
      <c r="BF58" s="67">
        <f t="shared" si="22"/>
        <v>0</v>
      </c>
      <c r="BG58" s="68">
        <f t="shared" si="23"/>
        <v>0</v>
      </c>
      <c r="BH58" s="68">
        <f t="shared" si="24"/>
        <v>0</v>
      </c>
      <c r="BI58" s="69" t="str">
        <f t="shared" si="4"/>
        <v>D</v>
      </c>
      <c r="BJ58" s="70" t="str">
        <f>IF(BH58="  ","  ",IF(BH58&gt;=menu!$D$19,"Tuntas","Tidak Tuntas"))</f>
        <v>Tuntas</v>
      </c>
      <c r="BK58" s="65"/>
      <c r="BL58" s="65"/>
      <c r="BM58" s="65"/>
      <c r="BN58" s="66"/>
      <c r="BO58" s="65"/>
      <c r="BP58" s="65"/>
      <c r="BQ58" s="65"/>
      <c r="BR58" s="67">
        <f t="shared" si="25"/>
        <v>0</v>
      </c>
      <c r="BS58" s="68">
        <f t="shared" si="26"/>
        <v>0</v>
      </c>
      <c r="BT58" s="68">
        <f t="shared" si="27"/>
        <v>0</v>
      </c>
      <c r="BU58" s="69" t="str">
        <f t="shared" si="5"/>
        <v>D</v>
      </c>
      <c r="BV58" s="70" t="str">
        <f>IF(BT58="  ","  ",IF(BT58&gt;=menu!$D$19,"Tuntas","Tidak Tuntas"))</f>
        <v>Tuntas</v>
      </c>
      <c r="BW58" s="65"/>
      <c r="BX58" s="65"/>
      <c r="BY58" s="65"/>
      <c r="BZ58" s="66"/>
      <c r="CA58" s="65"/>
      <c r="CB58" s="65"/>
      <c r="CC58" s="65"/>
      <c r="CD58" s="67">
        <f t="shared" si="28"/>
        <v>0</v>
      </c>
      <c r="CE58" s="68">
        <f t="shared" si="29"/>
        <v>0</v>
      </c>
      <c r="CF58" s="68">
        <f t="shared" si="30"/>
        <v>0</v>
      </c>
      <c r="CG58" s="69" t="str">
        <f t="shared" si="6"/>
        <v>D</v>
      </c>
      <c r="CH58" s="70" t="str">
        <f>IF(CF58="  ","  ",IF(CF58&gt;=menu!$D$19,"Tuntas","Tidak Tuntas"))</f>
        <v>Tuntas</v>
      </c>
      <c r="CI58" s="65"/>
      <c r="CJ58" s="65"/>
      <c r="CK58" s="65"/>
      <c r="CL58" s="66"/>
      <c r="CM58" s="65"/>
      <c r="CN58" s="65"/>
      <c r="CO58" s="65"/>
      <c r="CP58" s="67">
        <f t="shared" si="31"/>
        <v>0</v>
      </c>
      <c r="CQ58" s="68">
        <f t="shared" si="32"/>
        <v>0</v>
      </c>
      <c r="CR58" s="68">
        <f t="shared" si="33"/>
        <v>0</v>
      </c>
      <c r="CS58" s="69" t="str">
        <f t="shared" si="7"/>
        <v>D</v>
      </c>
      <c r="CT58" s="70" t="str">
        <f>IF(CR58="  ","  ",IF(CR58&gt;=menu!$D$19,"Tuntas","Tidak Tuntas"))</f>
        <v>Tuntas</v>
      </c>
      <c r="CU58" s="65"/>
      <c r="CV58" s="65"/>
      <c r="CW58" s="65"/>
      <c r="CX58" s="66"/>
      <c r="CY58" s="65"/>
      <c r="CZ58" s="65"/>
      <c r="DA58" s="65"/>
      <c r="DB58" s="67">
        <f t="shared" si="34"/>
        <v>0</v>
      </c>
      <c r="DC58" s="68">
        <f t="shared" si="35"/>
        <v>0</v>
      </c>
      <c r="DD58" s="68">
        <f t="shared" si="36"/>
        <v>0</v>
      </c>
      <c r="DE58" s="69" t="str">
        <f t="shared" si="8"/>
        <v>D</v>
      </c>
      <c r="DF58" s="70" t="str">
        <f>IF(DD58="  ","  ",IF(DD58&gt;=menu!$D$19,"Tuntas","Tidak Tuntas"))</f>
        <v>Tuntas</v>
      </c>
      <c r="DG58" s="65"/>
      <c r="DH58" s="65"/>
      <c r="DI58" s="65"/>
      <c r="DJ58" s="66"/>
      <c r="DK58" s="65"/>
      <c r="DL58" s="65"/>
      <c r="DM58" s="65"/>
      <c r="DN58" s="67">
        <f t="shared" si="37"/>
        <v>0</v>
      </c>
      <c r="DO58" s="68">
        <f t="shared" si="38"/>
        <v>0</v>
      </c>
      <c r="DP58" s="68">
        <f t="shared" si="39"/>
        <v>0</v>
      </c>
      <c r="DQ58" s="69" t="str">
        <f t="shared" si="9"/>
        <v>D</v>
      </c>
      <c r="DR58" s="70" t="str">
        <f>IF(DP58="  ","  ",IF(DP58&gt;=menu!$D$19,"Tuntas","Tidak Tuntas"))</f>
        <v>Tuntas</v>
      </c>
    </row>
    <row r="59" spans="1:122">
      <c r="A59" s="64">
        <f>'DATA SISWA'!A45</f>
        <v>41</v>
      </c>
      <c r="B59" s="76">
        <f>'DATA SISWA'!C45</f>
        <v>0</v>
      </c>
      <c r="C59" s="65"/>
      <c r="D59" s="65"/>
      <c r="E59" s="65"/>
      <c r="F59" s="66"/>
      <c r="G59" s="65"/>
      <c r="H59" s="65"/>
      <c r="I59" s="65"/>
      <c r="J59" s="67">
        <f t="shared" ref="J59:J66" si="40">SUM(C59:I59)</f>
        <v>0</v>
      </c>
      <c r="K59" s="68">
        <f t="shared" si="11"/>
        <v>0</v>
      </c>
      <c r="L59" s="68">
        <f t="shared" ref="L59:L66" si="41">IFERROR((K59/100)*4,"  ")</f>
        <v>0</v>
      </c>
      <c r="M59" s="69" t="str">
        <f t="shared" ref="M59:M66" si="42">IF(L59="  ","  ",IF(L59&gt;3.66,"A",IF(L59&gt;3.33,"A-",IF(L59&gt;3,"B+",IF(L59&gt;2.66,"B",IF(L59&gt;2.33,"B-",IF(L59&gt;2,"C+",IF(L59&gt;1.66,"C",IF(L59&gt;1.33,"C-",IF(L59&gt;1,"D+","D"))))))))))</f>
        <v>D</v>
      </c>
      <c r="N59" s="70" t="str">
        <f>IF(L59="  ","  ",IF(L59&gt;=menu!$D$19,"Tuntas","Tidak Tuntas"))</f>
        <v>Tuntas</v>
      </c>
      <c r="O59" s="65"/>
      <c r="P59" s="65"/>
      <c r="Q59" s="65"/>
      <c r="R59" s="66"/>
      <c r="S59" s="65"/>
      <c r="T59" s="65"/>
      <c r="U59" s="65"/>
      <c r="V59" s="67">
        <f t="shared" ref="V59:V66" si="43">SUM(O59:U59)</f>
        <v>0</v>
      </c>
      <c r="W59" s="68">
        <f t="shared" si="14"/>
        <v>0</v>
      </c>
      <c r="X59" s="68">
        <f t="shared" ref="X59:X66" si="44">IFERROR((W59/100)*4,"  ")</f>
        <v>0</v>
      </c>
      <c r="Y59" s="69" t="str">
        <f t="shared" ref="Y59:Y66" si="45">IF(X59="  ","  ",IF(X59&gt;3.66,"A",IF(X59&gt;3.33,"A-",IF(X59&gt;3,"B+",IF(X59&gt;2.66,"B",IF(X59&gt;2.33,"B-",IF(X59&gt;2,"C+",IF(X59&gt;1.66,"C",IF(X59&gt;1.33,"C-",IF(X59&gt;1,"D+","D"))))))))))</f>
        <v>D</v>
      </c>
      <c r="Z59" s="70" t="str">
        <f>IF(X59="  ","  ",IF(X59&gt;=menu!$D$19,"Tuntas","Tidak Tuntas"))</f>
        <v>Tuntas</v>
      </c>
      <c r="AA59" s="65"/>
      <c r="AB59" s="65"/>
      <c r="AC59" s="65"/>
      <c r="AD59" s="66"/>
      <c r="AE59" s="65"/>
      <c r="AF59" s="65"/>
      <c r="AG59" s="65"/>
      <c r="AH59" s="67">
        <f t="shared" ref="AH59:AH66" si="46">SUM(AA59:AG59)</f>
        <v>0</v>
      </c>
      <c r="AI59" s="68">
        <f t="shared" si="17"/>
        <v>0</v>
      </c>
      <c r="AJ59" s="68">
        <f t="shared" ref="AJ59:AJ66" si="47">IFERROR((AI59/100)*4,"  ")</f>
        <v>0</v>
      </c>
      <c r="AK59" s="69" t="str">
        <f t="shared" ref="AK59:AK66" si="48">IF(AJ59="  ","  ",IF(AJ59&gt;3.66,"A",IF(AJ59&gt;3.33,"A-",IF(AJ59&gt;3,"B+",IF(AJ59&gt;2.66,"B",IF(AJ59&gt;2.33,"B-",IF(AJ59&gt;2,"C+",IF(AJ59&gt;1.66,"C",IF(AJ59&gt;1.33,"C-",IF(AJ59&gt;1,"D+","D"))))))))))</f>
        <v>D</v>
      </c>
      <c r="AL59" s="70" t="str">
        <f>IF(AJ59="  ","  ",IF(AJ59&gt;=menu!$D$19,"Tuntas","Tidak Tuntas"))</f>
        <v>Tuntas</v>
      </c>
      <c r="AM59" s="65"/>
      <c r="AN59" s="65"/>
      <c r="AO59" s="65"/>
      <c r="AP59" s="66"/>
      <c r="AQ59" s="65"/>
      <c r="AR59" s="65"/>
      <c r="AS59" s="65"/>
      <c r="AT59" s="67">
        <f t="shared" ref="AT59:AT66" si="49">SUM(AM59:AS59)</f>
        <v>0</v>
      </c>
      <c r="AU59" s="68">
        <f t="shared" si="20"/>
        <v>0</v>
      </c>
      <c r="AV59" s="68">
        <f t="shared" ref="AV59:AV66" si="50">IFERROR((AU59/100)*4,"  ")</f>
        <v>0</v>
      </c>
      <c r="AW59" s="69" t="str">
        <f t="shared" ref="AW59:AW66" si="51">IF(AV59="  ","  ",IF(AV59&gt;3.66,"A",IF(AV59&gt;3.33,"A-",IF(AV59&gt;3,"B+",IF(AV59&gt;2.66,"B",IF(AV59&gt;2.33,"B-",IF(AV59&gt;2,"C+",IF(AV59&gt;1.66,"C",IF(AV59&gt;1.33,"C-",IF(AV59&gt;1,"D+","D"))))))))))</f>
        <v>D</v>
      </c>
      <c r="AX59" s="70" t="str">
        <f>IF(AV59="  ","  ",IF(AV59&gt;=menu!$D$19,"Tuntas","Tidak Tuntas"))</f>
        <v>Tuntas</v>
      </c>
      <c r="AY59" s="65"/>
      <c r="AZ59" s="65"/>
      <c r="BA59" s="65"/>
      <c r="BB59" s="66"/>
      <c r="BC59" s="65"/>
      <c r="BD59" s="65"/>
      <c r="BE59" s="65"/>
      <c r="BF59" s="67">
        <f t="shared" ref="BF59:BF66" si="52">SUM(AY59:BE59)</f>
        <v>0</v>
      </c>
      <c r="BG59" s="68">
        <f t="shared" si="23"/>
        <v>0</v>
      </c>
      <c r="BH59" s="68">
        <f t="shared" ref="BH59:BH66" si="53">IFERROR((BG59/100)*4,"  ")</f>
        <v>0</v>
      </c>
      <c r="BI59" s="69" t="str">
        <f t="shared" ref="BI59:BI66" si="54">IF(BH59="  ","  ",IF(BH59&gt;3.66,"A",IF(BH59&gt;3.33,"A-",IF(BH59&gt;3,"B+",IF(BH59&gt;2.66,"B",IF(BH59&gt;2.33,"B-",IF(BH59&gt;2,"C+",IF(BH59&gt;1.66,"C",IF(BH59&gt;1.33,"C-",IF(BH59&gt;1,"D+","D"))))))))))</f>
        <v>D</v>
      </c>
      <c r="BJ59" s="70" t="str">
        <f>IF(BH59="  ","  ",IF(BH59&gt;=menu!$D$19,"Tuntas","Tidak Tuntas"))</f>
        <v>Tuntas</v>
      </c>
      <c r="BK59" s="65"/>
      <c r="BL59" s="65"/>
      <c r="BM59" s="65"/>
      <c r="BN59" s="66"/>
      <c r="BO59" s="65"/>
      <c r="BP59" s="65"/>
      <c r="BQ59" s="65"/>
      <c r="BR59" s="67">
        <f t="shared" ref="BR59:BR66" si="55">SUM(BK59:BQ59)</f>
        <v>0</v>
      </c>
      <c r="BS59" s="68">
        <f t="shared" si="26"/>
        <v>0</v>
      </c>
      <c r="BT59" s="68">
        <f t="shared" ref="BT59:BT66" si="56">IFERROR((BS59/100)*4,"  ")</f>
        <v>0</v>
      </c>
      <c r="BU59" s="69" t="str">
        <f t="shared" ref="BU59:BU66" si="57">IF(BT59="  ","  ",IF(BT59&gt;3.66,"A",IF(BT59&gt;3.33,"A-",IF(BT59&gt;3,"B+",IF(BT59&gt;2.66,"B",IF(BT59&gt;2.33,"B-",IF(BT59&gt;2,"C+",IF(BT59&gt;1.66,"C",IF(BT59&gt;1.33,"C-",IF(BT59&gt;1,"D+","D"))))))))))</f>
        <v>D</v>
      </c>
      <c r="BV59" s="70" t="str">
        <f>IF(BT59="  ","  ",IF(BT59&gt;=menu!$D$19,"Tuntas","Tidak Tuntas"))</f>
        <v>Tuntas</v>
      </c>
      <c r="BW59" s="65"/>
      <c r="BX59" s="65"/>
      <c r="BY59" s="65"/>
      <c r="BZ59" s="66"/>
      <c r="CA59" s="65"/>
      <c r="CB59" s="65"/>
      <c r="CC59" s="65"/>
      <c r="CD59" s="67">
        <f t="shared" ref="CD59:CD66" si="58">SUM(BW59:CC59)</f>
        <v>0</v>
      </c>
      <c r="CE59" s="68">
        <f t="shared" si="29"/>
        <v>0</v>
      </c>
      <c r="CF59" s="68">
        <f t="shared" ref="CF59:CF66" si="59">IFERROR((CE59/100)*4,"  ")</f>
        <v>0</v>
      </c>
      <c r="CG59" s="69" t="str">
        <f t="shared" ref="CG59:CG66" si="60">IF(CF59="  ","  ",IF(CF59&gt;3.66,"A",IF(CF59&gt;3.33,"A-",IF(CF59&gt;3,"B+",IF(CF59&gt;2.66,"B",IF(CF59&gt;2.33,"B-",IF(CF59&gt;2,"C+",IF(CF59&gt;1.66,"C",IF(CF59&gt;1.33,"C-",IF(CF59&gt;1,"D+","D"))))))))))</f>
        <v>D</v>
      </c>
      <c r="CH59" s="70" t="str">
        <f>IF(CF59="  ","  ",IF(CF59&gt;=menu!$D$19,"Tuntas","Tidak Tuntas"))</f>
        <v>Tuntas</v>
      </c>
      <c r="CI59" s="65"/>
      <c r="CJ59" s="65"/>
      <c r="CK59" s="65"/>
      <c r="CL59" s="66"/>
      <c r="CM59" s="65"/>
      <c r="CN59" s="65"/>
      <c r="CO59" s="65"/>
      <c r="CP59" s="67">
        <f t="shared" ref="CP59:CP66" si="61">SUM(CI59:CO59)</f>
        <v>0</v>
      </c>
      <c r="CQ59" s="68">
        <f t="shared" si="32"/>
        <v>0</v>
      </c>
      <c r="CR59" s="68">
        <f t="shared" ref="CR59:CR66" si="62">IFERROR((CQ59/100)*4,"  ")</f>
        <v>0</v>
      </c>
      <c r="CS59" s="69" t="str">
        <f t="shared" ref="CS59:CS66" si="63">IF(CR59="  ","  ",IF(CR59&gt;3.66,"A",IF(CR59&gt;3.33,"A-",IF(CR59&gt;3,"B+",IF(CR59&gt;2.66,"B",IF(CR59&gt;2.33,"B-",IF(CR59&gt;2,"C+",IF(CR59&gt;1.66,"C",IF(CR59&gt;1.33,"C-",IF(CR59&gt;1,"D+","D"))))))))))</f>
        <v>D</v>
      </c>
      <c r="CT59" s="70" t="str">
        <f>IF(CR59="  ","  ",IF(CR59&gt;=menu!$D$19,"Tuntas","Tidak Tuntas"))</f>
        <v>Tuntas</v>
      </c>
      <c r="CU59" s="65"/>
      <c r="CV59" s="65"/>
      <c r="CW59" s="65"/>
      <c r="CX59" s="66"/>
      <c r="CY59" s="65"/>
      <c r="CZ59" s="65"/>
      <c r="DA59" s="65"/>
      <c r="DB59" s="67">
        <f t="shared" ref="DB59:DB66" si="64">SUM(CU59:DA59)</f>
        <v>0</v>
      </c>
      <c r="DC59" s="68">
        <f t="shared" si="35"/>
        <v>0</v>
      </c>
      <c r="DD59" s="68">
        <f t="shared" ref="DD59:DD66" si="65">IFERROR((DC59/100)*4,"  ")</f>
        <v>0</v>
      </c>
      <c r="DE59" s="69" t="str">
        <f t="shared" ref="DE59:DE66" si="66">IF(DD59="  ","  ",IF(DD59&gt;3.66,"A",IF(DD59&gt;3.33,"A-",IF(DD59&gt;3,"B+",IF(DD59&gt;2.66,"B",IF(DD59&gt;2.33,"B-",IF(DD59&gt;2,"C+",IF(DD59&gt;1.66,"C",IF(DD59&gt;1.33,"C-",IF(DD59&gt;1,"D+","D"))))))))))</f>
        <v>D</v>
      </c>
      <c r="DF59" s="70" t="str">
        <f>IF(DD59="  ","  ",IF(DD59&gt;=menu!$D$19,"Tuntas","Tidak Tuntas"))</f>
        <v>Tuntas</v>
      </c>
      <c r="DG59" s="65"/>
      <c r="DH59" s="65"/>
      <c r="DI59" s="65"/>
      <c r="DJ59" s="66"/>
      <c r="DK59" s="65"/>
      <c r="DL59" s="65"/>
      <c r="DM59" s="65"/>
      <c r="DN59" s="67">
        <f t="shared" ref="DN59:DN66" si="67">SUM(DG59:DM59)</f>
        <v>0</v>
      </c>
      <c r="DO59" s="68">
        <f t="shared" si="38"/>
        <v>0</v>
      </c>
      <c r="DP59" s="68">
        <f t="shared" ref="DP59:DP66" si="68">IFERROR((DO59/100)*4,"  ")</f>
        <v>0</v>
      </c>
      <c r="DQ59" s="69" t="str">
        <f t="shared" ref="DQ59:DQ66" si="69">IF(DP59="  ","  ",IF(DP59&gt;3.66,"A",IF(DP59&gt;3.33,"A-",IF(DP59&gt;3,"B+",IF(DP59&gt;2.66,"B",IF(DP59&gt;2.33,"B-",IF(DP59&gt;2,"C+",IF(DP59&gt;1.66,"C",IF(DP59&gt;1.33,"C-",IF(DP59&gt;1,"D+","D"))))))))))</f>
        <v>D</v>
      </c>
      <c r="DR59" s="70" t="str">
        <f>IF(DP59="  ","  ",IF(DP59&gt;=menu!$D$19,"Tuntas","Tidak Tuntas"))</f>
        <v>Tuntas</v>
      </c>
    </row>
    <row r="60" spans="1:122">
      <c r="A60" s="64">
        <f>'DATA SISWA'!A46</f>
        <v>42</v>
      </c>
      <c r="B60" s="76">
        <f>'DATA SISWA'!C46</f>
        <v>0</v>
      </c>
      <c r="C60" s="65"/>
      <c r="D60" s="65"/>
      <c r="E60" s="65"/>
      <c r="F60" s="66"/>
      <c r="G60" s="65"/>
      <c r="H60" s="65"/>
      <c r="I60" s="65"/>
      <c r="J60" s="67">
        <f t="shared" si="40"/>
        <v>0</v>
      </c>
      <c r="K60" s="68">
        <f t="shared" si="11"/>
        <v>0</v>
      </c>
      <c r="L60" s="68">
        <f t="shared" si="41"/>
        <v>0</v>
      </c>
      <c r="M60" s="69" t="str">
        <f t="shared" si="42"/>
        <v>D</v>
      </c>
      <c r="N60" s="70" t="str">
        <f>IF(L60="  ","  ",IF(L60&gt;=menu!$D$19,"Tuntas","Tidak Tuntas"))</f>
        <v>Tuntas</v>
      </c>
      <c r="O60" s="65"/>
      <c r="P60" s="65"/>
      <c r="Q60" s="65"/>
      <c r="R60" s="66"/>
      <c r="S60" s="65"/>
      <c r="T60" s="65"/>
      <c r="U60" s="65"/>
      <c r="V60" s="67">
        <f t="shared" si="43"/>
        <v>0</v>
      </c>
      <c r="W60" s="68">
        <f t="shared" si="14"/>
        <v>0</v>
      </c>
      <c r="X60" s="68">
        <f t="shared" si="44"/>
        <v>0</v>
      </c>
      <c r="Y60" s="69" t="str">
        <f t="shared" si="45"/>
        <v>D</v>
      </c>
      <c r="Z60" s="70" t="str">
        <f>IF(X60="  ","  ",IF(X60&gt;=menu!$D$19,"Tuntas","Tidak Tuntas"))</f>
        <v>Tuntas</v>
      </c>
      <c r="AA60" s="65"/>
      <c r="AB60" s="65"/>
      <c r="AC60" s="65"/>
      <c r="AD60" s="66"/>
      <c r="AE60" s="65"/>
      <c r="AF60" s="65"/>
      <c r="AG60" s="65"/>
      <c r="AH60" s="67">
        <f t="shared" si="46"/>
        <v>0</v>
      </c>
      <c r="AI60" s="68">
        <f t="shared" si="17"/>
        <v>0</v>
      </c>
      <c r="AJ60" s="68">
        <f t="shared" si="47"/>
        <v>0</v>
      </c>
      <c r="AK60" s="69" t="str">
        <f t="shared" si="48"/>
        <v>D</v>
      </c>
      <c r="AL60" s="70" t="str">
        <f>IF(AJ60="  ","  ",IF(AJ60&gt;=menu!$D$19,"Tuntas","Tidak Tuntas"))</f>
        <v>Tuntas</v>
      </c>
      <c r="AM60" s="65"/>
      <c r="AN60" s="65"/>
      <c r="AO60" s="65"/>
      <c r="AP60" s="66"/>
      <c r="AQ60" s="65"/>
      <c r="AR60" s="65"/>
      <c r="AS60" s="65"/>
      <c r="AT60" s="67">
        <f t="shared" si="49"/>
        <v>0</v>
      </c>
      <c r="AU60" s="68">
        <f t="shared" si="20"/>
        <v>0</v>
      </c>
      <c r="AV60" s="68">
        <f t="shared" si="50"/>
        <v>0</v>
      </c>
      <c r="AW60" s="69" t="str">
        <f t="shared" si="51"/>
        <v>D</v>
      </c>
      <c r="AX60" s="70" t="str">
        <f>IF(AV60="  ","  ",IF(AV60&gt;=menu!$D$19,"Tuntas","Tidak Tuntas"))</f>
        <v>Tuntas</v>
      </c>
      <c r="AY60" s="65"/>
      <c r="AZ60" s="65"/>
      <c r="BA60" s="65"/>
      <c r="BB60" s="66"/>
      <c r="BC60" s="65"/>
      <c r="BD60" s="65"/>
      <c r="BE60" s="65"/>
      <c r="BF60" s="67">
        <f t="shared" si="52"/>
        <v>0</v>
      </c>
      <c r="BG60" s="68">
        <f t="shared" si="23"/>
        <v>0</v>
      </c>
      <c r="BH60" s="68">
        <f t="shared" si="53"/>
        <v>0</v>
      </c>
      <c r="BI60" s="69" t="str">
        <f t="shared" si="54"/>
        <v>D</v>
      </c>
      <c r="BJ60" s="70" t="str">
        <f>IF(BH60="  ","  ",IF(BH60&gt;=menu!$D$19,"Tuntas","Tidak Tuntas"))</f>
        <v>Tuntas</v>
      </c>
      <c r="BK60" s="65"/>
      <c r="BL60" s="65"/>
      <c r="BM60" s="65"/>
      <c r="BN60" s="66"/>
      <c r="BO60" s="65"/>
      <c r="BP60" s="65"/>
      <c r="BQ60" s="65"/>
      <c r="BR60" s="67">
        <f t="shared" si="55"/>
        <v>0</v>
      </c>
      <c r="BS60" s="68">
        <f t="shared" si="26"/>
        <v>0</v>
      </c>
      <c r="BT60" s="68">
        <f t="shared" si="56"/>
        <v>0</v>
      </c>
      <c r="BU60" s="69" t="str">
        <f t="shared" si="57"/>
        <v>D</v>
      </c>
      <c r="BV60" s="70" t="str">
        <f>IF(BT60="  ","  ",IF(BT60&gt;=menu!$D$19,"Tuntas","Tidak Tuntas"))</f>
        <v>Tuntas</v>
      </c>
      <c r="BW60" s="65"/>
      <c r="BX60" s="65"/>
      <c r="BY60" s="65"/>
      <c r="BZ60" s="66"/>
      <c r="CA60" s="65"/>
      <c r="CB60" s="65"/>
      <c r="CC60" s="65"/>
      <c r="CD60" s="67">
        <f t="shared" si="58"/>
        <v>0</v>
      </c>
      <c r="CE60" s="68">
        <f t="shared" si="29"/>
        <v>0</v>
      </c>
      <c r="CF60" s="68">
        <f t="shared" si="59"/>
        <v>0</v>
      </c>
      <c r="CG60" s="69" t="str">
        <f t="shared" si="60"/>
        <v>D</v>
      </c>
      <c r="CH60" s="70" t="str">
        <f>IF(CF60="  ","  ",IF(CF60&gt;=menu!$D$19,"Tuntas","Tidak Tuntas"))</f>
        <v>Tuntas</v>
      </c>
      <c r="CI60" s="65"/>
      <c r="CJ60" s="65"/>
      <c r="CK60" s="65"/>
      <c r="CL60" s="66"/>
      <c r="CM60" s="65"/>
      <c r="CN60" s="65"/>
      <c r="CO60" s="65"/>
      <c r="CP60" s="67">
        <f t="shared" si="61"/>
        <v>0</v>
      </c>
      <c r="CQ60" s="68">
        <f t="shared" si="32"/>
        <v>0</v>
      </c>
      <c r="CR60" s="68">
        <f t="shared" si="62"/>
        <v>0</v>
      </c>
      <c r="CS60" s="69" t="str">
        <f t="shared" si="63"/>
        <v>D</v>
      </c>
      <c r="CT60" s="70" t="str">
        <f>IF(CR60="  ","  ",IF(CR60&gt;=menu!$D$19,"Tuntas","Tidak Tuntas"))</f>
        <v>Tuntas</v>
      </c>
      <c r="CU60" s="65"/>
      <c r="CV60" s="65"/>
      <c r="CW60" s="65"/>
      <c r="CX60" s="66"/>
      <c r="CY60" s="65"/>
      <c r="CZ60" s="65"/>
      <c r="DA60" s="65"/>
      <c r="DB60" s="67">
        <f t="shared" si="64"/>
        <v>0</v>
      </c>
      <c r="DC60" s="68">
        <f t="shared" si="35"/>
        <v>0</v>
      </c>
      <c r="DD60" s="68">
        <f t="shared" si="65"/>
        <v>0</v>
      </c>
      <c r="DE60" s="69" t="str">
        <f t="shared" si="66"/>
        <v>D</v>
      </c>
      <c r="DF60" s="70" t="str">
        <f>IF(DD60="  ","  ",IF(DD60&gt;=menu!$D$19,"Tuntas","Tidak Tuntas"))</f>
        <v>Tuntas</v>
      </c>
      <c r="DG60" s="65"/>
      <c r="DH60" s="65"/>
      <c r="DI60" s="65"/>
      <c r="DJ60" s="66"/>
      <c r="DK60" s="65"/>
      <c r="DL60" s="65"/>
      <c r="DM60" s="65"/>
      <c r="DN60" s="67">
        <f t="shared" si="67"/>
        <v>0</v>
      </c>
      <c r="DO60" s="68">
        <f t="shared" si="38"/>
        <v>0</v>
      </c>
      <c r="DP60" s="68">
        <f t="shared" si="68"/>
        <v>0</v>
      </c>
      <c r="DQ60" s="69" t="str">
        <f t="shared" si="69"/>
        <v>D</v>
      </c>
      <c r="DR60" s="70" t="str">
        <f>IF(DP60="  ","  ",IF(DP60&gt;=menu!$D$19,"Tuntas","Tidak Tuntas"))</f>
        <v>Tuntas</v>
      </c>
    </row>
    <row r="61" spans="1:122">
      <c r="A61" s="64">
        <f>'DATA SISWA'!A47</f>
        <v>43</v>
      </c>
      <c r="B61" s="76">
        <f>'DATA SISWA'!C47</f>
        <v>0</v>
      </c>
      <c r="C61" s="65"/>
      <c r="D61" s="65"/>
      <c r="E61" s="65"/>
      <c r="F61" s="66"/>
      <c r="G61" s="65"/>
      <c r="H61" s="65"/>
      <c r="I61" s="65"/>
      <c r="J61" s="67">
        <f t="shared" si="40"/>
        <v>0</v>
      </c>
      <c r="K61" s="68">
        <f t="shared" si="11"/>
        <v>0</v>
      </c>
      <c r="L61" s="68">
        <f t="shared" si="41"/>
        <v>0</v>
      </c>
      <c r="M61" s="69" t="str">
        <f t="shared" si="42"/>
        <v>D</v>
      </c>
      <c r="N61" s="70" t="str">
        <f>IF(L61="  ","  ",IF(L61&gt;=menu!$D$19,"Tuntas","Tidak Tuntas"))</f>
        <v>Tuntas</v>
      </c>
      <c r="O61" s="65"/>
      <c r="P61" s="65"/>
      <c r="Q61" s="65"/>
      <c r="R61" s="66"/>
      <c r="S61" s="65"/>
      <c r="T61" s="65"/>
      <c r="U61" s="65"/>
      <c r="V61" s="67">
        <f t="shared" si="43"/>
        <v>0</v>
      </c>
      <c r="W61" s="68">
        <f t="shared" si="14"/>
        <v>0</v>
      </c>
      <c r="X61" s="68">
        <f t="shared" si="44"/>
        <v>0</v>
      </c>
      <c r="Y61" s="69" t="str">
        <f t="shared" si="45"/>
        <v>D</v>
      </c>
      <c r="Z61" s="70" t="str">
        <f>IF(X61="  ","  ",IF(X61&gt;=menu!$D$19,"Tuntas","Tidak Tuntas"))</f>
        <v>Tuntas</v>
      </c>
      <c r="AA61" s="65"/>
      <c r="AB61" s="65"/>
      <c r="AC61" s="65"/>
      <c r="AD61" s="66"/>
      <c r="AE61" s="65"/>
      <c r="AF61" s="65"/>
      <c r="AG61" s="65"/>
      <c r="AH61" s="67">
        <f t="shared" si="46"/>
        <v>0</v>
      </c>
      <c r="AI61" s="68">
        <f t="shared" si="17"/>
        <v>0</v>
      </c>
      <c r="AJ61" s="68">
        <f t="shared" si="47"/>
        <v>0</v>
      </c>
      <c r="AK61" s="69" t="str">
        <f t="shared" si="48"/>
        <v>D</v>
      </c>
      <c r="AL61" s="70" t="str">
        <f>IF(AJ61="  ","  ",IF(AJ61&gt;=menu!$D$19,"Tuntas","Tidak Tuntas"))</f>
        <v>Tuntas</v>
      </c>
      <c r="AM61" s="65"/>
      <c r="AN61" s="65"/>
      <c r="AO61" s="65"/>
      <c r="AP61" s="66"/>
      <c r="AQ61" s="65"/>
      <c r="AR61" s="65"/>
      <c r="AS61" s="65"/>
      <c r="AT61" s="67">
        <f t="shared" si="49"/>
        <v>0</v>
      </c>
      <c r="AU61" s="68">
        <f t="shared" si="20"/>
        <v>0</v>
      </c>
      <c r="AV61" s="68">
        <f t="shared" si="50"/>
        <v>0</v>
      </c>
      <c r="AW61" s="69" t="str">
        <f t="shared" si="51"/>
        <v>D</v>
      </c>
      <c r="AX61" s="70" t="str">
        <f>IF(AV61="  ","  ",IF(AV61&gt;=menu!$D$19,"Tuntas","Tidak Tuntas"))</f>
        <v>Tuntas</v>
      </c>
      <c r="AY61" s="65"/>
      <c r="AZ61" s="65"/>
      <c r="BA61" s="65"/>
      <c r="BB61" s="66"/>
      <c r="BC61" s="65"/>
      <c r="BD61" s="65"/>
      <c r="BE61" s="65"/>
      <c r="BF61" s="67">
        <f t="shared" si="52"/>
        <v>0</v>
      </c>
      <c r="BG61" s="68">
        <f t="shared" si="23"/>
        <v>0</v>
      </c>
      <c r="BH61" s="68">
        <f t="shared" si="53"/>
        <v>0</v>
      </c>
      <c r="BI61" s="69" t="str">
        <f t="shared" si="54"/>
        <v>D</v>
      </c>
      <c r="BJ61" s="70" t="str">
        <f>IF(BH61="  ","  ",IF(BH61&gt;=menu!$D$19,"Tuntas","Tidak Tuntas"))</f>
        <v>Tuntas</v>
      </c>
      <c r="BK61" s="65"/>
      <c r="BL61" s="65"/>
      <c r="BM61" s="65"/>
      <c r="BN61" s="66"/>
      <c r="BO61" s="65"/>
      <c r="BP61" s="65"/>
      <c r="BQ61" s="65"/>
      <c r="BR61" s="67">
        <f t="shared" si="55"/>
        <v>0</v>
      </c>
      <c r="BS61" s="68">
        <f t="shared" si="26"/>
        <v>0</v>
      </c>
      <c r="BT61" s="68">
        <f t="shared" si="56"/>
        <v>0</v>
      </c>
      <c r="BU61" s="69" t="str">
        <f t="shared" si="57"/>
        <v>D</v>
      </c>
      <c r="BV61" s="70" t="str">
        <f>IF(BT61="  ","  ",IF(BT61&gt;=menu!$D$19,"Tuntas","Tidak Tuntas"))</f>
        <v>Tuntas</v>
      </c>
      <c r="BW61" s="65"/>
      <c r="BX61" s="65"/>
      <c r="BY61" s="65"/>
      <c r="BZ61" s="66"/>
      <c r="CA61" s="65"/>
      <c r="CB61" s="65"/>
      <c r="CC61" s="65"/>
      <c r="CD61" s="67">
        <f t="shared" si="58"/>
        <v>0</v>
      </c>
      <c r="CE61" s="68">
        <f t="shared" si="29"/>
        <v>0</v>
      </c>
      <c r="CF61" s="68">
        <f t="shared" si="59"/>
        <v>0</v>
      </c>
      <c r="CG61" s="69" t="str">
        <f t="shared" si="60"/>
        <v>D</v>
      </c>
      <c r="CH61" s="70" t="str">
        <f>IF(CF61="  ","  ",IF(CF61&gt;=menu!$D$19,"Tuntas","Tidak Tuntas"))</f>
        <v>Tuntas</v>
      </c>
      <c r="CI61" s="65"/>
      <c r="CJ61" s="65"/>
      <c r="CK61" s="65"/>
      <c r="CL61" s="66"/>
      <c r="CM61" s="65"/>
      <c r="CN61" s="65"/>
      <c r="CO61" s="65"/>
      <c r="CP61" s="67">
        <f t="shared" si="61"/>
        <v>0</v>
      </c>
      <c r="CQ61" s="68">
        <f t="shared" si="32"/>
        <v>0</v>
      </c>
      <c r="CR61" s="68">
        <f t="shared" si="62"/>
        <v>0</v>
      </c>
      <c r="CS61" s="69" t="str">
        <f t="shared" si="63"/>
        <v>D</v>
      </c>
      <c r="CT61" s="70" t="str">
        <f>IF(CR61="  ","  ",IF(CR61&gt;=menu!$D$19,"Tuntas","Tidak Tuntas"))</f>
        <v>Tuntas</v>
      </c>
      <c r="CU61" s="65"/>
      <c r="CV61" s="65"/>
      <c r="CW61" s="65"/>
      <c r="CX61" s="66"/>
      <c r="CY61" s="65"/>
      <c r="CZ61" s="65"/>
      <c r="DA61" s="65"/>
      <c r="DB61" s="67">
        <f t="shared" si="64"/>
        <v>0</v>
      </c>
      <c r="DC61" s="68">
        <f t="shared" si="35"/>
        <v>0</v>
      </c>
      <c r="DD61" s="68">
        <f t="shared" si="65"/>
        <v>0</v>
      </c>
      <c r="DE61" s="69" t="str">
        <f t="shared" si="66"/>
        <v>D</v>
      </c>
      <c r="DF61" s="70" t="str">
        <f>IF(DD61="  ","  ",IF(DD61&gt;=menu!$D$19,"Tuntas","Tidak Tuntas"))</f>
        <v>Tuntas</v>
      </c>
      <c r="DG61" s="65"/>
      <c r="DH61" s="65"/>
      <c r="DI61" s="65"/>
      <c r="DJ61" s="66"/>
      <c r="DK61" s="65"/>
      <c r="DL61" s="65"/>
      <c r="DM61" s="65"/>
      <c r="DN61" s="67">
        <f t="shared" si="67"/>
        <v>0</v>
      </c>
      <c r="DO61" s="68">
        <f t="shared" si="38"/>
        <v>0</v>
      </c>
      <c r="DP61" s="68">
        <f t="shared" si="68"/>
        <v>0</v>
      </c>
      <c r="DQ61" s="69" t="str">
        <f t="shared" si="69"/>
        <v>D</v>
      </c>
      <c r="DR61" s="70" t="str">
        <f>IF(DP61="  ","  ",IF(DP61&gt;=menu!$D$19,"Tuntas","Tidak Tuntas"))</f>
        <v>Tuntas</v>
      </c>
    </row>
    <row r="62" spans="1:122">
      <c r="A62" s="64">
        <f>'DATA SISWA'!A48</f>
        <v>44</v>
      </c>
      <c r="B62" s="76">
        <f>'DATA SISWA'!C48</f>
        <v>0</v>
      </c>
      <c r="C62" s="65"/>
      <c r="D62" s="65"/>
      <c r="E62" s="65"/>
      <c r="F62" s="66"/>
      <c r="G62" s="65"/>
      <c r="H62" s="65"/>
      <c r="I62" s="65"/>
      <c r="J62" s="67">
        <f t="shared" si="40"/>
        <v>0</v>
      </c>
      <c r="K62" s="68">
        <f t="shared" si="11"/>
        <v>0</v>
      </c>
      <c r="L62" s="68">
        <f t="shared" si="41"/>
        <v>0</v>
      </c>
      <c r="M62" s="69" t="str">
        <f t="shared" si="42"/>
        <v>D</v>
      </c>
      <c r="N62" s="70" t="str">
        <f>IF(L62="  ","  ",IF(L62&gt;=menu!$D$19,"Tuntas","Tidak Tuntas"))</f>
        <v>Tuntas</v>
      </c>
      <c r="O62" s="65"/>
      <c r="P62" s="65"/>
      <c r="Q62" s="65"/>
      <c r="R62" s="66"/>
      <c r="S62" s="65"/>
      <c r="T62" s="65"/>
      <c r="U62" s="65"/>
      <c r="V62" s="67">
        <f t="shared" si="43"/>
        <v>0</v>
      </c>
      <c r="W62" s="68">
        <f t="shared" si="14"/>
        <v>0</v>
      </c>
      <c r="X62" s="68">
        <f t="shared" si="44"/>
        <v>0</v>
      </c>
      <c r="Y62" s="69" t="str">
        <f t="shared" si="45"/>
        <v>D</v>
      </c>
      <c r="Z62" s="70" t="str">
        <f>IF(X62="  ","  ",IF(X62&gt;=menu!$D$19,"Tuntas","Tidak Tuntas"))</f>
        <v>Tuntas</v>
      </c>
      <c r="AA62" s="65"/>
      <c r="AB62" s="65"/>
      <c r="AC62" s="65"/>
      <c r="AD62" s="66"/>
      <c r="AE62" s="65"/>
      <c r="AF62" s="65"/>
      <c r="AG62" s="65"/>
      <c r="AH62" s="67">
        <f t="shared" si="46"/>
        <v>0</v>
      </c>
      <c r="AI62" s="68">
        <f t="shared" si="17"/>
        <v>0</v>
      </c>
      <c r="AJ62" s="68">
        <f t="shared" si="47"/>
        <v>0</v>
      </c>
      <c r="AK62" s="69" t="str">
        <f t="shared" si="48"/>
        <v>D</v>
      </c>
      <c r="AL62" s="70" t="str">
        <f>IF(AJ62="  ","  ",IF(AJ62&gt;=menu!$D$19,"Tuntas","Tidak Tuntas"))</f>
        <v>Tuntas</v>
      </c>
      <c r="AM62" s="65"/>
      <c r="AN62" s="65"/>
      <c r="AO62" s="65"/>
      <c r="AP62" s="66"/>
      <c r="AQ62" s="65"/>
      <c r="AR62" s="65"/>
      <c r="AS62" s="65"/>
      <c r="AT62" s="67">
        <f t="shared" si="49"/>
        <v>0</v>
      </c>
      <c r="AU62" s="68">
        <f t="shared" si="20"/>
        <v>0</v>
      </c>
      <c r="AV62" s="68">
        <f t="shared" si="50"/>
        <v>0</v>
      </c>
      <c r="AW62" s="69" t="str">
        <f t="shared" si="51"/>
        <v>D</v>
      </c>
      <c r="AX62" s="70" t="str">
        <f>IF(AV62="  ","  ",IF(AV62&gt;=menu!$D$19,"Tuntas","Tidak Tuntas"))</f>
        <v>Tuntas</v>
      </c>
      <c r="AY62" s="65"/>
      <c r="AZ62" s="65"/>
      <c r="BA62" s="65"/>
      <c r="BB62" s="66"/>
      <c r="BC62" s="65"/>
      <c r="BD62" s="65"/>
      <c r="BE62" s="65"/>
      <c r="BF62" s="67">
        <f t="shared" si="52"/>
        <v>0</v>
      </c>
      <c r="BG62" s="68">
        <f t="shared" si="23"/>
        <v>0</v>
      </c>
      <c r="BH62" s="68">
        <f t="shared" si="53"/>
        <v>0</v>
      </c>
      <c r="BI62" s="69" t="str">
        <f t="shared" si="54"/>
        <v>D</v>
      </c>
      <c r="BJ62" s="70" t="str">
        <f>IF(BH62="  ","  ",IF(BH62&gt;=menu!$D$19,"Tuntas","Tidak Tuntas"))</f>
        <v>Tuntas</v>
      </c>
      <c r="BK62" s="65"/>
      <c r="BL62" s="65"/>
      <c r="BM62" s="65"/>
      <c r="BN62" s="66"/>
      <c r="BO62" s="65"/>
      <c r="BP62" s="65"/>
      <c r="BQ62" s="65"/>
      <c r="BR62" s="67">
        <f t="shared" si="55"/>
        <v>0</v>
      </c>
      <c r="BS62" s="68">
        <f t="shared" si="26"/>
        <v>0</v>
      </c>
      <c r="BT62" s="68">
        <f t="shared" si="56"/>
        <v>0</v>
      </c>
      <c r="BU62" s="69" t="str">
        <f t="shared" si="57"/>
        <v>D</v>
      </c>
      <c r="BV62" s="70" t="str">
        <f>IF(BT62="  ","  ",IF(BT62&gt;=menu!$D$19,"Tuntas","Tidak Tuntas"))</f>
        <v>Tuntas</v>
      </c>
      <c r="BW62" s="65"/>
      <c r="BX62" s="65"/>
      <c r="BY62" s="65"/>
      <c r="BZ62" s="66"/>
      <c r="CA62" s="65"/>
      <c r="CB62" s="65"/>
      <c r="CC62" s="65"/>
      <c r="CD62" s="67">
        <f t="shared" si="58"/>
        <v>0</v>
      </c>
      <c r="CE62" s="68">
        <f t="shared" si="29"/>
        <v>0</v>
      </c>
      <c r="CF62" s="68">
        <f t="shared" si="59"/>
        <v>0</v>
      </c>
      <c r="CG62" s="69" t="str">
        <f t="shared" si="60"/>
        <v>D</v>
      </c>
      <c r="CH62" s="70" t="str">
        <f>IF(CF62="  ","  ",IF(CF62&gt;=menu!$D$19,"Tuntas","Tidak Tuntas"))</f>
        <v>Tuntas</v>
      </c>
      <c r="CI62" s="65"/>
      <c r="CJ62" s="65"/>
      <c r="CK62" s="65"/>
      <c r="CL62" s="66"/>
      <c r="CM62" s="65"/>
      <c r="CN62" s="65"/>
      <c r="CO62" s="65"/>
      <c r="CP62" s="67">
        <f t="shared" si="61"/>
        <v>0</v>
      </c>
      <c r="CQ62" s="68">
        <f t="shared" si="32"/>
        <v>0</v>
      </c>
      <c r="CR62" s="68">
        <f t="shared" si="62"/>
        <v>0</v>
      </c>
      <c r="CS62" s="69" t="str">
        <f t="shared" si="63"/>
        <v>D</v>
      </c>
      <c r="CT62" s="70" t="str">
        <f>IF(CR62="  ","  ",IF(CR62&gt;=menu!$D$19,"Tuntas","Tidak Tuntas"))</f>
        <v>Tuntas</v>
      </c>
      <c r="CU62" s="65"/>
      <c r="CV62" s="65"/>
      <c r="CW62" s="65"/>
      <c r="CX62" s="66"/>
      <c r="CY62" s="65"/>
      <c r="CZ62" s="65"/>
      <c r="DA62" s="65"/>
      <c r="DB62" s="67">
        <f t="shared" si="64"/>
        <v>0</v>
      </c>
      <c r="DC62" s="68">
        <f t="shared" si="35"/>
        <v>0</v>
      </c>
      <c r="DD62" s="68">
        <f t="shared" si="65"/>
        <v>0</v>
      </c>
      <c r="DE62" s="69" t="str">
        <f t="shared" si="66"/>
        <v>D</v>
      </c>
      <c r="DF62" s="70" t="str">
        <f>IF(DD62="  ","  ",IF(DD62&gt;=menu!$D$19,"Tuntas","Tidak Tuntas"))</f>
        <v>Tuntas</v>
      </c>
      <c r="DG62" s="65"/>
      <c r="DH62" s="65"/>
      <c r="DI62" s="65"/>
      <c r="DJ62" s="66"/>
      <c r="DK62" s="65"/>
      <c r="DL62" s="65"/>
      <c r="DM62" s="65"/>
      <c r="DN62" s="67">
        <f t="shared" si="67"/>
        <v>0</v>
      </c>
      <c r="DO62" s="68">
        <f t="shared" si="38"/>
        <v>0</v>
      </c>
      <c r="DP62" s="68">
        <f t="shared" si="68"/>
        <v>0</v>
      </c>
      <c r="DQ62" s="69" t="str">
        <f t="shared" si="69"/>
        <v>D</v>
      </c>
      <c r="DR62" s="70" t="str">
        <f>IF(DP62="  ","  ",IF(DP62&gt;=menu!$D$19,"Tuntas","Tidak Tuntas"))</f>
        <v>Tuntas</v>
      </c>
    </row>
    <row r="63" spans="1:122">
      <c r="A63" s="64">
        <f>'DATA SISWA'!A49</f>
        <v>45</v>
      </c>
      <c r="B63" s="76">
        <f>'DATA SISWA'!C49</f>
        <v>0</v>
      </c>
      <c r="C63" s="65"/>
      <c r="D63" s="65"/>
      <c r="E63" s="65"/>
      <c r="F63" s="66"/>
      <c r="G63" s="65"/>
      <c r="H63" s="65"/>
      <c r="I63" s="65"/>
      <c r="J63" s="67">
        <f t="shared" si="40"/>
        <v>0</v>
      </c>
      <c r="K63" s="68">
        <f t="shared" si="11"/>
        <v>0</v>
      </c>
      <c r="L63" s="68">
        <f t="shared" si="41"/>
        <v>0</v>
      </c>
      <c r="M63" s="69" t="str">
        <f t="shared" si="42"/>
        <v>D</v>
      </c>
      <c r="N63" s="70" t="str">
        <f>IF(L63="  ","  ",IF(L63&gt;=menu!$D$19,"Tuntas","Tidak Tuntas"))</f>
        <v>Tuntas</v>
      </c>
      <c r="O63" s="65"/>
      <c r="P63" s="65"/>
      <c r="Q63" s="65"/>
      <c r="R63" s="66"/>
      <c r="S63" s="65"/>
      <c r="T63" s="65"/>
      <c r="U63" s="65"/>
      <c r="V63" s="67">
        <f t="shared" si="43"/>
        <v>0</v>
      </c>
      <c r="W63" s="68">
        <f t="shared" si="14"/>
        <v>0</v>
      </c>
      <c r="X63" s="68">
        <f t="shared" si="44"/>
        <v>0</v>
      </c>
      <c r="Y63" s="69" t="str">
        <f t="shared" si="45"/>
        <v>D</v>
      </c>
      <c r="Z63" s="70" t="str">
        <f>IF(X63="  ","  ",IF(X63&gt;=menu!$D$19,"Tuntas","Tidak Tuntas"))</f>
        <v>Tuntas</v>
      </c>
      <c r="AA63" s="65"/>
      <c r="AB63" s="65"/>
      <c r="AC63" s="65"/>
      <c r="AD63" s="66"/>
      <c r="AE63" s="65"/>
      <c r="AF63" s="65"/>
      <c r="AG63" s="65"/>
      <c r="AH63" s="67">
        <f t="shared" si="46"/>
        <v>0</v>
      </c>
      <c r="AI63" s="68">
        <f t="shared" si="17"/>
        <v>0</v>
      </c>
      <c r="AJ63" s="68">
        <f t="shared" si="47"/>
        <v>0</v>
      </c>
      <c r="AK63" s="69" t="str">
        <f t="shared" si="48"/>
        <v>D</v>
      </c>
      <c r="AL63" s="70" t="str">
        <f>IF(AJ63="  ","  ",IF(AJ63&gt;=menu!$D$19,"Tuntas","Tidak Tuntas"))</f>
        <v>Tuntas</v>
      </c>
      <c r="AM63" s="65"/>
      <c r="AN63" s="65"/>
      <c r="AO63" s="65"/>
      <c r="AP63" s="66"/>
      <c r="AQ63" s="65"/>
      <c r="AR63" s="65"/>
      <c r="AS63" s="65"/>
      <c r="AT63" s="67">
        <f t="shared" si="49"/>
        <v>0</v>
      </c>
      <c r="AU63" s="68">
        <f t="shared" si="20"/>
        <v>0</v>
      </c>
      <c r="AV63" s="68">
        <f t="shared" si="50"/>
        <v>0</v>
      </c>
      <c r="AW63" s="69" t="str">
        <f t="shared" si="51"/>
        <v>D</v>
      </c>
      <c r="AX63" s="70" t="str">
        <f>IF(AV63="  ","  ",IF(AV63&gt;=menu!$D$19,"Tuntas","Tidak Tuntas"))</f>
        <v>Tuntas</v>
      </c>
      <c r="AY63" s="65"/>
      <c r="AZ63" s="65"/>
      <c r="BA63" s="65"/>
      <c r="BB63" s="66"/>
      <c r="BC63" s="65"/>
      <c r="BD63" s="65"/>
      <c r="BE63" s="65"/>
      <c r="BF63" s="67">
        <f t="shared" si="52"/>
        <v>0</v>
      </c>
      <c r="BG63" s="68">
        <f t="shared" si="23"/>
        <v>0</v>
      </c>
      <c r="BH63" s="68">
        <f t="shared" si="53"/>
        <v>0</v>
      </c>
      <c r="BI63" s="69" t="str">
        <f t="shared" si="54"/>
        <v>D</v>
      </c>
      <c r="BJ63" s="70" t="str">
        <f>IF(BH63="  ","  ",IF(BH63&gt;=menu!$D$19,"Tuntas","Tidak Tuntas"))</f>
        <v>Tuntas</v>
      </c>
      <c r="BK63" s="65"/>
      <c r="BL63" s="65"/>
      <c r="BM63" s="65"/>
      <c r="BN63" s="66"/>
      <c r="BO63" s="65"/>
      <c r="BP63" s="65"/>
      <c r="BQ63" s="65"/>
      <c r="BR63" s="67">
        <f t="shared" si="55"/>
        <v>0</v>
      </c>
      <c r="BS63" s="68">
        <f t="shared" si="26"/>
        <v>0</v>
      </c>
      <c r="BT63" s="68">
        <f t="shared" si="56"/>
        <v>0</v>
      </c>
      <c r="BU63" s="69" t="str">
        <f t="shared" si="57"/>
        <v>D</v>
      </c>
      <c r="BV63" s="70" t="str">
        <f>IF(BT63="  ","  ",IF(BT63&gt;=menu!$D$19,"Tuntas","Tidak Tuntas"))</f>
        <v>Tuntas</v>
      </c>
      <c r="BW63" s="65"/>
      <c r="BX63" s="65"/>
      <c r="BY63" s="65"/>
      <c r="BZ63" s="66"/>
      <c r="CA63" s="65"/>
      <c r="CB63" s="65"/>
      <c r="CC63" s="65"/>
      <c r="CD63" s="67">
        <f t="shared" si="58"/>
        <v>0</v>
      </c>
      <c r="CE63" s="68">
        <f t="shared" si="29"/>
        <v>0</v>
      </c>
      <c r="CF63" s="68">
        <f t="shared" si="59"/>
        <v>0</v>
      </c>
      <c r="CG63" s="69" t="str">
        <f t="shared" si="60"/>
        <v>D</v>
      </c>
      <c r="CH63" s="70" t="str">
        <f>IF(CF63="  ","  ",IF(CF63&gt;=menu!$D$19,"Tuntas","Tidak Tuntas"))</f>
        <v>Tuntas</v>
      </c>
      <c r="CI63" s="65"/>
      <c r="CJ63" s="65"/>
      <c r="CK63" s="65"/>
      <c r="CL63" s="66"/>
      <c r="CM63" s="65"/>
      <c r="CN63" s="65"/>
      <c r="CO63" s="65"/>
      <c r="CP63" s="67">
        <f t="shared" si="61"/>
        <v>0</v>
      </c>
      <c r="CQ63" s="68">
        <f t="shared" si="32"/>
        <v>0</v>
      </c>
      <c r="CR63" s="68">
        <f t="shared" si="62"/>
        <v>0</v>
      </c>
      <c r="CS63" s="69" t="str">
        <f t="shared" si="63"/>
        <v>D</v>
      </c>
      <c r="CT63" s="70" t="str">
        <f>IF(CR63="  ","  ",IF(CR63&gt;=menu!$D$19,"Tuntas","Tidak Tuntas"))</f>
        <v>Tuntas</v>
      </c>
      <c r="CU63" s="65"/>
      <c r="CV63" s="65"/>
      <c r="CW63" s="65"/>
      <c r="CX63" s="66"/>
      <c r="CY63" s="65"/>
      <c r="CZ63" s="65"/>
      <c r="DA63" s="65"/>
      <c r="DB63" s="67">
        <f t="shared" si="64"/>
        <v>0</v>
      </c>
      <c r="DC63" s="68">
        <f t="shared" si="35"/>
        <v>0</v>
      </c>
      <c r="DD63" s="68">
        <f t="shared" si="65"/>
        <v>0</v>
      </c>
      <c r="DE63" s="69" t="str">
        <f t="shared" si="66"/>
        <v>D</v>
      </c>
      <c r="DF63" s="70" t="str">
        <f>IF(DD63="  ","  ",IF(DD63&gt;=menu!$D$19,"Tuntas","Tidak Tuntas"))</f>
        <v>Tuntas</v>
      </c>
      <c r="DG63" s="65"/>
      <c r="DH63" s="65"/>
      <c r="DI63" s="65"/>
      <c r="DJ63" s="66"/>
      <c r="DK63" s="65"/>
      <c r="DL63" s="65"/>
      <c r="DM63" s="65"/>
      <c r="DN63" s="67">
        <f t="shared" si="67"/>
        <v>0</v>
      </c>
      <c r="DO63" s="68">
        <f t="shared" si="38"/>
        <v>0</v>
      </c>
      <c r="DP63" s="68">
        <f t="shared" si="68"/>
        <v>0</v>
      </c>
      <c r="DQ63" s="69" t="str">
        <f t="shared" si="69"/>
        <v>D</v>
      </c>
      <c r="DR63" s="70" t="str">
        <f>IF(DP63="  ","  ",IF(DP63&gt;=menu!$D$19,"Tuntas","Tidak Tuntas"))</f>
        <v>Tuntas</v>
      </c>
    </row>
    <row r="64" spans="1:122">
      <c r="A64" s="64">
        <f>'DATA SISWA'!A50</f>
        <v>46</v>
      </c>
      <c r="B64" s="76">
        <f>'DATA SISWA'!C50</f>
        <v>0</v>
      </c>
      <c r="C64" s="65"/>
      <c r="D64" s="65"/>
      <c r="E64" s="65"/>
      <c r="F64" s="66"/>
      <c r="G64" s="65"/>
      <c r="H64" s="65"/>
      <c r="I64" s="65"/>
      <c r="J64" s="67">
        <f t="shared" si="40"/>
        <v>0</v>
      </c>
      <c r="K64" s="68">
        <f t="shared" si="11"/>
        <v>0</v>
      </c>
      <c r="L64" s="68">
        <f t="shared" si="41"/>
        <v>0</v>
      </c>
      <c r="M64" s="69" t="str">
        <f t="shared" si="42"/>
        <v>D</v>
      </c>
      <c r="N64" s="70" t="str">
        <f>IF(L64="  ","  ",IF(L64&gt;=menu!$D$19,"Tuntas","Tidak Tuntas"))</f>
        <v>Tuntas</v>
      </c>
      <c r="O64" s="65"/>
      <c r="P64" s="65"/>
      <c r="Q64" s="65"/>
      <c r="R64" s="66"/>
      <c r="S64" s="65"/>
      <c r="T64" s="65"/>
      <c r="U64" s="65"/>
      <c r="V64" s="67">
        <f t="shared" si="43"/>
        <v>0</v>
      </c>
      <c r="W64" s="68">
        <f t="shared" si="14"/>
        <v>0</v>
      </c>
      <c r="X64" s="68">
        <f t="shared" si="44"/>
        <v>0</v>
      </c>
      <c r="Y64" s="69" t="str">
        <f t="shared" si="45"/>
        <v>D</v>
      </c>
      <c r="Z64" s="70" t="str">
        <f>IF(X64="  ","  ",IF(X64&gt;=menu!$D$19,"Tuntas","Tidak Tuntas"))</f>
        <v>Tuntas</v>
      </c>
      <c r="AA64" s="65"/>
      <c r="AB64" s="65"/>
      <c r="AC64" s="65"/>
      <c r="AD64" s="66"/>
      <c r="AE64" s="65"/>
      <c r="AF64" s="65"/>
      <c r="AG64" s="65"/>
      <c r="AH64" s="67">
        <f t="shared" si="46"/>
        <v>0</v>
      </c>
      <c r="AI64" s="68">
        <f t="shared" si="17"/>
        <v>0</v>
      </c>
      <c r="AJ64" s="68">
        <f t="shared" si="47"/>
        <v>0</v>
      </c>
      <c r="AK64" s="69" t="str">
        <f t="shared" si="48"/>
        <v>D</v>
      </c>
      <c r="AL64" s="70" t="str">
        <f>IF(AJ64="  ","  ",IF(AJ64&gt;=menu!$D$19,"Tuntas","Tidak Tuntas"))</f>
        <v>Tuntas</v>
      </c>
      <c r="AM64" s="65"/>
      <c r="AN64" s="65"/>
      <c r="AO64" s="65"/>
      <c r="AP64" s="66"/>
      <c r="AQ64" s="65"/>
      <c r="AR64" s="65"/>
      <c r="AS64" s="65"/>
      <c r="AT64" s="67">
        <f t="shared" si="49"/>
        <v>0</v>
      </c>
      <c r="AU64" s="68">
        <f t="shared" si="20"/>
        <v>0</v>
      </c>
      <c r="AV64" s="68">
        <f t="shared" si="50"/>
        <v>0</v>
      </c>
      <c r="AW64" s="69" t="str">
        <f t="shared" si="51"/>
        <v>D</v>
      </c>
      <c r="AX64" s="70" t="str">
        <f>IF(AV64="  ","  ",IF(AV64&gt;=menu!$D$19,"Tuntas","Tidak Tuntas"))</f>
        <v>Tuntas</v>
      </c>
      <c r="AY64" s="65"/>
      <c r="AZ64" s="65"/>
      <c r="BA64" s="65"/>
      <c r="BB64" s="66"/>
      <c r="BC64" s="65"/>
      <c r="BD64" s="65"/>
      <c r="BE64" s="65"/>
      <c r="BF64" s="67">
        <f t="shared" si="52"/>
        <v>0</v>
      </c>
      <c r="BG64" s="68">
        <f t="shared" si="23"/>
        <v>0</v>
      </c>
      <c r="BH64" s="68">
        <f t="shared" si="53"/>
        <v>0</v>
      </c>
      <c r="BI64" s="69" t="str">
        <f t="shared" si="54"/>
        <v>D</v>
      </c>
      <c r="BJ64" s="70" t="str">
        <f>IF(BH64="  ","  ",IF(BH64&gt;=menu!$D$19,"Tuntas","Tidak Tuntas"))</f>
        <v>Tuntas</v>
      </c>
      <c r="BK64" s="65"/>
      <c r="BL64" s="65"/>
      <c r="BM64" s="65"/>
      <c r="BN64" s="66"/>
      <c r="BO64" s="65"/>
      <c r="BP64" s="65"/>
      <c r="BQ64" s="65"/>
      <c r="BR64" s="67">
        <f t="shared" si="55"/>
        <v>0</v>
      </c>
      <c r="BS64" s="68">
        <f t="shared" si="26"/>
        <v>0</v>
      </c>
      <c r="BT64" s="68">
        <f t="shared" si="56"/>
        <v>0</v>
      </c>
      <c r="BU64" s="69" t="str">
        <f t="shared" si="57"/>
        <v>D</v>
      </c>
      <c r="BV64" s="70" t="str">
        <f>IF(BT64="  ","  ",IF(BT64&gt;=menu!$D$19,"Tuntas","Tidak Tuntas"))</f>
        <v>Tuntas</v>
      </c>
      <c r="BW64" s="65"/>
      <c r="BX64" s="65"/>
      <c r="BY64" s="65"/>
      <c r="BZ64" s="66"/>
      <c r="CA64" s="65"/>
      <c r="CB64" s="65"/>
      <c r="CC64" s="65"/>
      <c r="CD64" s="67">
        <f t="shared" si="58"/>
        <v>0</v>
      </c>
      <c r="CE64" s="68">
        <f t="shared" si="29"/>
        <v>0</v>
      </c>
      <c r="CF64" s="68">
        <f t="shared" si="59"/>
        <v>0</v>
      </c>
      <c r="CG64" s="69" t="str">
        <f t="shared" si="60"/>
        <v>D</v>
      </c>
      <c r="CH64" s="70" t="str">
        <f>IF(CF64="  ","  ",IF(CF64&gt;=menu!$D$19,"Tuntas","Tidak Tuntas"))</f>
        <v>Tuntas</v>
      </c>
      <c r="CI64" s="65"/>
      <c r="CJ64" s="65"/>
      <c r="CK64" s="65"/>
      <c r="CL64" s="66"/>
      <c r="CM64" s="65"/>
      <c r="CN64" s="65"/>
      <c r="CO64" s="65"/>
      <c r="CP64" s="67">
        <f t="shared" si="61"/>
        <v>0</v>
      </c>
      <c r="CQ64" s="68">
        <f t="shared" si="32"/>
        <v>0</v>
      </c>
      <c r="CR64" s="68">
        <f t="shared" si="62"/>
        <v>0</v>
      </c>
      <c r="CS64" s="69" t="str">
        <f t="shared" si="63"/>
        <v>D</v>
      </c>
      <c r="CT64" s="70" t="str">
        <f>IF(CR64="  ","  ",IF(CR64&gt;=menu!$D$19,"Tuntas","Tidak Tuntas"))</f>
        <v>Tuntas</v>
      </c>
      <c r="CU64" s="65"/>
      <c r="CV64" s="65"/>
      <c r="CW64" s="65"/>
      <c r="CX64" s="66"/>
      <c r="CY64" s="65"/>
      <c r="CZ64" s="65"/>
      <c r="DA64" s="65"/>
      <c r="DB64" s="67">
        <f t="shared" si="64"/>
        <v>0</v>
      </c>
      <c r="DC64" s="68">
        <f t="shared" si="35"/>
        <v>0</v>
      </c>
      <c r="DD64" s="68">
        <f t="shared" si="65"/>
        <v>0</v>
      </c>
      <c r="DE64" s="69" t="str">
        <f t="shared" si="66"/>
        <v>D</v>
      </c>
      <c r="DF64" s="70" t="str">
        <f>IF(DD64="  ","  ",IF(DD64&gt;=menu!$D$19,"Tuntas","Tidak Tuntas"))</f>
        <v>Tuntas</v>
      </c>
      <c r="DG64" s="65"/>
      <c r="DH64" s="65"/>
      <c r="DI64" s="65"/>
      <c r="DJ64" s="66"/>
      <c r="DK64" s="65"/>
      <c r="DL64" s="65"/>
      <c r="DM64" s="65"/>
      <c r="DN64" s="67">
        <f t="shared" si="67"/>
        <v>0</v>
      </c>
      <c r="DO64" s="68">
        <f t="shared" si="38"/>
        <v>0</v>
      </c>
      <c r="DP64" s="68">
        <f t="shared" si="68"/>
        <v>0</v>
      </c>
      <c r="DQ64" s="69" t="str">
        <f t="shared" si="69"/>
        <v>D</v>
      </c>
      <c r="DR64" s="70" t="str">
        <f>IF(DP64="  ","  ",IF(DP64&gt;=menu!$D$19,"Tuntas","Tidak Tuntas"))</f>
        <v>Tuntas</v>
      </c>
    </row>
    <row r="65" spans="1:122">
      <c r="A65" s="64">
        <f>'DATA SISWA'!A51</f>
        <v>47</v>
      </c>
      <c r="B65" s="76">
        <f>'DATA SISWA'!C51</f>
        <v>0</v>
      </c>
      <c r="C65" s="65"/>
      <c r="D65" s="65"/>
      <c r="E65" s="65"/>
      <c r="F65" s="66"/>
      <c r="G65" s="65"/>
      <c r="H65" s="65"/>
      <c r="I65" s="65"/>
      <c r="J65" s="67">
        <f t="shared" si="40"/>
        <v>0</v>
      </c>
      <c r="K65" s="68">
        <f t="shared" si="11"/>
        <v>0</v>
      </c>
      <c r="L65" s="68">
        <f t="shared" si="41"/>
        <v>0</v>
      </c>
      <c r="M65" s="69" t="str">
        <f t="shared" si="42"/>
        <v>D</v>
      </c>
      <c r="N65" s="70" t="str">
        <f>IF(L65="  ","  ",IF(L65&gt;=menu!$D$19,"Tuntas","Tidak Tuntas"))</f>
        <v>Tuntas</v>
      </c>
      <c r="O65" s="65"/>
      <c r="P65" s="65"/>
      <c r="Q65" s="65"/>
      <c r="R65" s="66"/>
      <c r="S65" s="65"/>
      <c r="T65" s="65"/>
      <c r="U65" s="65"/>
      <c r="V65" s="67">
        <f t="shared" si="43"/>
        <v>0</v>
      </c>
      <c r="W65" s="68">
        <f t="shared" si="14"/>
        <v>0</v>
      </c>
      <c r="X65" s="68">
        <f t="shared" si="44"/>
        <v>0</v>
      </c>
      <c r="Y65" s="69" t="str">
        <f t="shared" si="45"/>
        <v>D</v>
      </c>
      <c r="Z65" s="70" t="str">
        <f>IF(X65="  ","  ",IF(X65&gt;=menu!$D$19,"Tuntas","Tidak Tuntas"))</f>
        <v>Tuntas</v>
      </c>
      <c r="AA65" s="65"/>
      <c r="AB65" s="65"/>
      <c r="AC65" s="65"/>
      <c r="AD65" s="66"/>
      <c r="AE65" s="65"/>
      <c r="AF65" s="65"/>
      <c r="AG65" s="65"/>
      <c r="AH65" s="67">
        <f t="shared" si="46"/>
        <v>0</v>
      </c>
      <c r="AI65" s="68">
        <f t="shared" si="17"/>
        <v>0</v>
      </c>
      <c r="AJ65" s="68">
        <f t="shared" si="47"/>
        <v>0</v>
      </c>
      <c r="AK65" s="69" t="str">
        <f t="shared" si="48"/>
        <v>D</v>
      </c>
      <c r="AL65" s="70" t="str">
        <f>IF(AJ65="  ","  ",IF(AJ65&gt;=menu!$D$19,"Tuntas","Tidak Tuntas"))</f>
        <v>Tuntas</v>
      </c>
      <c r="AM65" s="65"/>
      <c r="AN65" s="65"/>
      <c r="AO65" s="65"/>
      <c r="AP65" s="66"/>
      <c r="AQ65" s="65"/>
      <c r="AR65" s="65"/>
      <c r="AS65" s="65"/>
      <c r="AT65" s="67">
        <f t="shared" si="49"/>
        <v>0</v>
      </c>
      <c r="AU65" s="68">
        <f t="shared" si="20"/>
        <v>0</v>
      </c>
      <c r="AV65" s="68">
        <f t="shared" si="50"/>
        <v>0</v>
      </c>
      <c r="AW65" s="69" t="str">
        <f t="shared" si="51"/>
        <v>D</v>
      </c>
      <c r="AX65" s="70" t="str">
        <f>IF(AV65="  ","  ",IF(AV65&gt;=menu!$D$19,"Tuntas","Tidak Tuntas"))</f>
        <v>Tuntas</v>
      </c>
      <c r="AY65" s="65"/>
      <c r="AZ65" s="65"/>
      <c r="BA65" s="65"/>
      <c r="BB65" s="66"/>
      <c r="BC65" s="65"/>
      <c r="BD65" s="65"/>
      <c r="BE65" s="65"/>
      <c r="BF65" s="67">
        <f t="shared" si="52"/>
        <v>0</v>
      </c>
      <c r="BG65" s="68">
        <f t="shared" si="23"/>
        <v>0</v>
      </c>
      <c r="BH65" s="68">
        <f t="shared" si="53"/>
        <v>0</v>
      </c>
      <c r="BI65" s="69" t="str">
        <f t="shared" si="54"/>
        <v>D</v>
      </c>
      <c r="BJ65" s="70" t="str">
        <f>IF(BH65="  ","  ",IF(BH65&gt;=menu!$D$19,"Tuntas","Tidak Tuntas"))</f>
        <v>Tuntas</v>
      </c>
      <c r="BK65" s="65"/>
      <c r="BL65" s="65"/>
      <c r="BM65" s="65"/>
      <c r="BN65" s="66"/>
      <c r="BO65" s="65"/>
      <c r="BP65" s="65"/>
      <c r="BQ65" s="65"/>
      <c r="BR65" s="67">
        <f t="shared" si="55"/>
        <v>0</v>
      </c>
      <c r="BS65" s="68">
        <f t="shared" si="26"/>
        <v>0</v>
      </c>
      <c r="BT65" s="68">
        <f t="shared" si="56"/>
        <v>0</v>
      </c>
      <c r="BU65" s="69" t="str">
        <f t="shared" si="57"/>
        <v>D</v>
      </c>
      <c r="BV65" s="70" t="str">
        <f>IF(BT65="  ","  ",IF(BT65&gt;=menu!$D$19,"Tuntas","Tidak Tuntas"))</f>
        <v>Tuntas</v>
      </c>
      <c r="BW65" s="65"/>
      <c r="BX65" s="65"/>
      <c r="BY65" s="65"/>
      <c r="BZ65" s="66"/>
      <c r="CA65" s="65"/>
      <c r="CB65" s="65"/>
      <c r="CC65" s="65"/>
      <c r="CD65" s="67">
        <f t="shared" si="58"/>
        <v>0</v>
      </c>
      <c r="CE65" s="68">
        <f t="shared" si="29"/>
        <v>0</v>
      </c>
      <c r="CF65" s="68">
        <f t="shared" si="59"/>
        <v>0</v>
      </c>
      <c r="CG65" s="69" t="str">
        <f t="shared" si="60"/>
        <v>D</v>
      </c>
      <c r="CH65" s="70" t="str">
        <f>IF(CF65="  ","  ",IF(CF65&gt;=menu!$D$19,"Tuntas","Tidak Tuntas"))</f>
        <v>Tuntas</v>
      </c>
      <c r="CI65" s="65"/>
      <c r="CJ65" s="65"/>
      <c r="CK65" s="65"/>
      <c r="CL65" s="66"/>
      <c r="CM65" s="65"/>
      <c r="CN65" s="65"/>
      <c r="CO65" s="65"/>
      <c r="CP65" s="67">
        <f t="shared" si="61"/>
        <v>0</v>
      </c>
      <c r="CQ65" s="68">
        <f t="shared" si="32"/>
        <v>0</v>
      </c>
      <c r="CR65" s="68">
        <f t="shared" si="62"/>
        <v>0</v>
      </c>
      <c r="CS65" s="69" t="str">
        <f t="shared" si="63"/>
        <v>D</v>
      </c>
      <c r="CT65" s="70" t="str">
        <f>IF(CR65="  ","  ",IF(CR65&gt;=menu!$D$19,"Tuntas","Tidak Tuntas"))</f>
        <v>Tuntas</v>
      </c>
      <c r="CU65" s="65"/>
      <c r="CV65" s="65"/>
      <c r="CW65" s="65"/>
      <c r="CX65" s="66"/>
      <c r="CY65" s="65"/>
      <c r="CZ65" s="65"/>
      <c r="DA65" s="65"/>
      <c r="DB65" s="67">
        <f t="shared" si="64"/>
        <v>0</v>
      </c>
      <c r="DC65" s="68">
        <f t="shared" si="35"/>
        <v>0</v>
      </c>
      <c r="DD65" s="68">
        <f t="shared" si="65"/>
        <v>0</v>
      </c>
      <c r="DE65" s="69" t="str">
        <f t="shared" si="66"/>
        <v>D</v>
      </c>
      <c r="DF65" s="70" t="str">
        <f>IF(DD65="  ","  ",IF(DD65&gt;=menu!$D$19,"Tuntas","Tidak Tuntas"))</f>
        <v>Tuntas</v>
      </c>
      <c r="DG65" s="65"/>
      <c r="DH65" s="65"/>
      <c r="DI65" s="65"/>
      <c r="DJ65" s="66"/>
      <c r="DK65" s="65"/>
      <c r="DL65" s="65"/>
      <c r="DM65" s="65"/>
      <c r="DN65" s="67">
        <f t="shared" si="67"/>
        <v>0</v>
      </c>
      <c r="DO65" s="68">
        <f t="shared" si="38"/>
        <v>0</v>
      </c>
      <c r="DP65" s="68">
        <f t="shared" si="68"/>
        <v>0</v>
      </c>
      <c r="DQ65" s="69" t="str">
        <f t="shared" si="69"/>
        <v>D</v>
      </c>
      <c r="DR65" s="70" t="str">
        <f>IF(DP65="  ","  ",IF(DP65&gt;=menu!$D$19,"Tuntas","Tidak Tuntas"))</f>
        <v>Tuntas</v>
      </c>
    </row>
    <row r="66" spans="1:122">
      <c r="A66" s="64">
        <f>'DATA SISWA'!A52</f>
        <v>48</v>
      </c>
      <c r="B66" s="76">
        <f>'DATA SISWA'!C52</f>
        <v>0</v>
      </c>
      <c r="C66" s="65"/>
      <c r="D66" s="65"/>
      <c r="E66" s="65"/>
      <c r="F66" s="66"/>
      <c r="G66" s="65"/>
      <c r="H66" s="65"/>
      <c r="I66" s="65"/>
      <c r="J66" s="67">
        <f t="shared" si="40"/>
        <v>0</v>
      </c>
      <c r="K66" s="68">
        <f t="shared" si="11"/>
        <v>0</v>
      </c>
      <c r="L66" s="68">
        <f t="shared" si="41"/>
        <v>0</v>
      </c>
      <c r="M66" s="69" t="str">
        <f t="shared" si="42"/>
        <v>D</v>
      </c>
      <c r="N66" s="70" t="str">
        <f>IF(L66="  ","  ",IF(L66&gt;=menu!$D$19,"Tuntas","Tidak Tuntas"))</f>
        <v>Tuntas</v>
      </c>
      <c r="O66" s="65"/>
      <c r="P66" s="65"/>
      <c r="Q66" s="65"/>
      <c r="R66" s="66"/>
      <c r="S66" s="65"/>
      <c r="T66" s="65"/>
      <c r="U66" s="65"/>
      <c r="V66" s="67">
        <f t="shared" si="43"/>
        <v>0</v>
      </c>
      <c r="W66" s="68">
        <f t="shared" si="14"/>
        <v>0</v>
      </c>
      <c r="X66" s="68">
        <f t="shared" si="44"/>
        <v>0</v>
      </c>
      <c r="Y66" s="69" t="str">
        <f t="shared" si="45"/>
        <v>D</v>
      </c>
      <c r="Z66" s="70" t="str">
        <f>IF(X66="  ","  ",IF(X66&gt;=menu!$D$19,"Tuntas","Tidak Tuntas"))</f>
        <v>Tuntas</v>
      </c>
      <c r="AA66" s="65"/>
      <c r="AB66" s="65"/>
      <c r="AC66" s="65"/>
      <c r="AD66" s="66"/>
      <c r="AE66" s="65"/>
      <c r="AF66" s="65"/>
      <c r="AG66" s="65"/>
      <c r="AH66" s="67">
        <f t="shared" si="46"/>
        <v>0</v>
      </c>
      <c r="AI66" s="68">
        <f t="shared" si="17"/>
        <v>0</v>
      </c>
      <c r="AJ66" s="68">
        <f t="shared" si="47"/>
        <v>0</v>
      </c>
      <c r="AK66" s="69" t="str">
        <f t="shared" si="48"/>
        <v>D</v>
      </c>
      <c r="AL66" s="70" t="str">
        <f>IF(AJ66="  ","  ",IF(AJ66&gt;=menu!$D$19,"Tuntas","Tidak Tuntas"))</f>
        <v>Tuntas</v>
      </c>
      <c r="AM66" s="65"/>
      <c r="AN66" s="65"/>
      <c r="AO66" s="65"/>
      <c r="AP66" s="66"/>
      <c r="AQ66" s="65"/>
      <c r="AR66" s="65"/>
      <c r="AS66" s="65"/>
      <c r="AT66" s="67">
        <f t="shared" si="49"/>
        <v>0</v>
      </c>
      <c r="AU66" s="68">
        <f t="shared" si="20"/>
        <v>0</v>
      </c>
      <c r="AV66" s="68">
        <f t="shared" si="50"/>
        <v>0</v>
      </c>
      <c r="AW66" s="69" t="str">
        <f t="shared" si="51"/>
        <v>D</v>
      </c>
      <c r="AX66" s="70" t="str">
        <f>IF(AV66="  ","  ",IF(AV66&gt;=menu!$D$19,"Tuntas","Tidak Tuntas"))</f>
        <v>Tuntas</v>
      </c>
      <c r="AY66" s="65"/>
      <c r="AZ66" s="65"/>
      <c r="BA66" s="65"/>
      <c r="BB66" s="66"/>
      <c r="BC66" s="65"/>
      <c r="BD66" s="65"/>
      <c r="BE66" s="65"/>
      <c r="BF66" s="67">
        <f t="shared" si="52"/>
        <v>0</v>
      </c>
      <c r="BG66" s="68">
        <f t="shared" si="23"/>
        <v>0</v>
      </c>
      <c r="BH66" s="68">
        <f t="shared" si="53"/>
        <v>0</v>
      </c>
      <c r="BI66" s="69" t="str">
        <f t="shared" si="54"/>
        <v>D</v>
      </c>
      <c r="BJ66" s="70" t="str">
        <f>IF(BH66="  ","  ",IF(BH66&gt;=menu!$D$19,"Tuntas","Tidak Tuntas"))</f>
        <v>Tuntas</v>
      </c>
      <c r="BK66" s="65"/>
      <c r="BL66" s="65"/>
      <c r="BM66" s="65"/>
      <c r="BN66" s="66"/>
      <c r="BO66" s="65"/>
      <c r="BP66" s="65"/>
      <c r="BQ66" s="65"/>
      <c r="BR66" s="67">
        <f t="shared" si="55"/>
        <v>0</v>
      </c>
      <c r="BS66" s="68">
        <f t="shared" si="26"/>
        <v>0</v>
      </c>
      <c r="BT66" s="68">
        <f t="shared" si="56"/>
        <v>0</v>
      </c>
      <c r="BU66" s="69" t="str">
        <f t="shared" si="57"/>
        <v>D</v>
      </c>
      <c r="BV66" s="70" t="str">
        <f>IF(BT66="  ","  ",IF(BT66&gt;=menu!$D$19,"Tuntas","Tidak Tuntas"))</f>
        <v>Tuntas</v>
      </c>
      <c r="BW66" s="65"/>
      <c r="BX66" s="65"/>
      <c r="BY66" s="65"/>
      <c r="BZ66" s="66"/>
      <c r="CA66" s="65"/>
      <c r="CB66" s="65"/>
      <c r="CC66" s="65"/>
      <c r="CD66" s="67">
        <f t="shared" si="58"/>
        <v>0</v>
      </c>
      <c r="CE66" s="68">
        <f t="shared" si="29"/>
        <v>0</v>
      </c>
      <c r="CF66" s="68">
        <f t="shared" si="59"/>
        <v>0</v>
      </c>
      <c r="CG66" s="69" t="str">
        <f t="shared" si="60"/>
        <v>D</v>
      </c>
      <c r="CH66" s="70" t="str">
        <f>IF(CF66="  ","  ",IF(CF66&gt;=menu!$D$19,"Tuntas","Tidak Tuntas"))</f>
        <v>Tuntas</v>
      </c>
      <c r="CI66" s="65"/>
      <c r="CJ66" s="65"/>
      <c r="CK66" s="65"/>
      <c r="CL66" s="66"/>
      <c r="CM66" s="65"/>
      <c r="CN66" s="65"/>
      <c r="CO66" s="65"/>
      <c r="CP66" s="67">
        <f t="shared" si="61"/>
        <v>0</v>
      </c>
      <c r="CQ66" s="68">
        <f t="shared" si="32"/>
        <v>0</v>
      </c>
      <c r="CR66" s="68">
        <f t="shared" si="62"/>
        <v>0</v>
      </c>
      <c r="CS66" s="69" t="str">
        <f t="shared" si="63"/>
        <v>D</v>
      </c>
      <c r="CT66" s="70" t="str">
        <f>IF(CR66="  ","  ",IF(CR66&gt;=menu!$D$19,"Tuntas","Tidak Tuntas"))</f>
        <v>Tuntas</v>
      </c>
      <c r="CU66" s="65"/>
      <c r="CV66" s="65"/>
      <c r="CW66" s="65"/>
      <c r="CX66" s="66"/>
      <c r="CY66" s="65"/>
      <c r="CZ66" s="65"/>
      <c r="DA66" s="65"/>
      <c r="DB66" s="67">
        <f t="shared" si="64"/>
        <v>0</v>
      </c>
      <c r="DC66" s="68">
        <f t="shared" si="35"/>
        <v>0</v>
      </c>
      <c r="DD66" s="68">
        <f t="shared" si="65"/>
        <v>0</v>
      </c>
      <c r="DE66" s="69" t="str">
        <f t="shared" si="66"/>
        <v>D</v>
      </c>
      <c r="DF66" s="70" t="str">
        <f>IF(DD66="  ","  ",IF(DD66&gt;=menu!$D$19,"Tuntas","Tidak Tuntas"))</f>
        <v>Tuntas</v>
      </c>
      <c r="DG66" s="65"/>
      <c r="DH66" s="65"/>
      <c r="DI66" s="65"/>
      <c r="DJ66" s="66"/>
      <c r="DK66" s="65"/>
      <c r="DL66" s="65"/>
      <c r="DM66" s="65"/>
      <c r="DN66" s="67">
        <f t="shared" si="67"/>
        <v>0</v>
      </c>
      <c r="DO66" s="68">
        <f t="shared" si="38"/>
        <v>0</v>
      </c>
      <c r="DP66" s="68">
        <f t="shared" si="68"/>
        <v>0</v>
      </c>
      <c r="DQ66" s="69" t="str">
        <f t="shared" si="69"/>
        <v>D</v>
      </c>
      <c r="DR66" s="70" t="str">
        <f>IF(DP66="  ","  ",IF(DP66&gt;=menu!$D$19,"Tuntas","Tidak Tuntas"))</f>
        <v>Tuntas</v>
      </c>
    </row>
    <row r="67" spans="1:122">
      <c r="A67" s="152"/>
      <c r="B67" s="152" t="s">
        <v>276</v>
      </c>
      <c r="C67" s="73" t="str">
        <f>IFERROR(AVERAGE(C19:C66),"  ")</f>
        <v/>
      </c>
      <c r="D67" s="73" t="str">
        <f t="shared" ref="D67:BO67" si="70">IFERROR(AVERAGE(D19:D66),"  ")</f>
        <v/>
      </c>
      <c r="E67" s="73" t="str">
        <f t="shared" si="70"/>
        <v/>
      </c>
      <c r="F67" s="73" t="str">
        <f t="shared" si="70"/>
        <v/>
      </c>
      <c r="G67" s="73" t="str">
        <f t="shared" si="70"/>
        <v/>
      </c>
      <c r="H67" s="73" t="str">
        <f t="shared" si="70"/>
        <v/>
      </c>
      <c r="I67" s="73" t="str">
        <f t="shared" si="70"/>
        <v/>
      </c>
      <c r="J67" s="73">
        <f t="shared" si="70"/>
        <v>0</v>
      </c>
      <c r="K67" s="73">
        <f t="shared" si="70"/>
        <v>0</v>
      </c>
      <c r="L67" s="73">
        <f t="shared" si="70"/>
        <v>0</v>
      </c>
      <c r="M67" s="73" t="str">
        <f t="shared" si="70"/>
        <v/>
      </c>
      <c r="N67" s="73" t="str">
        <f t="shared" si="70"/>
        <v/>
      </c>
      <c r="O67" s="73" t="str">
        <f t="shared" si="70"/>
        <v/>
      </c>
      <c r="P67" s="73" t="str">
        <f t="shared" si="70"/>
        <v/>
      </c>
      <c r="Q67" s="73" t="str">
        <f t="shared" si="70"/>
        <v/>
      </c>
      <c r="R67" s="73" t="str">
        <f t="shared" si="70"/>
        <v/>
      </c>
      <c r="S67" s="73" t="str">
        <f t="shared" si="70"/>
        <v/>
      </c>
      <c r="T67" s="73" t="str">
        <f t="shared" si="70"/>
        <v/>
      </c>
      <c r="U67" s="73" t="str">
        <f t="shared" si="70"/>
        <v/>
      </c>
      <c r="V67" s="73">
        <f t="shared" si="70"/>
        <v>0</v>
      </c>
      <c r="W67" s="73">
        <f t="shared" si="70"/>
        <v>0</v>
      </c>
      <c r="X67" s="73">
        <f t="shared" si="70"/>
        <v>0</v>
      </c>
      <c r="Y67" s="73" t="str">
        <f t="shared" si="70"/>
        <v/>
      </c>
      <c r="Z67" s="73" t="str">
        <f t="shared" si="70"/>
        <v/>
      </c>
      <c r="AA67" s="73" t="str">
        <f t="shared" si="70"/>
        <v/>
      </c>
      <c r="AB67" s="73" t="str">
        <f t="shared" si="70"/>
        <v/>
      </c>
      <c r="AC67" s="73" t="str">
        <f t="shared" si="70"/>
        <v/>
      </c>
      <c r="AD67" s="73" t="str">
        <f t="shared" si="70"/>
        <v/>
      </c>
      <c r="AE67" s="73" t="str">
        <f t="shared" si="70"/>
        <v/>
      </c>
      <c r="AF67" s="73" t="str">
        <f t="shared" si="70"/>
        <v/>
      </c>
      <c r="AG67" s="73" t="str">
        <f t="shared" si="70"/>
        <v/>
      </c>
      <c r="AH67" s="73">
        <f t="shared" si="70"/>
        <v>0</v>
      </c>
      <c r="AI67" s="73">
        <f t="shared" si="70"/>
        <v>0</v>
      </c>
      <c r="AJ67" s="73">
        <f t="shared" si="70"/>
        <v>0</v>
      </c>
      <c r="AK67" s="73" t="str">
        <f t="shared" si="70"/>
        <v/>
      </c>
      <c r="AL67" s="73" t="str">
        <f t="shared" si="70"/>
        <v/>
      </c>
      <c r="AM67" s="73" t="str">
        <f t="shared" si="70"/>
        <v/>
      </c>
      <c r="AN67" s="73" t="str">
        <f t="shared" si="70"/>
        <v/>
      </c>
      <c r="AO67" s="73" t="str">
        <f t="shared" si="70"/>
        <v/>
      </c>
      <c r="AP67" s="73" t="str">
        <f t="shared" si="70"/>
        <v/>
      </c>
      <c r="AQ67" s="73" t="str">
        <f t="shared" si="70"/>
        <v/>
      </c>
      <c r="AR67" s="73" t="str">
        <f t="shared" si="70"/>
        <v/>
      </c>
      <c r="AS67" s="73" t="str">
        <f t="shared" si="70"/>
        <v/>
      </c>
      <c r="AT67" s="73">
        <f t="shared" si="70"/>
        <v>0</v>
      </c>
      <c r="AU67" s="73">
        <f t="shared" si="70"/>
        <v>0</v>
      </c>
      <c r="AV67" s="73">
        <f t="shared" si="70"/>
        <v>0</v>
      </c>
      <c r="AW67" s="73" t="str">
        <f t="shared" si="70"/>
        <v/>
      </c>
      <c r="AX67" s="73" t="str">
        <f t="shared" si="70"/>
        <v/>
      </c>
      <c r="AY67" s="73" t="str">
        <f t="shared" si="70"/>
        <v/>
      </c>
      <c r="AZ67" s="73" t="str">
        <f t="shared" si="70"/>
        <v/>
      </c>
      <c r="BA67" s="73" t="str">
        <f t="shared" si="70"/>
        <v/>
      </c>
      <c r="BB67" s="73" t="str">
        <f t="shared" si="70"/>
        <v/>
      </c>
      <c r="BC67" s="73" t="str">
        <f t="shared" si="70"/>
        <v/>
      </c>
      <c r="BD67" s="73" t="str">
        <f t="shared" si="70"/>
        <v/>
      </c>
      <c r="BE67" s="73" t="str">
        <f t="shared" si="70"/>
        <v/>
      </c>
      <c r="BF67" s="73">
        <f t="shared" si="70"/>
        <v>0</v>
      </c>
      <c r="BG67" s="73">
        <f t="shared" si="70"/>
        <v>0</v>
      </c>
      <c r="BH67" s="73">
        <f t="shared" si="70"/>
        <v>0</v>
      </c>
      <c r="BI67" s="73" t="str">
        <f t="shared" si="70"/>
        <v/>
      </c>
      <c r="BJ67" s="73" t="str">
        <f t="shared" si="70"/>
        <v/>
      </c>
      <c r="BK67" s="73" t="str">
        <f t="shared" si="70"/>
        <v/>
      </c>
      <c r="BL67" s="73" t="str">
        <f t="shared" si="70"/>
        <v/>
      </c>
      <c r="BM67" s="73" t="str">
        <f t="shared" si="70"/>
        <v/>
      </c>
      <c r="BN67" s="73" t="str">
        <f t="shared" si="70"/>
        <v/>
      </c>
      <c r="BO67" s="73" t="str">
        <f t="shared" si="70"/>
        <v/>
      </c>
      <c r="BP67" s="73" t="str">
        <f t="shared" ref="BP67:DR67" si="71">IFERROR(AVERAGE(BP19:BP66),"  ")</f>
        <v/>
      </c>
      <c r="BQ67" s="73" t="str">
        <f t="shared" si="71"/>
        <v/>
      </c>
      <c r="BR67" s="73">
        <f t="shared" si="71"/>
        <v>0</v>
      </c>
      <c r="BS67" s="73">
        <f t="shared" si="71"/>
        <v>0</v>
      </c>
      <c r="BT67" s="73">
        <f t="shared" si="71"/>
        <v>0</v>
      </c>
      <c r="BU67" s="73" t="str">
        <f t="shared" si="71"/>
        <v/>
      </c>
      <c r="BV67" s="73" t="str">
        <f t="shared" si="71"/>
        <v/>
      </c>
      <c r="BW67" s="73" t="str">
        <f t="shared" si="71"/>
        <v/>
      </c>
      <c r="BX67" s="73" t="str">
        <f t="shared" si="71"/>
        <v/>
      </c>
      <c r="BY67" s="73" t="str">
        <f t="shared" si="71"/>
        <v/>
      </c>
      <c r="BZ67" s="73" t="str">
        <f t="shared" si="71"/>
        <v/>
      </c>
      <c r="CA67" s="73" t="str">
        <f t="shared" si="71"/>
        <v/>
      </c>
      <c r="CB67" s="73" t="str">
        <f t="shared" si="71"/>
        <v/>
      </c>
      <c r="CC67" s="73" t="str">
        <f t="shared" si="71"/>
        <v/>
      </c>
      <c r="CD67" s="73">
        <f t="shared" si="71"/>
        <v>0</v>
      </c>
      <c r="CE67" s="73">
        <f t="shared" si="71"/>
        <v>0</v>
      </c>
      <c r="CF67" s="73">
        <f t="shared" si="71"/>
        <v>0</v>
      </c>
      <c r="CG67" s="73" t="str">
        <f t="shared" si="71"/>
        <v/>
      </c>
      <c r="CH67" s="73" t="str">
        <f t="shared" si="71"/>
        <v/>
      </c>
      <c r="CI67" s="73" t="str">
        <f t="shared" si="71"/>
        <v/>
      </c>
      <c r="CJ67" s="73" t="str">
        <f t="shared" si="71"/>
        <v/>
      </c>
      <c r="CK67" s="73" t="str">
        <f t="shared" si="71"/>
        <v/>
      </c>
      <c r="CL67" s="73" t="str">
        <f t="shared" si="71"/>
        <v/>
      </c>
      <c r="CM67" s="73" t="str">
        <f t="shared" si="71"/>
        <v/>
      </c>
      <c r="CN67" s="73" t="str">
        <f t="shared" si="71"/>
        <v/>
      </c>
      <c r="CO67" s="73" t="str">
        <f t="shared" si="71"/>
        <v/>
      </c>
      <c r="CP67" s="73">
        <f t="shared" si="71"/>
        <v>0</v>
      </c>
      <c r="CQ67" s="73">
        <f t="shared" si="71"/>
        <v>0</v>
      </c>
      <c r="CR67" s="73">
        <f t="shared" si="71"/>
        <v>0</v>
      </c>
      <c r="CS67" s="73" t="str">
        <f t="shared" si="71"/>
        <v/>
      </c>
      <c r="CT67" s="73" t="str">
        <f t="shared" si="71"/>
        <v/>
      </c>
      <c r="CU67" s="73" t="str">
        <f t="shared" si="71"/>
        <v/>
      </c>
      <c r="CV67" s="73" t="str">
        <f t="shared" si="71"/>
        <v/>
      </c>
      <c r="CW67" s="73" t="str">
        <f t="shared" si="71"/>
        <v/>
      </c>
      <c r="CX67" s="73" t="str">
        <f t="shared" si="71"/>
        <v/>
      </c>
      <c r="CY67" s="73" t="str">
        <f t="shared" si="71"/>
        <v/>
      </c>
      <c r="CZ67" s="73" t="str">
        <f t="shared" si="71"/>
        <v/>
      </c>
      <c r="DA67" s="73" t="str">
        <f t="shared" si="71"/>
        <v/>
      </c>
      <c r="DB67" s="73">
        <f t="shared" si="71"/>
        <v>0</v>
      </c>
      <c r="DC67" s="73">
        <f t="shared" si="71"/>
        <v>0</v>
      </c>
      <c r="DD67" s="73">
        <f t="shared" si="71"/>
        <v>0</v>
      </c>
      <c r="DE67" s="73" t="str">
        <f t="shared" si="71"/>
        <v/>
      </c>
      <c r="DF67" s="73" t="str">
        <f t="shared" si="71"/>
        <v/>
      </c>
      <c r="DG67" s="73" t="str">
        <f t="shared" si="71"/>
        <v/>
      </c>
      <c r="DH67" s="73" t="str">
        <f t="shared" si="71"/>
        <v/>
      </c>
      <c r="DI67" s="73" t="str">
        <f t="shared" si="71"/>
        <v/>
      </c>
      <c r="DJ67" s="73" t="str">
        <f t="shared" si="71"/>
        <v/>
      </c>
      <c r="DK67" s="73" t="str">
        <f t="shared" si="71"/>
        <v/>
      </c>
      <c r="DL67" s="73" t="str">
        <f t="shared" si="71"/>
        <v/>
      </c>
      <c r="DM67" s="73" t="str">
        <f t="shared" si="71"/>
        <v/>
      </c>
      <c r="DN67" s="73">
        <f t="shared" si="71"/>
        <v>0</v>
      </c>
      <c r="DO67" s="73">
        <f t="shared" si="71"/>
        <v>0</v>
      </c>
      <c r="DP67" s="73">
        <f t="shared" si="71"/>
        <v>0</v>
      </c>
      <c r="DQ67" s="73" t="str">
        <f t="shared" si="71"/>
        <v/>
      </c>
      <c r="DR67" s="73" t="str">
        <f t="shared" si="71"/>
        <v/>
      </c>
    </row>
    <row r="68" spans="1:122">
      <c r="B68" s="132"/>
      <c r="C68" s="192"/>
      <c r="D68" s="153"/>
      <c r="E68" s="132"/>
      <c r="F68" s="132"/>
      <c r="G68" s="132"/>
      <c r="H68" s="132"/>
      <c r="I68" s="132"/>
      <c r="J68" s="132"/>
      <c r="K68" s="132"/>
      <c r="L68" s="132"/>
      <c r="M68" s="132"/>
      <c r="N68" s="132"/>
    </row>
    <row r="69" spans="1:122">
      <c r="B69" s="154" t="s">
        <v>277</v>
      </c>
      <c r="C69" s="192"/>
      <c r="D69" s="153"/>
      <c r="E69" s="132"/>
      <c r="F69" s="132"/>
      <c r="G69" s="132"/>
      <c r="H69" s="132"/>
      <c r="I69" s="132"/>
      <c r="J69" s="132"/>
      <c r="K69" s="135"/>
      <c r="L69" s="206" t="str">
        <f>'[2]Data '!D18</f>
        <v>FM-KUR-03-07</v>
      </c>
      <c r="M69" s="135"/>
      <c r="N69" s="135"/>
    </row>
    <row r="70" spans="1:122">
      <c r="B70" s="75" t="str">
        <f>"Ka. "&amp;'[2]Data '!D4</f>
        <v xml:space="preserve">Ka. </v>
      </c>
      <c r="C70" s="192"/>
      <c r="D70" s="153"/>
      <c r="E70" s="132"/>
      <c r="F70" s="132"/>
      <c r="G70" s="132"/>
      <c r="H70" s="132"/>
      <c r="I70" s="132"/>
      <c r="J70" s="132"/>
      <c r="K70" s="132"/>
      <c r="L70" s="191" t="s">
        <v>278</v>
      </c>
      <c r="M70" s="132"/>
      <c r="N70" s="132"/>
    </row>
    <row r="71" spans="1:122">
      <c r="A71" s="132"/>
      <c r="B71" s="132"/>
      <c r="C71" s="132"/>
      <c r="D71" s="132"/>
      <c r="E71" s="132"/>
      <c r="F71" s="132"/>
      <c r="G71" s="132"/>
      <c r="H71" s="132"/>
      <c r="I71" s="132"/>
      <c r="J71" s="132"/>
      <c r="K71" s="132"/>
      <c r="L71" s="193"/>
      <c r="M71" s="132"/>
      <c r="N71" s="132"/>
    </row>
    <row r="72" spans="1:122">
      <c r="A72" s="132"/>
      <c r="B72" s="132"/>
      <c r="C72" s="132"/>
      <c r="D72" s="132"/>
      <c r="E72" s="132"/>
      <c r="F72" s="132"/>
      <c r="G72" s="132"/>
      <c r="H72" s="132"/>
      <c r="I72" s="132"/>
      <c r="J72" s="132"/>
      <c r="K72" s="132"/>
      <c r="L72" s="155"/>
      <c r="M72" s="132"/>
      <c r="N72" s="132"/>
    </row>
    <row r="73" spans="1:122">
      <c r="A73" s="132"/>
      <c r="B73" s="75" t="str">
        <f>'[2]Data '!D12</f>
        <v>0341-787422</v>
      </c>
      <c r="C73" s="132"/>
      <c r="D73" s="132"/>
      <c r="E73" s="132"/>
      <c r="F73" s="132"/>
      <c r="G73" s="132"/>
      <c r="H73" s="132"/>
      <c r="I73" s="132"/>
      <c r="J73" s="132"/>
      <c r="K73" s="132"/>
      <c r="L73" s="206">
        <f>[2]Home!E9</f>
        <v>0</v>
      </c>
      <c r="M73" s="132"/>
      <c r="N73" s="132"/>
    </row>
    <row r="74" spans="1:122">
      <c r="B74" s="75" t="str">
        <f>"NIP.  "&amp;'[2]Data '!D13</f>
        <v>NIP.  2014 / 2015</v>
      </c>
      <c r="L74" s="206" t="str">
        <f>"NIP.  "&amp;[2]Home!E11</f>
        <v xml:space="preserve">NIP.  </v>
      </c>
    </row>
  </sheetData>
  <sheetProtection password="C718" sheet="1" objects="1" scenarios="1"/>
  <mergeCells count="251">
    <mergeCell ref="DP12:DQ12"/>
    <mergeCell ref="DG13:DN13"/>
    <mergeCell ref="DP13:DQ13"/>
    <mergeCell ref="DD12:DE12"/>
    <mergeCell ref="CU13:DB13"/>
    <mergeCell ref="DD13:DE13"/>
    <mergeCell ref="DG5:DN5"/>
    <mergeCell ref="DG6:DN6"/>
    <mergeCell ref="DG7:DN7"/>
    <mergeCell ref="DG8:DN8"/>
    <mergeCell ref="DG9:DN9"/>
    <mergeCell ref="DG10:DN10"/>
    <mergeCell ref="DG11:DN11"/>
    <mergeCell ref="DG12:DN12"/>
    <mergeCell ref="CR12:CS12"/>
    <mergeCell ref="CI13:CP13"/>
    <mergeCell ref="CR13:CS13"/>
    <mergeCell ref="CU5:DB5"/>
    <mergeCell ref="CU6:DB6"/>
    <mergeCell ref="CU7:DB7"/>
    <mergeCell ref="CU8:DB8"/>
    <mergeCell ref="CU9:DB9"/>
    <mergeCell ref="CU10:DB10"/>
    <mergeCell ref="CU11:DB11"/>
    <mergeCell ref="CU12:DB12"/>
    <mergeCell ref="CF12:CG12"/>
    <mergeCell ref="BW13:CD13"/>
    <mergeCell ref="CF13:CG13"/>
    <mergeCell ref="CI5:CP5"/>
    <mergeCell ref="CI6:CP6"/>
    <mergeCell ref="CI7:CP7"/>
    <mergeCell ref="CI8:CP8"/>
    <mergeCell ref="CI9:CP9"/>
    <mergeCell ref="CI10:CP10"/>
    <mergeCell ref="CI11:CP11"/>
    <mergeCell ref="CI12:CP12"/>
    <mergeCell ref="BT12:BU12"/>
    <mergeCell ref="BK13:BR13"/>
    <mergeCell ref="BT13:BU13"/>
    <mergeCell ref="BW5:CD5"/>
    <mergeCell ref="BW6:CD6"/>
    <mergeCell ref="BW7:CD7"/>
    <mergeCell ref="BW8:CD8"/>
    <mergeCell ref="BW9:CD9"/>
    <mergeCell ref="BW10:CD10"/>
    <mergeCell ref="BW11:CD11"/>
    <mergeCell ref="BW12:CD12"/>
    <mergeCell ref="BH12:BI12"/>
    <mergeCell ref="AY13:BF13"/>
    <mergeCell ref="BH13:BI13"/>
    <mergeCell ref="BK5:BR5"/>
    <mergeCell ref="BK6:BR6"/>
    <mergeCell ref="BK7:BR7"/>
    <mergeCell ref="BK8:BR8"/>
    <mergeCell ref="BK9:BR9"/>
    <mergeCell ref="BK10:BR10"/>
    <mergeCell ref="BK11:BR11"/>
    <mergeCell ref="BK12:BR12"/>
    <mergeCell ref="AV12:AW12"/>
    <mergeCell ref="AM13:AT13"/>
    <mergeCell ref="AV13:AW13"/>
    <mergeCell ref="AY5:BF5"/>
    <mergeCell ref="AY6:BF6"/>
    <mergeCell ref="AY7:BF7"/>
    <mergeCell ref="AY8:BF8"/>
    <mergeCell ref="AY9:BF9"/>
    <mergeCell ref="AY10:BF10"/>
    <mergeCell ref="AY11:BF11"/>
    <mergeCell ref="AY12:BF12"/>
    <mergeCell ref="AJ12:AK12"/>
    <mergeCell ref="AA13:AH13"/>
    <mergeCell ref="AJ13:AK13"/>
    <mergeCell ref="AM5:AT5"/>
    <mergeCell ref="AM6:AT6"/>
    <mergeCell ref="AM7:AT7"/>
    <mergeCell ref="AM8:AT8"/>
    <mergeCell ref="AM9:AT9"/>
    <mergeCell ref="AM10:AT10"/>
    <mergeCell ref="AM11:AT11"/>
    <mergeCell ref="AM12:AT12"/>
    <mergeCell ref="O13:V13"/>
    <mergeCell ref="X13:Y13"/>
    <mergeCell ref="AA5:AH5"/>
    <mergeCell ref="AA6:AH6"/>
    <mergeCell ref="AA7:AH7"/>
    <mergeCell ref="AA8:AH8"/>
    <mergeCell ref="AA9:AH9"/>
    <mergeCell ref="AA10:AH10"/>
    <mergeCell ref="AA11:AH11"/>
    <mergeCell ref="AA12:AH12"/>
    <mergeCell ref="O5:V5"/>
    <mergeCell ref="O6:V6"/>
    <mergeCell ref="O7:V7"/>
    <mergeCell ref="O8:V8"/>
    <mergeCell ref="O9:V9"/>
    <mergeCell ref="O10:V10"/>
    <mergeCell ref="O11:V11"/>
    <mergeCell ref="O12:V12"/>
    <mergeCell ref="X12:Y12"/>
    <mergeCell ref="CU14:DF14"/>
    <mergeCell ref="CU15:CU16"/>
    <mergeCell ref="CV15:CV16"/>
    <mergeCell ref="CW15:CW16"/>
    <mergeCell ref="CX15:CX16"/>
    <mergeCell ref="CY15:CY16"/>
    <mergeCell ref="CZ15:CZ16"/>
    <mergeCell ref="DA15:DA16"/>
    <mergeCell ref="CI14:CT14"/>
    <mergeCell ref="CM15:CM16"/>
    <mergeCell ref="CN15:CN16"/>
    <mergeCell ref="CO15:CO16"/>
    <mergeCell ref="CP15:CP16"/>
    <mergeCell ref="CQ15:CQ16"/>
    <mergeCell ref="CR15:CR16"/>
    <mergeCell ref="CI15:CI16"/>
    <mergeCell ref="CJ15:CJ16"/>
    <mergeCell ref="CK15:CK16"/>
    <mergeCell ref="CL15:CL16"/>
    <mergeCell ref="DB15:DB16"/>
    <mergeCell ref="DC15:DC16"/>
    <mergeCell ref="DD15:DD16"/>
    <mergeCell ref="DE15:DE16"/>
    <mergeCell ref="DF15:DF16"/>
    <mergeCell ref="CS15:CS16"/>
    <mergeCell ref="CT15:CT16"/>
    <mergeCell ref="BL15:BL16"/>
    <mergeCell ref="BM15:BM16"/>
    <mergeCell ref="BN15:BN16"/>
    <mergeCell ref="BU15:BU16"/>
    <mergeCell ref="BV15:BV16"/>
    <mergeCell ref="BW14:CH14"/>
    <mergeCell ref="BW15:BW16"/>
    <mergeCell ref="BX15:BX16"/>
    <mergeCell ref="BY15:BY16"/>
    <mergeCell ref="BZ15:BZ16"/>
    <mergeCell ref="CA15:CA16"/>
    <mergeCell ref="CB15:CB16"/>
    <mergeCell ref="CC15:CC16"/>
    <mergeCell ref="BK14:BV14"/>
    <mergeCell ref="CD15:CD16"/>
    <mergeCell ref="CE15:CE16"/>
    <mergeCell ref="CF15:CF16"/>
    <mergeCell ref="CG15:CG16"/>
    <mergeCell ref="CH15:CH16"/>
    <mergeCell ref="AY14:BJ14"/>
    <mergeCell ref="AY15:AY16"/>
    <mergeCell ref="AZ15:AZ16"/>
    <mergeCell ref="BA15:BA16"/>
    <mergeCell ref="BB15:BB16"/>
    <mergeCell ref="BC15:BC16"/>
    <mergeCell ref="BD15:BD16"/>
    <mergeCell ref="BE15:BE16"/>
    <mergeCell ref="AM14:AX14"/>
    <mergeCell ref="BF15:BF16"/>
    <mergeCell ref="BG15:BG16"/>
    <mergeCell ref="BH15:BH16"/>
    <mergeCell ref="BI15:BI16"/>
    <mergeCell ref="BJ15:BJ16"/>
    <mergeCell ref="AA14:AL14"/>
    <mergeCell ref="AA15:AA16"/>
    <mergeCell ref="AB15:AB16"/>
    <mergeCell ref="AC15:AC16"/>
    <mergeCell ref="AD15:AD16"/>
    <mergeCell ref="AE15:AE16"/>
    <mergeCell ref="AF15:AF16"/>
    <mergeCell ref="AG15:AG16"/>
    <mergeCell ref="AQ15:AQ16"/>
    <mergeCell ref="AH15:AH16"/>
    <mergeCell ref="AI15:AI16"/>
    <mergeCell ref="AJ15:AJ16"/>
    <mergeCell ref="AK15:AK16"/>
    <mergeCell ref="AL15:AL16"/>
    <mergeCell ref="AM15:AM16"/>
    <mergeCell ref="AN15:AN16"/>
    <mergeCell ref="AO15:AO16"/>
    <mergeCell ref="AP15:AP16"/>
    <mergeCell ref="T15:T16"/>
    <mergeCell ref="U15:U16"/>
    <mergeCell ref="V15:V16"/>
    <mergeCell ref="W15:W16"/>
    <mergeCell ref="X15:X16"/>
    <mergeCell ref="DN15:DN16"/>
    <mergeCell ref="DO15:DO16"/>
    <mergeCell ref="DP15:DP16"/>
    <mergeCell ref="Y15:Y16"/>
    <mergeCell ref="Z15:Z16"/>
    <mergeCell ref="AR15:AR16"/>
    <mergeCell ref="AS15:AS16"/>
    <mergeCell ref="AT15:AT16"/>
    <mergeCell ref="AU15:AU16"/>
    <mergeCell ref="AV15:AV16"/>
    <mergeCell ref="AW15:AW16"/>
    <mergeCell ref="AX15:AX16"/>
    <mergeCell ref="BO15:BO16"/>
    <mergeCell ref="BP15:BP16"/>
    <mergeCell ref="BQ15:BQ16"/>
    <mergeCell ref="BR15:BR16"/>
    <mergeCell ref="BS15:BS16"/>
    <mergeCell ref="BT15:BT16"/>
    <mergeCell ref="BK15:BK16"/>
    <mergeCell ref="DQ15:DQ16"/>
    <mergeCell ref="DR15:DR16"/>
    <mergeCell ref="O14:Z14"/>
    <mergeCell ref="O15:O16"/>
    <mergeCell ref="P15:P16"/>
    <mergeCell ref="Q15:Q16"/>
    <mergeCell ref="R15:R16"/>
    <mergeCell ref="N15:N16"/>
    <mergeCell ref="C14:N14"/>
    <mergeCell ref="DG14:DR14"/>
    <mergeCell ref="DG15:DG16"/>
    <mergeCell ref="DH15:DH16"/>
    <mergeCell ref="DI15:DI16"/>
    <mergeCell ref="DJ15:DJ16"/>
    <mergeCell ref="DK15:DK16"/>
    <mergeCell ref="DL15:DL16"/>
    <mergeCell ref="DM15:DM16"/>
    <mergeCell ref="H15:H16"/>
    <mergeCell ref="I15:I16"/>
    <mergeCell ref="J15:J16"/>
    <mergeCell ref="K15:K16"/>
    <mergeCell ref="L15:L16"/>
    <mergeCell ref="M15:M16"/>
    <mergeCell ref="S15:S16"/>
    <mergeCell ref="A15:A17"/>
    <mergeCell ref="C15:C16"/>
    <mergeCell ref="D15:D16"/>
    <mergeCell ref="E15:E16"/>
    <mergeCell ref="F15:F16"/>
    <mergeCell ref="G15:G16"/>
    <mergeCell ref="C10:J10"/>
    <mergeCell ref="C11:J11"/>
    <mergeCell ref="C12:J12"/>
    <mergeCell ref="L12:M12"/>
    <mergeCell ref="C13:J13"/>
    <mergeCell ref="L13:M13"/>
    <mergeCell ref="C3:I3"/>
    <mergeCell ref="C5:J5"/>
    <mergeCell ref="C6:J6"/>
    <mergeCell ref="C7:J7"/>
    <mergeCell ref="C8:J8"/>
    <mergeCell ref="C9:J9"/>
    <mergeCell ref="C1:F1"/>
    <mergeCell ref="G1:H1"/>
    <mergeCell ref="I1:J1"/>
    <mergeCell ref="K1:L1"/>
    <mergeCell ref="C2:D2"/>
    <mergeCell ref="F2:H2"/>
    <mergeCell ref="I2:J2"/>
    <mergeCell ref="K2:L2"/>
    <mergeCell ref="M2:N2"/>
  </mergeCells>
  <dataValidations count="1">
    <dataValidation type="whole" operator="lessThanOrEqual" allowBlank="1" showInputMessage="1" showErrorMessage="1" promptTitle="NILAI LEBIH DARI SERATUS = SALAH" prompt="Lihat skor max setiap aspek yang dinlai sudah diisi atau belum..." sqref="K19:K66 W19:W66 AI19:AI66 AU19:AU66 BG19:BG66 BS19:BS66 CE19:CE66 CQ19:CQ66 DC19:DC66 DO19:DO66">
      <formula1>100</formula1>
    </dataValidation>
  </dataValidations>
  <pageMargins left="0.7" right="0.7" top="0.75" bottom="0.75" header="0.3" footer="0.3"/>
  <pageSetup paperSize="768" orientation="portrait" horizontalDpi="0" verticalDpi="0" r:id="rId1"/>
  <drawing r:id="rId2"/>
  <legacyDrawing r:id="rId3"/>
</worksheet>
</file>

<file path=xl/worksheets/sheet29.xml><?xml version="1.0" encoding="utf-8"?>
<worksheet xmlns="http://schemas.openxmlformats.org/spreadsheetml/2006/main" xmlns:r="http://schemas.openxmlformats.org/officeDocument/2006/relationships">
  <sheetPr codeName="Sheet20"/>
  <dimension ref="A1:M77"/>
  <sheetViews>
    <sheetView workbookViewId="0"/>
  </sheetViews>
  <sheetFormatPr defaultRowHeight="15"/>
  <cols>
    <col min="1" max="1" width="4.5703125" bestFit="1" customWidth="1"/>
    <col min="2" max="2" width="27.42578125" customWidth="1"/>
    <col min="3" max="10" width="5.28515625" customWidth="1"/>
    <col min="11" max="11" width="6.42578125" customWidth="1"/>
    <col min="12" max="12" width="23.5703125" customWidth="1"/>
    <col min="13" max="13" width="7.85546875" customWidth="1"/>
  </cols>
  <sheetData>
    <row r="1" spans="1:13">
      <c r="A1" s="41"/>
      <c r="B1" s="702" t="s">
        <v>438</v>
      </c>
      <c r="C1" s="703"/>
      <c r="D1" s="703"/>
      <c r="E1" s="703"/>
      <c r="F1" s="703"/>
      <c r="G1" s="703"/>
      <c r="H1" s="703"/>
      <c r="I1" s="703"/>
      <c r="J1" s="703"/>
      <c r="K1" s="703"/>
      <c r="L1" s="704"/>
      <c r="M1" s="42"/>
    </row>
    <row r="2" spans="1:13" ht="15.75" thickBot="1">
      <c r="A2" s="41"/>
      <c r="B2" s="705"/>
      <c r="C2" s="706"/>
      <c r="D2" s="706"/>
      <c r="E2" s="706"/>
      <c r="F2" s="706"/>
      <c r="G2" s="706"/>
      <c r="H2" s="706"/>
      <c r="I2" s="706"/>
      <c r="J2" s="706"/>
      <c r="K2" s="706"/>
      <c r="L2" s="707"/>
      <c r="M2" s="42"/>
    </row>
    <row r="3" spans="1:13" ht="15.75">
      <c r="A3" s="41"/>
      <c r="B3" s="41"/>
      <c r="C3" s="41"/>
      <c r="D3" s="43"/>
      <c r="E3" s="43"/>
      <c r="F3" s="43"/>
      <c r="G3" s="43"/>
      <c r="H3" s="43"/>
      <c r="I3" s="43"/>
      <c r="J3" s="43"/>
      <c r="K3" s="43"/>
      <c r="L3" s="44"/>
      <c r="M3" s="42"/>
    </row>
    <row r="4" spans="1:13" ht="16.5">
      <c r="A4" s="41"/>
      <c r="B4" s="45" t="s">
        <v>245</v>
      </c>
      <c r="C4" s="647" t="str">
        <f>menu!D13</f>
        <v>BHS INDONESIA</v>
      </c>
      <c r="D4" s="647"/>
      <c r="E4" s="647"/>
      <c r="F4" s="647"/>
      <c r="G4" s="701" t="s">
        <v>246</v>
      </c>
      <c r="H4" s="701"/>
      <c r="I4" s="649"/>
      <c r="J4" s="649"/>
      <c r="L4" s="269" t="s">
        <v>247</v>
      </c>
      <c r="M4" s="268"/>
    </row>
    <row r="5" spans="1:13" ht="16.5">
      <c r="A5" s="41"/>
      <c r="B5" s="45" t="s">
        <v>248</v>
      </c>
      <c r="C5" s="652" t="str">
        <f>menu!D14</f>
        <v>VII-J</v>
      </c>
      <c r="D5" s="647"/>
      <c r="E5" s="47"/>
      <c r="F5" s="701" t="s">
        <v>249</v>
      </c>
      <c r="G5" s="701"/>
      <c r="H5" s="701"/>
      <c r="I5" s="653"/>
      <c r="J5" s="653"/>
      <c r="K5" s="232"/>
      <c r="L5" s="46">
        <f>menu!D19</f>
        <v>0</v>
      </c>
      <c r="M5" s="42"/>
    </row>
    <row r="6" spans="1:13">
      <c r="A6" s="41"/>
      <c r="B6" s="48" t="s">
        <v>251</v>
      </c>
      <c r="C6" s="657" t="s">
        <v>439</v>
      </c>
      <c r="D6" s="657"/>
      <c r="E6" s="657"/>
      <c r="F6" s="657"/>
      <c r="G6" s="657"/>
      <c r="H6" s="657"/>
      <c r="I6" s="657"/>
      <c r="J6" s="41"/>
      <c r="K6" s="41"/>
      <c r="L6" s="41"/>
      <c r="M6" s="42"/>
    </row>
    <row r="7" spans="1:13">
      <c r="A7" s="41"/>
      <c r="B7" s="48"/>
      <c r="C7" s="49"/>
      <c r="D7" s="49"/>
      <c r="E7" s="49"/>
      <c r="F7" s="49"/>
      <c r="G7" s="50"/>
      <c r="H7" s="41"/>
      <c r="I7" s="41"/>
      <c r="J7" s="41"/>
      <c r="K7" s="41"/>
      <c r="L7" s="41"/>
      <c r="M7" s="42"/>
    </row>
    <row r="8" spans="1:13">
      <c r="A8" s="41"/>
      <c r="B8" s="51"/>
      <c r="C8" s="700" t="s">
        <v>253</v>
      </c>
      <c r="D8" s="700"/>
      <c r="E8" s="700"/>
      <c r="F8" s="700"/>
      <c r="G8" s="700"/>
      <c r="H8" s="700"/>
      <c r="I8" s="700"/>
      <c r="J8" s="700"/>
      <c r="K8" s="290" t="s">
        <v>254</v>
      </c>
      <c r="L8" s="77"/>
    </row>
    <row r="9" spans="1:13">
      <c r="A9" s="41"/>
      <c r="B9" s="52" t="s">
        <v>255</v>
      </c>
      <c r="C9" s="693"/>
      <c r="D9" s="693"/>
      <c r="E9" s="693"/>
      <c r="F9" s="693"/>
      <c r="G9" s="693"/>
      <c r="H9" s="693"/>
      <c r="I9" s="693"/>
      <c r="J9" s="693"/>
      <c r="K9" s="291" t="s">
        <v>255</v>
      </c>
      <c r="L9" s="79"/>
    </row>
    <row r="10" spans="1:13">
      <c r="A10" s="41"/>
      <c r="B10" s="52" t="s">
        <v>256</v>
      </c>
      <c r="C10" s="699"/>
      <c r="D10" s="699"/>
      <c r="E10" s="699"/>
      <c r="F10" s="699"/>
      <c r="G10" s="699"/>
      <c r="H10" s="699"/>
      <c r="I10" s="699"/>
      <c r="J10" s="699"/>
      <c r="K10" s="291" t="s">
        <v>256</v>
      </c>
      <c r="L10" s="81"/>
    </row>
    <row r="11" spans="1:13">
      <c r="A11" s="41"/>
      <c r="B11" s="52" t="s">
        <v>257</v>
      </c>
      <c r="C11" s="693"/>
      <c r="D11" s="693"/>
      <c r="E11" s="693"/>
      <c r="F11" s="693"/>
      <c r="G11" s="693"/>
      <c r="H11" s="693"/>
      <c r="I11" s="693"/>
      <c r="J11" s="693"/>
      <c r="K11" s="291" t="s">
        <v>257</v>
      </c>
      <c r="L11" s="79"/>
    </row>
    <row r="12" spans="1:13">
      <c r="A12" s="41"/>
      <c r="B12" s="52" t="s">
        <v>258</v>
      </c>
      <c r="C12" s="699"/>
      <c r="D12" s="699"/>
      <c r="E12" s="699"/>
      <c r="F12" s="699"/>
      <c r="G12" s="699"/>
      <c r="H12" s="699"/>
      <c r="I12" s="699"/>
      <c r="J12" s="699"/>
      <c r="K12" s="292" t="s">
        <v>258</v>
      </c>
      <c r="L12" s="83"/>
    </row>
    <row r="13" spans="1:13">
      <c r="A13" s="41"/>
      <c r="B13" s="52" t="s">
        <v>259</v>
      </c>
      <c r="C13" s="693"/>
      <c r="D13" s="693"/>
      <c r="E13" s="693"/>
      <c r="F13" s="693"/>
      <c r="G13" s="693"/>
      <c r="H13" s="693"/>
      <c r="I13" s="693"/>
      <c r="J13" s="693"/>
      <c r="K13" s="291" t="s">
        <v>259</v>
      </c>
      <c r="L13" s="79"/>
      <c r="M13" s="53"/>
    </row>
    <row r="14" spans="1:13">
      <c r="A14" s="41"/>
      <c r="B14" s="52" t="s">
        <v>260</v>
      </c>
      <c r="C14" s="699"/>
      <c r="D14" s="699"/>
      <c r="E14" s="699"/>
      <c r="F14" s="699"/>
      <c r="G14" s="699"/>
      <c r="H14" s="699"/>
      <c r="I14" s="699"/>
      <c r="J14" s="699"/>
      <c r="K14" s="291" t="s">
        <v>260</v>
      </c>
      <c r="L14" s="81"/>
      <c r="M14" s="53"/>
    </row>
    <row r="15" spans="1:13">
      <c r="A15" s="41"/>
      <c r="B15" s="52" t="s">
        <v>261</v>
      </c>
      <c r="C15" s="693"/>
      <c r="D15" s="693"/>
      <c r="E15" s="693"/>
      <c r="F15" s="693"/>
      <c r="G15" s="693"/>
      <c r="H15" s="693"/>
      <c r="I15" s="693"/>
      <c r="J15" s="693"/>
      <c r="K15" s="292" t="s">
        <v>261</v>
      </c>
      <c r="L15" s="293"/>
      <c r="M15" s="53"/>
    </row>
    <row r="16" spans="1:13">
      <c r="A16" s="41"/>
      <c r="B16" s="48"/>
      <c r="C16" s="694"/>
      <c r="D16" s="694"/>
      <c r="E16" s="694"/>
      <c r="F16" s="694"/>
      <c r="G16" s="694"/>
      <c r="H16" s="694"/>
      <c r="I16" s="694"/>
      <c r="J16" s="694"/>
      <c r="K16" s="41"/>
      <c r="L16" s="54"/>
      <c r="M16" s="53"/>
    </row>
    <row r="17" spans="1:13">
      <c r="A17" s="41"/>
      <c r="B17" s="41"/>
      <c r="C17" s="55"/>
      <c r="D17" s="41"/>
      <c r="E17" s="41"/>
      <c r="F17" s="41"/>
      <c r="G17" s="41"/>
      <c r="H17" s="41"/>
      <c r="I17" s="41"/>
      <c r="J17" s="41"/>
      <c r="K17" s="41"/>
      <c r="L17" s="41"/>
      <c r="M17" s="42"/>
    </row>
    <row r="18" spans="1:13" ht="15" customHeight="1">
      <c r="A18" s="695" t="s">
        <v>262</v>
      </c>
      <c r="B18" s="56" t="s">
        <v>263</v>
      </c>
      <c r="C18" s="686" t="s">
        <v>264</v>
      </c>
      <c r="D18" s="687" t="s">
        <v>265</v>
      </c>
      <c r="E18" s="686" t="s">
        <v>266</v>
      </c>
      <c r="F18" s="686" t="s">
        <v>267</v>
      </c>
      <c r="G18" s="686" t="s">
        <v>268</v>
      </c>
      <c r="H18" s="686" t="s">
        <v>269</v>
      </c>
      <c r="I18" s="687" t="s">
        <v>270</v>
      </c>
      <c r="J18" s="689" t="s">
        <v>271</v>
      </c>
      <c r="K18" s="691" t="s">
        <v>272</v>
      </c>
      <c r="L18" s="684" t="s">
        <v>104</v>
      </c>
      <c r="M18" s="57"/>
    </row>
    <row r="19" spans="1:13" ht="24.75" customHeight="1">
      <c r="A19" s="696"/>
      <c r="B19" s="42"/>
      <c r="C19" s="686"/>
      <c r="D19" s="688"/>
      <c r="E19" s="698"/>
      <c r="F19" s="686"/>
      <c r="G19" s="686"/>
      <c r="H19" s="686"/>
      <c r="I19" s="688"/>
      <c r="J19" s="690"/>
      <c r="K19" s="692"/>
      <c r="L19" s="685"/>
      <c r="M19" s="42"/>
    </row>
    <row r="20" spans="1:13" ht="15.75">
      <c r="A20" s="697"/>
      <c r="B20" s="48" t="s">
        <v>275</v>
      </c>
      <c r="C20" s="58"/>
      <c r="D20" s="58"/>
      <c r="E20" s="58"/>
      <c r="F20" s="58"/>
      <c r="G20" s="58"/>
      <c r="H20" s="58"/>
      <c r="I20" s="58"/>
      <c r="J20" s="59"/>
      <c r="K20" s="59"/>
      <c r="L20" s="60"/>
      <c r="M20" s="42"/>
    </row>
    <row r="21" spans="1:13" ht="15.75">
      <c r="A21" s="1"/>
      <c r="B21" s="1" t="s">
        <v>239</v>
      </c>
      <c r="C21" s="61"/>
      <c r="D21" s="62"/>
      <c r="E21" s="63"/>
      <c r="F21" s="61"/>
      <c r="G21" s="61"/>
      <c r="H21" s="61"/>
      <c r="I21" s="62"/>
      <c r="J21" s="62"/>
      <c r="K21" s="62"/>
      <c r="L21" s="60"/>
      <c r="M21" s="42"/>
    </row>
    <row r="22" spans="1:13">
      <c r="A22" s="64">
        <f>'DATA SISWA'!A5</f>
        <v>1</v>
      </c>
      <c r="B22" s="76" t="str">
        <f>'DATA SISWA'!C5</f>
        <v>ABD MANNAN</v>
      </c>
      <c r="C22" s="65"/>
      <c r="D22" s="65"/>
      <c r="E22" s="65"/>
      <c r="F22" s="66"/>
      <c r="G22" s="65"/>
      <c r="H22" s="65"/>
      <c r="I22" s="65"/>
      <c r="J22" s="67"/>
      <c r="K22" s="68"/>
      <c r="L22" s="70"/>
      <c r="M22" s="71"/>
    </row>
    <row r="23" spans="1:13">
      <c r="A23" s="64">
        <f>'DATA SISWA'!A6</f>
        <v>2</v>
      </c>
      <c r="B23" s="76">
        <f>'DATA SISWA'!C6</f>
        <v>0</v>
      </c>
      <c r="C23" s="65"/>
      <c r="D23" s="65"/>
      <c r="E23" s="65"/>
      <c r="F23" s="66"/>
      <c r="G23" s="65"/>
      <c r="H23" s="65"/>
      <c r="I23" s="65"/>
      <c r="J23" s="67"/>
      <c r="K23" s="68"/>
      <c r="L23" s="70"/>
      <c r="M23" s="71"/>
    </row>
    <row r="24" spans="1:13">
      <c r="A24" s="64">
        <f>'DATA SISWA'!A7</f>
        <v>3</v>
      </c>
      <c r="B24" s="76" t="str">
        <f>'DATA SISWA'!C7</f>
        <v>ACHMAD ALFARESI</v>
      </c>
      <c r="C24" s="65"/>
      <c r="D24" s="65"/>
      <c r="E24" s="65"/>
      <c r="F24" s="66"/>
      <c r="G24" s="65"/>
      <c r="H24" s="65"/>
      <c r="I24" s="65"/>
      <c r="J24" s="67"/>
      <c r="K24" s="68"/>
      <c r="L24" s="70"/>
      <c r="M24" s="71"/>
    </row>
    <row r="25" spans="1:13">
      <c r="A25" s="64">
        <f>'DATA SISWA'!A8</f>
        <v>4</v>
      </c>
      <c r="B25" s="76" t="str">
        <f>'DATA SISWA'!C8</f>
        <v>AGITA ZAHRAH MUFIDAH</v>
      </c>
      <c r="C25" s="65"/>
      <c r="D25" s="65"/>
      <c r="E25" s="65"/>
      <c r="F25" s="66"/>
      <c r="G25" s="65"/>
      <c r="H25" s="65"/>
      <c r="I25" s="65"/>
      <c r="J25" s="67"/>
      <c r="K25" s="68"/>
      <c r="L25" s="70"/>
      <c r="M25" s="71"/>
    </row>
    <row r="26" spans="1:13">
      <c r="A26" s="64">
        <f>'DATA SISWA'!A9</f>
        <v>5</v>
      </c>
      <c r="B26" s="76" t="str">
        <f>'DATA SISWA'!C9</f>
        <v>AHMAD HAMBALI</v>
      </c>
      <c r="C26" s="65"/>
      <c r="D26" s="65"/>
      <c r="E26" s="65"/>
      <c r="F26" s="66"/>
      <c r="G26" s="65"/>
      <c r="H26" s="65"/>
      <c r="I26" s="65"/>
      <c r="J26" s="67"/>
      <c r="K26" s="68"/>
      <c r="L26" s="70"/>
      <c r="M26" s="71"/>
    </row>
    <row r="27" spans="1:13">
      <c r="A27" s="64">
        <f>'DATA SISWA'!A10</f>
        <v>6</v>
      </c>
      <c r="B27" s="76" t="str">
        <f>'DATA SISWA'!C10</f>
        <v>AHMADI</v>
      </c>
      <c r="C27" s="65"/>
      <c r="D27" s="65"/>
      <c r="E27" s="65"/>
      <c r="F27" s="66"/>
      <c r="G27" s="65"/>
      <c r="H27" s="65"/>
      <c r="I27" s="65"/>
      <c r="J27" s="67"/>
      <c r="K27" s="68"/>
      <c r="L27" s="70"/>
      <c r="M27" s="71"/>
    </row>
    <row r="28" spans="1:13">
      <c r="A28" s="64">
        <f>'DATA SISWA'!A11</f>
        <v>7</v>
      </c>
      <c r="B28" s="76" t="str">
        <f>'DATA SISWA'!C11</f>
        <v xml:space="preserve">AINUR ROFIK </v>
      </c>
      <c r="C28" s="65"/>
      <c r="D28" s="65"/>
      <c r="E28" s="65"/>
      <c r="F28" s="66"/>
      <c r="G28" s="65"/>
      <c r="H28" s="65"/>
      <c r="I28" s="65"/>
      <c r="J28" s="67"/>
      <c r="K28" s="68"/>
      <c r="L28" s="70"/>
      <c r="M28" s="71"/>
    </row>
    <row r="29" spans="1:13">
      <c r="A29" s="64">
        <f>'DATA SISWA'!A12</f>
        <v>8</v>
      </c>
      <c r="B29" s="76" t="str">
        <f>'DATA SISWA'!C12</f>
        <v>AT-THORIQ BINTANG PRAJA</v>
      </c>
      <c r="C29" s="65"/>
      <c r="D29" s="65"/>
      <c r="E29" s="65"/>
      <c r="F29" s="66"/>
      <c r="G29" s="65"/>
      <c r="H29" s="65"/>
      <c r="I29" s="65"/>
      <c r="J29" s="67"/>
      <c r="K29" s="68"/>
      <c r="L29" s="70"/>
      <c r="M29" s="71"/>
    </row>
    <row r="30" spans="1:13">
      <c r="A30" s="64">
        <f>'DATA SISWA'!A13</f>
        <v>9</v>
      </c>
      <c r="B30" s="76" t="str">
        <f>'DATA SISWA'!C13</f>
        <v>DEWI WULANDARI</v>
      </c>
      <c r="C30" s="65"/>
      <c r="D30" s="65"/>
      <c r="E30" s="65"/>
      <c r="F30" s="66"/>
      <c r="G30" s="65"/>
      <c r="H30" s="65"/>
      <c r="I30" s="65"/>
      <c r="J30" s="67"/>
      <c r="K30" s="68"/>
      <c r="L30" s="70"/>
      <c r="M30" s="71"/>
    </row>
    <row r="31" spans="1:13">
      <c r="A31" s="64">
        <f>'DATA SISWA'!A14</f>
        <v>10</v>
      </c>
      <c r="B31" s="76" t="str">
        <f>'DATA SISWA'!C14</f>
        <v>ENI UMAMAH</v>
      </c>
      <c r="C31" s="65"/>
      <c r="D31" s="65"/>
      <c r="E31" s="65"/>
      <c r="F31" s="66"/>
      <c r="G31" s="65"/>
      <c r="H31" s="65"/>
      <c r="I31" s="65"/>
      <c r="J31" s="67"/>
      <c r="K31" s="68"/>
      <c r="L31" s="70"/>
      <c r="M31" s="71"/>
    </row>
    <row r="32" spans="1:13">
      <c r="A32" s="64">
        <f>'DATA SISWA'!A15</f>
        <v>11</v>
      </c>
      <c r="B32" s="76" t="str">
        <f>'DATA SISWA'!C15</f>
        <v>FADIA FASSA</v>
      </c>
      <c r="C32" s="65"/>
      <c r="D32" s="65"/>
      <c r="E32" s="65"/>
      <c r="F32" s="66"/>
      <c r="G32" s="65"/>
      <c r="H32" s="65"/>
      <c r="I32" s="65"/>
      <c r="J32" s="67"/>
      <c r="K32" s="68"/>
      <c r="L32" s="70"/>
      <c r="M32" s="71"/>
    </row>
    <row r="33" spans="1:13">
      <c r="A33" s="64">
        <f>'DATA SISWA'!A16</f>
        <v>12</v>
      </c>
      <c r="B33" s="76" t="str">
        <f>'DATA SISWA'!C16</f>
        <v>FATIMATUZ  ZAHROH</v>
      </c>
      <c r="C33" s="65"/>
      <c r="D33" s="65"/>
      <c r="E33" s="65"/>
      <c r="F33" s="66"/>
      <c r="G33" s="65"/>
      <c r="H33" s="65"/>
      <c r="I33" s="65"/>
      <c r="J33" s="67"/>
      <c r="K33" s="68"/>
      <c r="L33" s="70"/>
      <c r="M33" s="71"/>
    </row>
    <row r="34" spans="1:13">
      <c r="A34" s="64">
        <f>'DATA SISWA'!A17</f>
        <v>13</v>
      </c>
      <c r="B34" s="76" t="str">
        <f>'DATA SISWA'!C17</f>
        <v>IMAM FATONI</v>
      </c>
      <c r="C34" s="65"/>
      <c r="D34" s="65"/>
      <c r="E34" s="65"/>
      <c r="F34" s="66"/>
      <c r="G34" s="65"/>
      <c r="H34" s="65"/>
      <c r="I34" s="65"/>
      <c r="J34" s="67"/>
      <c r="K34" s="68"/>
      <c r="L34" s="70"/>
      <c r="M34" s="71"/>
    </row>
    <row r="35" spans="1:13">
      <c r="A35" s="64">
        <f>'DATA SISWA'!A18</f>
        <v>14</v>
      </c>
      <c r="B35" s="76" t="str">
        <f>'DATA SISWA'!C18</f>
        <v>ISMA SRI WAHYUNI</v>
      </c>
      <c r="C35" s="65"/>
      <c r="D35" s="65"/>
      <c r="E35" s="65"/>
      <c r="F35" s="66"/>
      <c r="G35" s="65"/>
      <c r="H35" s="65"/>
      <c r="I35" s="65"/>
      <c r="J35" s="67"/>
      <c r="K35" s="68"/>
      <c r="L35" s="70"/>
      <c r="M35" s="71"/>
    </row>
    <row r="36" spans="1:13">
      <c r="A36" s="64">
        <f>'DATA SISWA'!A19</f>
        <v>15</v>
      </c>
      <c r="B36" s="76" t="str">
        <f>'DATA SISWA'!C19</f>
        <v>JAKFAR SODIK ROMADHONI</v>
      </c>
      <c r="C36" s="65"/>
      <c r="D36" s="65"/>
      <c r="E36" s="65"/>
      <c r="F36" s="66"/>
      <c r="G36" s="65"/>
      <c r="H36" s="65"/>
      <c r="I36" s="65"/>
      <c r="J36" s="67"/>
      <c r="K36" s="68"/>
      <c r="L36" s="70"/>
      <c r="M36" s="71"/>
    </row>
    <row r="37" spans="1:13">
      <c r="A37" s="64">
        <f>'DATA SISWA'!A20</f>
        <v>16</v>
      </c>
      <c r="B37" s="76" t="str">
        <f>'DATA SISWA'!C20</f>
        <v>KHOIRIL NISA'</v>
      </c>
      <c r="C37" s="65"/>
      <c r="D37" s="65"/>
      <c r="E37" s="65"/>
      <c r="F37" s="66"/>
      <c r="G37" s="65"/>
      <c r="H37" s="65"/>
      <c r="I37" s="65"/>
      <c r="J37" s="67"/>
      <c r="K37" s="68"/>
      <c r="L37" s="70"/>
      <c r="M37" s="71"/>
    </row>
    <row r="38" spans="1:13">
      <c r="A38" s="64">
        <f>'DATA SISWA'!A21</f>
        <v>17</v>
      </c>
      <c r="B38" s="76" t="str">
        <f>'DATA SISWA'!C21</f>
        <v>LATIFA MAHARANI</v>
      </c>
      <c r="C38" s="65"/>
      <c r="D38" s="65"/>
      <c r="E38" s="65"/>
      <c r="F38" s="66"/>
      <c r="G38" s="65"/>
      <c r="H38" s="65"/>
      <c r="I38" s="65"/>
      <c r="J38" s="67"/>
      <c r="K38" s="68"/>
      <c r="L38" s="70"/>
      <c r="M38" s="71"/>
    </row>
    <row r="39" spans="1:13">
      <c r="A39" s="64">
        <f>'DATA SISWA'!A22</f>
        <v>18</v>
      </c>
      <c r="B39" s="76" t="str">
        <f>'DATA SISWA'!C22</f>
        <v>LUQMANUL FIKRI SYAIFULLAH</v>
      </c>
      <c r="C39" s="65"/>
      <c r="D39" s="65"/>
      <c r="E39" s="65"/>
      <c r="F39" s="66"/>
      <c r="G39" s="65"/>
      <c r="H39" s="65"/>
      <c r="I39" s="65"/>
      <c r="J39" s="67"/>
      <c r="K39" s="68"/>
      <c r="L39" s="70"/>
      <c r="M39" s="71"/>
    </row>
    <row r="40" spans="1:13">
      <c r="A40" s="64">
        <f>'DATA SISWA'!A23</f>
        <v>19</v>
      </c>
      <c r="B40" s="76" t="str">
        <f>'DATA SISWA'!C23</f>
        <v>MAR'ATUS SOLEHAH</v>
      </c>
      <c r="C40" s="65"/>
      <c r="D40" s="65"/>
      <c r="E40" s="65"/>
      <c r="F40" s="66"/>
      <c r="G40" s="65"/>
      <c r="H40" s="65"/>
      <c r="I40" s="65"/>
      <c r="J40" s="67"/>
      <c r="K40" s="68"/>
      <c r="L40" s="70"/>
      <c r="M40" s="71"/>
    </row>
    <row r="41" spans="1:13">
      <c r="A41" s="64">
        <f>'DATA SISWA'!A24</f>
        <v>20</v>
      </c>
      <c r="B41" s="76" t="str">
        <f>'DATA SISWA'!C24</f>
        <v>MOCH.  SHOLEH W. H</v>
      </c>
      <c r="C41" s="65"/>
      <c r="D41" s="65"/>
      <c r="E41" s="65"/>
      <c r="F41" s="66"/>
      <c r="G41" s="65"/>
      <c r="H41" s="65"/>
      <c r="I41" s="65"/>
      <c r="J41" s="67"/>
      <c r="K41" s="68"/>
      <c r="L41" s="70"/>
      <c r="M41" s="71"/>
    </row>
    <row r="42" spans="1:13">
      <c r="A42" s="64">
        <f>'DATA SISWA'!A25</f>
        <v>21</v>
      </c>
      <c r="B42" s="76" t="str">
        <f>'DATA SISWA'!C25</f>
        <v>MOCH. FAWES</v>
      </c>
      <c r="C42" s="65"/>
      <c r="D42" s="65"/>
      <c r="E42" s="65"/>
      <c r="F42" s="66"/>
      <c r="G42" s="65"/>
      <c r="H42" s="65"/>
      <c r="I42" s="65"/>
      <c r="J42" s="67"/>
      <c r="K42" s="68"/>
      <c r="L42" s="70"/>
      <c r="M42" s="71"/>
    </row>
    <row r="43" spans="1:13">
      <c r="A43" s="64">
        <f>'DATA SISWA'!A26</f>
        <v>22</v>
      </c>
      <c r="B43" s="76" t="str">
        <f>'DATA SISWA'!C26</f>
        <v>MOH SAHRUL RAMADON</v>
      </c>
      <c r="C43" s="65"/>
      <c r="D43" s="65"/>
      <c r="E43" s="65"/>
      <c r="F43" s="66"/>
      <c r="G43" s="65"/>
      <c r="H43" s="65"/>
      <c r="I43" s="65"/>
      <c r="J43" s="67"/>
      <c r="K43" s="68"/>
      <c r="L43" s="70"/>
      <c r="M43" s="71"/>
    </row>
    <row r="44" spans="1:13">
      <c r="A44" s="64">
        <f>'DATA SISWA'!A27</f>
        <v>23</v>
      </c>
      <c r="B44" s="76" t="str">
        <f>'DATA SISWA'!C27</f>
        <v>MOHAMMAD RAMADAN PURNOMO</v>
      </c>
      <c r="C44" s="65"/>
      <c r="D44" s="65"/>
      <c r="E44" s="65"/>
      <c r="F44" s="66"/>
      <c r="G44" s="65"/>
      <c r="H44" s="65"/>
      <c r="I44" s="65"/>
      <c r="J44" s="67"/>
      <c r="K44" s="68"/>
      <c r="L44" s="70"/>
      <c r="M44" s="71"/>
    </row>
    <row r="45" spans="1:13">
      <c r="A45" s="64">
        <f>'DATA SISWA'!A28</f>
        <v>24</v>
      </c>
      <c r="B45" s="76" t="str">
        <f>'DATA SISWA'!C28</f>
        <v>MOHAMMAD ROFI'I</v>
      </c>
      <c r="C45" s="65"/>
      <c r="D45" s="65"/>
      <c r="E45" s="65"/>
      <c r="F45" s="66"/>
      <c r="G45" s="65"/>
      <c r="H45" s="65"/>
      <c r="I45" s="65"/>
      <c r="J45" s="67"/>
      <c r="K45" s="68"/>
      <c r="L45" s="70"/>
      <c r="M45" s="71"/>
    </row>
    <row r="46" spans="1:13">
      <c r="A46" s="64">
        <f>'DATA SISWA'!A29</f>
        <v>25</v>
      </c>
      <c r="B46" s="76" t="str">
        <f>'DATA SISWA'!C29</f>
        <v>NI'MATUS SHOLIHA</v>
      </c>
      <c r="C46" s="65"/>
      <c r="D46" s="65"/>
      <c r="E46" s="65"/>
      <c r="F46" s="66"/>
      <c r="G46" s="65"/>
      <c r="H46" s="65"/>
      <c r="I46" s="65"/>
      <c r="J46" s="67"/>
      <c r="K46" s="68"/>
      <c r="L46" s="70"/>
      <c r="M46" s="71"/>
    </row>
    <row r="47" spans="1:13">
      <c r="A47" s="64">
        <f>'DATA SISWA'!A30</f>
        <v>26</v>
      </c>
      <c r="B47" s="76" t="str">
        <f>'DATA SISWA'!C30</f>
        <v>PANJI FIKRI ISLAMI</v>
      </c>
      <c r="C47" s="65"/>
      <c r="D47" s="65"/>
      <c r="E47" s="65"/>
      <c r="F47" s="66"/>
      <c r="G47" s="65"/>
      <c r="H47" s="65"/>
      <c r="I47" s="65"/>
      <c r="J47" s="67"/>
      <c r="K47" s="68"/>
      <c r="L47" s="70"/>
      <c r="M47" s="71"/>
    </row>
    <row r="48" spans="1:13">
      <c r="A48" s="64">
        <f>'DATA SISWA'!A31</f>
        <v>27</v>
      </c>
      <c r="B48" s="76" t="str">
        <f>'DATA SISWA'!C31</f>
        <v>RACMAT MAULIDI ABDANY</v>
      </c>
      <c r="C48" s="65"/>
      <c r="D48" s="65"/>
      <c r="E48" s="65"/>
      <c r="F48" s="66"/>
      <c r="G48" s="65"/>
      <c r="H48" s="65"/>
      <c r="I48" s="65"/>
      <c r="J48" s="67"/>
      <c r="K48" s="68"/>
      <c r="L48" s="70"/>
      <c r="M48" s="71"/>
    </row>
    <row r="49" spans="1:13">
      <c r="A49" s="64">
        <f>'DATA SISWA'!A32</f>
        <v>28</v>
      </c>
      <c r="B49" s="76" t="str">
        <f>'DATA SISWA'!C32</f>
        <v>RAIHAN</v>
      </c>
      <c r="C49" s="65"/>
      <c r="D49" s="65"/>
      <c r="E49" s="65"/>
      <c r="F49" s="66"/>
      <c r="G49" s="65"/>
      <c r="H49" s="65"/>
      <c r="I49" s="65"/>
      <c r="J49" s="67"/>
      <c r="K49" s="68"/>
      <c r="L49" s="70"/>
      <c r="M49" s="71"/>
    </row>
    <row r="50" spans="1:13">
      <c r="A50" s="64">
        <f>'DATA SISWA'!A33</f>
        <v>29</v>
      </c>
      <c r="B50" s="76" t="str">
        <f>'DATA SISWA'!C33</f>
        <v>REFITA ANNASTASYA</v>
      </c>
      <c r="C50" s="65"/>
      <c r="D50" s="65"/>
      <c r="E50" s="65"/>
      <c r="F50" s="66"/>
      <c r="G50" s="65"/>
      <c r="H50" s="65"/>
      <c r="I50" s="65"/>
      <c r="J50" s="67"/>
      <c r="K50" s="68"/>
      <c r="L50" s="70"/>
      <c r="M50" s="71"/>
    </row>
    <row r="51" spans="1:13">
      <c r="A51" s="64">
        <f>'DATA SISWA'!A34</f>
        <v>30</v>
      </c>
      <c r="B51" s="76" t="str">
        <f>'DATA SISWA'!C34</f>
        <v>RISKIYAH</v>
      </c>
      <c r="C51" s="65"/>
      <c r="D51" s="65"/>
      <c r="E51" s="65"/>
      <c r="F51" s="66"/>
      <c r="G51" s="65"/>
      <c r="H51" s="65"/>
      <c r="I51" s="65"/>
      <c r="J51" s="67"/>
      <c r="K51" s="68"/>
      <c r="L51" s="70"/>
      <c r="M51" s="71"/>
    </row>
    <row r="52" spans="1:13">
      <c r="A52" s="64">
        <f>'DATA SISWA'!A35</f>
        <v>31</v>
      </c>
      <c r="B52" s="76" t="str">
        <f>'DATA SISWA'!C35</f>
        <v>SALILATUL HUSNA</v>
      </c>
      <c r="C52" s="65"/>
      <c r="D52" s="65"/>
      <c r="E52" s="65"/>
      <c r="F52" s="66"/>
      <c r="G52" s="65"/>
      <c r="H52" s="65"/>
      <c r="I52" s="65"/>
      <c r="J52" s="67"/>
      <c r="K52" s="68"/>
      <c r="L52" s="70"/>
      <c r="M52" s="71"/>
    </row>
    <row r="53" spans="1:13">
      <c r="A53" s="64">
        <f>'DATA SISWA'!A36</f>
        <v>32</v>
      </c>
      <c r="B53" s="76" t="str">
        <f>'DATA SISWA'!C36</f>
        <v>SALMA NABILA</v>
      </c>
      <c r="C53" s="65"/>
      <c r="D53" s="65"/>
      <c r="E53" s="65"/>
      <c r="F53" s="66"/>
      <c r="G53" s="65"/>
      <c r="H53" s="65"/>
      <c r="I53" s="65"/>
      <c r="J53" s="67"/>
      <c r="K53" s="68"/>
      <c r="L53" s="70"/>
      <c r="M53" s="71"/>
    </row>
    <row r="54" spans="1:13">
      <c r="A54" s="64">
        <f>'DATA SISWA'!A37</f>
        <v>33</v>
      </c>
      <c r="B54" s="76" t="str">
        <f>'DATA SISWA'!C37</f>
        <v>SITI AINUR ROHIMAH</v>
      </c>
      <c r="C54" s="65"/>
      <c r="D54" s="65"/>
      <c r="E54" s="65"/>
      <c r="F54" s="66"/>
      <c r="G54" s="65"/>
      <c r="H54" s="65"/>
      <c r="I54" s="65"/>
      <c r="J54" s="67"/>
      <c r="K54" s="68"/>
      <c r="L54" s="70"/>
      <c r="M54" s="71"/>
    </row>
    <row r="55" spans="1:13">
      <c r="A55" s="64">
        <f>'DATA SISWA'!A38</f>
        <v>34</v>
      </c>
      <c r="B55" s="76" t="str">
        <f>'DATA SISWA'!C38</f>
        <v>SYARIF HIDAYATULLOH</v>
      </c>
      <c r="C55" s="65"/>
      <c r="D55" s="65"/>
      <c r="E55" s="65"/>
      <c r="F55" s="66"/>
      <c r="G55" s="65"/>
      <c r="H55" s="65"/>
      <c r="I55" s="65"/>
      <c r="J55" s="67"/>
      <c r="K55" s="68"/>
      <c r="L55" s="70"/>
      <c r="M55" s="71"/>
    </row>
    <row r="56" spans="1:13">
      <c r="A56" s="64">
        <f>'DATA SISWA'!A39</f>
        <v>35</v>
      </c>
      <c r="B56" s="76" t="str">
        <f>'DATA SISWA'!C39</f>
        <v>URVIA ZAHNA ROHANDY</v>
      </c>
      <c r="C56" s="65"/>
      <c r="D56" s="65"/>
      <c r="E56" s="65"/>
      <c r="F56" s="66"/>
      <c r="G56" s="65"/>
      <c r="H56" s="65"/>
      <c r="I56" s="65"/>
      <c r="J56" s="67"/>
      <c r="K56" s="68"/>
      <c r="L56" s="70"/>
      <c r="M56" s="71"/>
    </row>
    <row r="57" spans="1:13">
      <c r="A57" s="64">
        <f>'DATA SISWA'!A40</f>
        <v>36</v>
      </c>
      <c r="B57" s="76">
        <f>'DATA SISWA'!C40</f>
        <v>0</v>
      </c>
      <c r="C57" s="65"/>
      <c r="D57" s="65"/>
      <c r="E57" s="65"/>
      <c r="F57" s="66"/>
      <c r="G57" s="65"/>
      <c r="H57" s="65"/>
      <c r="I57" s="65"/>
      <c r="J57" s="67"/>
      <c r="K57" s="68"/>
      <c r="L57" s="70"/>
      <c r="M57" s="71"/>
    </row>
    <row r="58" spans="1:13">
      <c r="A58" s="64">
        <f>'DATA SISWA'!A41</f>
        <v>37</v>
      </c>
      <c r="B58" s="76">
        <f>'DATA SISWA'!C41</f>
        <v>0</v>
      </c>
      <c r="C58" s="65"/>
      <c r="D58" s="65"/>
      <c r="E58" s="65"/>
      <c r="F58" s="66"/>
      <c r="G58" s="65"/>
      <c r="H58" s="65"/>
      <c r="I58" s="65"/>
      <c r="J58" s="67"/>
      <c r="K58" s="68"/>
      <c r="L58" s="70"/>
      <c r="M58" s="71"/>
    </row>
    <row r="59" spans="1:13">
      <c r="A59" s="64">
        <f>'DATA SISWA'!A42</f>
        <v>38</v>
      </c>
      <c r="B59" s="76">
        <f>'DATA SISWA'!C42</f>
        <v>0</v>
      </c>
      <c r="C59" s="65"/>
      <c r="D59" s="65"/>
      <c r="E59" s="65"/>
      <c r="F59" s="66"/>
      <c r="G59" s="65"/>
      <c r="H59" s="65"/>
      <c r="I59" s="65"/>
      <c r="J59" s="67"/>
      <c r="K59" s="68"/>
      <c r="L59" s="70"/>
      <c r="M59" s="71"/>
    </row>
    <row r="60" spans="1:13">
      <c r="A60" s="64">
        <f>'DATA SISWA'!A43</f>
        <v>39</v>
      </c>
      <c r="B60" s="76">
        <f>'DATA SISWA'!C43</f>
        <v>0</v>
      </c>
      <c r="C60" s="65"/>
      <c r="D60" s="65"/>
      <c r="E60" s="65"/>
      <c r="F60" s="66"/>
      <c r="G60" s="65"/>
      <c r="H60" s="65"/>
      <c r="I60" s="65"/>
      <c r="J60" s="67"/>
      <c r="K60" s="68"/>
      <c r="L60" s="70"/>
      <c r="M60" s="71"/>
    </row>
    <row r="61" spans="1:13">
      <c r="A61" s="64">
        <f>'DATA SISWA'!A44</f>
        <v>40</v>
      </c>
      <c r="B61" s="76">
        <f>'DATA SISWA'!C44</f>
        <v>0</v>
      </c>
      <c r="C61" s="65"/>
      <c r="D61" s="65"/>
      <c r="E61" s="65"/>
      <c r="F61" s="66"/>
      <c r="G61" s="65"/>
      <c r="H61" s="65"/>
      <c r="I61" s="65"/>
      <c r="J61" s="67"/>
      <c r="K61" s="68"/>
      <c r="L61" s="70"/>
      <c r="M61" s="71"/>
    </row>
    <row r="62" spans="1:13">
      <c r="A62" s="64">
        <f>'DATA SISWA'!A45</f>
        <v>41</v>
      </c>
      <c r="B62" s="76">
        <f>'DATA SISWA'!C45</f>
        <v>0</v>
      </c>
      <c r="C62" s="65"/>
      <c r="D62" s="65"/>
      <c r="E62" s="65"/>
      <c r="F62" s="66"/>
      <c r="G62" s="65"/>
      <c r="H62" s="65"/>
      <c r="I62" s="65"/>
      <c r="J62" s="67"/>
      <c r="K62" s="68"/>
      <c r="L62" s="70"/>
      <c r="M62" s="71"/>
    </row>
    <row r="63" spans="1:13">
      <c r="A63" s="64">
        <f>'DATA SISWA'!A46</f>
        <v>42</v>
      </c>
      <c r="B63" s="76">
        <f>'DATA SISWA'!C46</f>
        <v>0</v>
      </c>
      <c r="C63" s="65"/>
      <c r="D63" s="65"/>
      <c r="E63" s="65"/>
      <c r="F63" s="66"/>
      <c r="G63" s="65"/>
      <c r="H63" s="65"/>
      <c r="I63" s="65"/>
      <c r="J63" s="67"/>
      <c r="K63" s="68"/>
      <c r="L63" s="70"/>
      <c r="M63" s="71"/>
    </row>
    <row r="64" spans="1:13">
      <c r="A64" s="64">
        <f>'DATA SISWA'!A47</f>
        <v>43</v>
      </c>
      <c r="B64" s="76">
        <f>'DATA SISWA'!C47</f>
        <v>0</v>
      </c>
      <c r="C64" s="65"/>
      <c r="D64" s="65"/>
      <c r="E64" s="65"/>
      <c r="F64" s="66"/>
      <c r="G64" s="65"/>
      <c r="H64" s="65"/>
      <c r="I64" s="65"/>
      <c r="J64" s="67"/>
      <c r="K64" s="68"/>
      <c r="L64" s="70"/>
      <c r="M64" s="71"/>
    </row>
    <row r="65" spans="1:13">
      <c r="A65" s="64">
        <f>'DATA SISWA'!A48</f>
        <v>44</v>
      </c>
      <c r="B65" s="76">
        <f>'DATA SISWA'!C48</f>
        <v>0</v>
      </c>
      <c r="C65" s="65"/>
      <c r="D65" s="65"/>
      <c r="E65" s="65"/>
      <c r="F65" s="66"/>
      <c r="G65" s="65"/>
      <c r="H65" s="65"/>
      <c r="I65" s="65"/>
      <c r="J65" s="67"/>
      <c r="K65" s="68"/>
      <c r="L65" s="70"/>
      <c r="M65" s="71"/>
    </row>
    <row r="66" spans="1:13">
      <c r="A66" s="64">
        <f>'DATA SISWA'!A49</f>
        <v>45</v>
      </c>
      <c r="B66" s="76">
        <f>'DATA SISWA'!C49</f>
        <v>0</v>
      </c>
      <c r="C66" s="65"/>
      <c r="D66" s="65"/>
      <c r="E66" s="65"/>
      <c r="F66" s="66"/>
      <c r="G66" s="65"/>
      <c r="H66" s="65"/>
      <c r="I66" s="65"/>
      <c r="J66" s="67"/>
      <c r="K66" s="68"/>
      <c r="L66" s="70"/>
      <c r="M66" s="71"/>
    </row>
    <row r="67" spans="1:13">
      <c r="A67" s="64">
        <f>'DATA SISWA'!A50</f>
        <v>46</v>
      </c>
      <c r="B67" s="76">
        <f>'DATA SISWA'!C50</f>
        <v>0</v>
      </c>
      <c r="C67" s="65"/>
      <c r="D67" s="65"/>
      <c r="E67" s="65"/>
      <c r="F67" s="66"/>
      <c r="G67" s="65"/>
      <c r="H67" s="65"/>
      <c r="I67" s="65"/>
      <c r="J67" s="67"/>
      <c r="K67" s="68"/>
      <c r="L67" s="70"/>
      <c r="M67" s="71"/>
    </row>
    <row r="68" spans="1:13">
      <c r="A68" s="64">
        <f>'DATA SISWA'!A51</f>
        <v>47</v>
      </c>
      <c r="B68" s="76">
        <f>'DATA SISWA'!C51</f>
        <v>0</v>
      </c>
      <c r="C68" s="65"/>
      <c r="D68" s="65"/>
      <c r="E68" s="65"/>
      <c r="F68" s="66"/>
      <c r="G68" s="65"/>
      <c r="H68" s="65"/>
      <c r="I68" s="65"/>
      <c r="J68" s="67"/>
      <c r="K68" s="68"/>
      <c r="L68" s="70"/>
      <c r="M68" s="71"/>
    </row>
    <row r="69" spans="1:13">
      <c r="A69" s="64">
        <f>'DATA SISWA'!A52</f>
        <v>48</v>
      </c>
      <c r="B69" s="76">
        <f>'DATA SISWA'!C52</f>
        <v>0</v>
      </c>
      <c r="C69" s="65"/>
      <c r="D69" s="65"/>
      <c r="E69" s="65"/>
      <c r="F69" s="66"/>
      <c r="G69" s="65"/>
      <c r="H69" s="65"/>
      <c r="I69" s="65"/>
      <c r="J69" s="67"/>
      <c r="K69" s="68"/>
      <c r="L69" s="70"/>
      <c r="M69" s="71"/>
    </row>
    <row r="70" spans="1:13">
      <c r="A70" s="72"/>
      <c r="B70" s="72" t="s">
        <v>276</v>
      </c>
      <c r="C70" s="73" t="str">
        <f t="shared" ref="C70:I70" si="0">IFERROR(AVERAGE(C22:C61),"  ")</f>
        <v/>
      </c>
      <c r="D70" s="73" t="str">
        <f t="shared" si="0"/>
        <v/>
      </c>
      <c r="E70" s="73" t="str">
        <f t="shared" si="0"/>
        <v/>
      </c>
      <c r="F70" s="73" t="str">
        <f t="shared" si="0"/>
        <v/>
      </c>
      <c r="G70" s="73" t="str">
        <f t="shared" si="0"/>
        <v/>
      </c>
      <c r="H70" s="73" t="str">
        <f t="shared" si="0"/>
        <v/>
      </c>
      <c r="I70" s="73" t="str">
        <f t="shared" si="0"/>
        <v/>
      </c>
      <c r="J70" s="73"/>
      <c r="K70" s="73"/>
      <c r="L70" s="74"/>
      <c r="M70" s="42"/>
    </row>
    <row r="71" spans="1:13">
      <c r="A71" s="42"/>
      <c r="B71" s="41"/>
      <c r="C71" s="48"/>
      <c r="D71" s="55"/>
      <c r="E71" s="41"/>
      <c r="F71" s="41"/>
      <c r="G71" s="41"/>
      <c r="H71" s="41"/>
      <c r="I71" s="41"/>
      <c r="J71" s="41"/>
      <c r="K71" s="41"/>
      <c r="L71" s="41"/>
      <c r="M71" s="42"/>
    </row>
    <row r="72" spans="1:13">
      <c r="A72" s="42"/>
      <c r="B72" s="75"/>
      <c r="C72" s="48"/>
      <c r="D72" s="55"/>
      <c r="E72" s="41"/>
      <c r="F72" s="41"/>
      <c r="G72" s="41"/>
      <c r="H72" s="41"/>
      <c r="I72" s="41"/>
      <c r="J72" s="41"/>
      <c r="K72" s="47"/>
      <c r="L72" s="47"/>
      <c r="M72" s="42"/>
    </row>
    <row r="73" spans="1:13">
      <c r="A73" s="42"/>
      <c r="B73" s="75"/>
      <c r="C73" s="48"/>
      <c r="D73" s="55"/>
      <c r="E73" s="41"/>
      <c r="F73" s="41"/>
      <c r="G73" s="41"/>
      <c r="H73" s="41"/>
      <c r="I73" s="41"/>
      <c r="J73" s="41"/>
      <c r="K73" s="41"/>
      <c r="L73" s="41"/>
      <c r="M73" s="42"/>
    </row>
    <row r="74" spans="1:13">
      <c r="A74" s="41"/>
      <c r="B74" s="41"/>
      <c r="C74" s="41"/>
      <c r="D74" s="41"/>
      <c r="E74" s="41"/>
      <c r="F74" s="41"/>
      <c r="G74" s="41"/>
      <c r="H74" s="41"/>
      <c r="I74" s="41"/>
      <c r="J74" s="41"/>
      <c r="K74" s="41"/>
      <c r="L74" s="41"/>
      <c r="M74" s="42"/>
    </row>
    <row r="75" spans="1:13">
      <c r="A75" s="41"/>
      <c r="B75" s="41"/>
      <c r="C75" s="41"/>
      <c r="D75" s="41"/>
      <c r="E75" s="41"/>
      <c r="F75" s="41"/>
      <c r="G75" s="41"/>
      <c r="H75" s="41"/>
      <c r="I75" s="41"/>
      <c r="J75" s="41"/>
      <c r="K75" s="41"/>
      <c r="L75" s="41"/>
      <c r="M75" s="42"/>
    </row>
    <row r="76" spans="1:13">
      <c r="A76" s="41"/>
      <c r="B76" s="75"/>
      <c r="C76" s="41"/>
      <c r="D76" s="41"/>
      <c r="E76" s="41"/>
      <c r="F76" s="41"/>
      <c r="G76" s="41"/>
      <c r="H76" s="41"/>
      <c r="I76" s="41"/>
      <c r="J76" s="41"/>
      <c r="K76" s="41"/>
      <c r="L76" s="41"/>
      <c r="M76" s="42"/>
    </row>
    <row r="77" spans="1:13">
      <c r="A77" s="42"/>
      <c r="B77" s="75"/>
      <c r="C77" s="42"/>
      <c r="D77" s="42"/>
      <c r="E77" s="42"/>
      <c r="F77" s="42"/>
      <c r="G77" s="42"/>
      <c r="H77" s="42"/>
      <c r="I77" s="42"/>
      <c r="J77" s="42"/>
      <c r="K77" s="42"/>
      <c r="L77" s="42"/>
      <c r="M77" s="42"/>
    </row>
  </sheetData>
  <mergeCells count="28">
    <mergeCell ref="C5:D5"/>
    <mergeCell ref="F5:H5"/>
    <mergeCell ref="I5:J5"/>
    <mergeCell ref="B1:L2"/>
    <mergeCell ref="C4:F4"/>
    <mergeCell ref="G4:H4"/>
    <mergeCell ref="I4:J4"/>
    <mergeCell ref="C11:J11"/>
    <mergeCell ref="C12:J12"/>
    <mergeCell ref="C13:J13"/>
    <mergeCell ref="C14:J14"/>
    <mergeCell ref="C6:I6"/>
    <mergeCell ref="C8:J8"/>
    <mergeCell ref="C9:J9"/>
    <mergeCell ref="C10:J10"/>
    <mergeCell ref="C15:J15"/>
    <mergeCell ref="C16:J16"/>
    <mergeCell ref="A18:A20"/>
    <mergeCell ref="C18:C19"/>
    <mergeCell ref="D18:D19"/>
    <mergeCell ref="E18:E19"/>
    <mergeCell ref="F18:F19"/>
    <mergeCell ref="G18:G19"/>
    <mergeCell ref="L18:L19"/>
    <mergeCell ref="H18:H19"/>
    <mergeCell ref="I18:I19"/>
    <mergeCell ref="J18:J19"/>
    <mergeCell ref="K18:K19"/>
  </mergeCells>
  <pageMargins left="0.28000000000000003" right="0.32" top="0.37" bottom="0.42" header="0.3" footer="0.3"/>
  <pageSetup paperSize="512" scale="90" orientation="portrait" horizontalDpi="0"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10</vt:i4>
      </vt:variant>
    </vt:vector>
  </HeadingPairs>
  <TitlesOfParts>
    <vt:vector size="39" baseType="lpstr">
      <vt:lpstr>menu</vt:lpstr>
      <vt:lpstr>profil</vt:lpstr>
      <vt:lpstr>KDOKE</vt:lpstr>
      <vt:lpstr>LIHAT</vt:lpstr>
      <vt:lpstr>DATA SISWA</vt:lpstr>
      <vt:lpstr>UTSangka</vt:lpstr>
      <vt:lpstr>NILAI_JADI</vt:lpstr>
      <vt:lpstr>Form Nilai Pengetahuan</vt:lpstr>
      <vt:lpstr>Input Nilai Pengetahuan</vt:lpstr>
      <vt:lpstr>DATAPENG</vt:lpstr>
      <vt:lpstr>Sheet1</vt:lpstr>
      <vt:lpstr>Form NilKet</vt:lpstr>
      <vt:lpstr>Input Nilai Ketrampilan</vt:lpstr>
      <vt:lpstr>DATAKET</vt:lpstr>
      <vt:lpstr>proyek</vt:lpstr>
      <vt:lpstr>praktek</vt:lpstr>
      <vt:lpstr>form penilaian teman</vt:lpstr>
      <vt:lpstr>form penilaian diri</vt:lpstr>
      <vt:lpstr>rekap antar teman</vt:lpstr>
      <vt:lpstr>FORM Nil Sikap</vt:lpstr>
      <vt:lpstr>Input Nilai Sikap</vt:lpstr>
      <vt:lpstr>observasi2</vt:lpstr>
      <vt:lpstr>observasi1</vt:lpstr>
      <vt:lpstr>rekap observasi</vt:lpstr>
      <vt:lpstr>Sheet2</vt:lpstr>
      <vt:lpstr>REKAP PENILAIAN DIRI</vt:lpstr>
      <vt:lpstr>jurnal</vt:lpstr>
      <vt:lpstr>PORTOFOLIO</vt:lpstr>
      <vt:lpstr>FORM PORTOFOLIO</vt:lpstr>
      <vt:lpstr>nilai_jadi</vt:lpstr>
      <vt:lpstr>'DATA SISWA'!Print_Area</vt:lpstr>
      <vt:lpstr>'form penilaian diri'!Print_Area</vt:lpstr>
      <vt:lpstr>'form penilaian teman'!Print_Area</vt:lpstr>
      <vt:lpstr>'FORM PORTOFOLIO'!Print_Area</vt:lpstr>
      <vt:lpstr>'Input Nilai Ketrampilan'!Print_Area</vt:lpstr>
      <vt:lpstr>'Input Nilai Sikap'!Print_Area</vt:lpstr>
      <vt:lpstr>LIHAT!Print_Area</vt:lpstr>
      <vt:lpstr>'FORM Nil Sikap'!Print_Titles</vt:lpstr>
      <vt:lpstr>jurnal!Print_Titles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SULIYAT</dc:creator>
  <cp:lastModifiedBy>USER</cp:lastModifiedBy>
  <cp:lastPrinted>2016-08-29T00:08:46Z</cp:lastPrinted>
  <dcterms:created xsi:type="dcterms:W3CDTF">2013-09-02T02:02:22Z</dcterms:created>
  <dcterms:modified xsi:type="dcterms:W3CDTF">2018-01-20T01:50:13Z</dcterms:modified>
</cp:coreProperties>
</file>